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dhas\OneDrive\Desktop\"/>
    </mc:Choice>
  </mc:AlternateContent>
  <xr:revisionPtr revIDLastSave="0" documentId="13_ncr:1_{24657AE7-4E1B-4ACF-A891-40C51A34116C}" xr6:coauthVersionLast="47" xr6:coauthVersionMax="47" xr10:uidLastSave="{00000000-0000-0000-0000-000000000000}"/>
  <bookViews>
    <workbookView xWindow="-120" yWindow="-120" windowWidth="29040" windowHeight="15840" tabRatio="697" firstSheet="2" activeTab="8" xr2:uid="{00000000-000D-0000-FFFF-FFFF00000000}"/>
  </bookViews>
  <sheets>
    <sheet name="Import-dataset" sheetId="2" r:id="rId1"/>
    <sheet name="Export-dataset" sheetId="1" r:id="rId2"/>
    <sheet name="Export-Statistical" sheetId="3" r:id="rId3"/>
    <sheet name="Import-Statistical" sheetId="4" r:id="rId4"/>
    <sheet name="Export Analytical" sheetId="6" r:id="rId5"/>
    <sheet name="Import Analytical" sheetId="5" r:id="rId6"/>
    <sheet name="Statistical combined" sheetId="8" r:id="rId7"/>
    <sheet name="cat0 subcat" sheetId="13" r:id="rId8"/>
    <sheet name="Analytical Combined" sheetId="10" r:id="rId9"/>
    <sheet name="Dollar Combined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2" l="1"/>
  <c r="CA44" i="4" l="1"/>
  <c r="AA44" i="4" s="1"/>
  <c r="H44" i="3"/>
  <c r="CA45" i="3"/>
  <c r="CA46" i="3"/>
  <c r="CA47" i="3"/>
  <c r="CA48" i="3"/>
  <c r="CA49" i="3"/>
  <c r="CA50" i="3"/>
  <c r="CA51" i="3"/>
  <c r="CA52" i="3"/>
  <c r="CA53" i="3"/>
  <c r="CA54" i="3"/>
  <c r="CA55" i="3"/>
  <c r="CA56" i="3"/>
  <c r="CA57" i="3"/>
  <c r="CA58" i="3"/>
  <c r="CA59" i="3"/>
  <c r="CA60" i="3"/>
  <c r="CA61" i="3"/>
  <c r="CA62" i="3"/>
  <c r="CA63" i="3"/>
  <c r="CA64" i="3"/>
  <c r="CA65" i="3"/>
  <c r="CA66" i="3"/>
  <c r="CA67" i="3"/>
  <c r="CA68" i="3"/>
  <c r="CA69" i="3"/>
  <c r="CA70" i="3"/>
  <c r="CA71" i="3"/>
  <c r="CA72" i="3"/>
  <c r="CA73" i="3"/>
  <c r="CA74" i="3"/>
  <c r="CA75" i="3"/>
  <c r="CA76" i="3"/>
  <c r="CA77" i="3"/>
  <c r="CA78" i="3"/>
  <c r="CA79" i="3"/>
  <c r="CA80" i="3"/>
  <c r="B45" i="4"/>
  <c r="C45" i="4"/>
  <c r="D45" i="4"/>
  <c r="E45" i="4"/>
  <c r="F45" i="4"/>
  <c r="G45" i="4"/>
  <c r="H45" i="4"/>
  <c r="I45" i="4"/>
  <c r="J45" i="4"/>
  <c r="K45" i="4"/>
  <c r="L45" i="4"/>
  <c r="M45" i="4"/>
  <c r="O45" i="4"/>
  <c r="P45" i="4"/>
  <c r="Q45" i="4"/>
  <c r="R45" i="4"/>
  <c r="S45" i="4"/>
  <c r="T45" i="4"/>
  <c r="U45" i="4"/>
  <c r="B46" i="4"/>
  <c r="C46" i="4"/>
  <c r="D46" i="4"/>
  <c r="E46" i="4"/>
  <c r="F46" i="4"/>
  <c r="G46" i="4"/>
  <c r="H46" i="4"/>
  <c r="I46" i="4"/>
  <c r="J46" i="4"/>
  <c r="K46" i="4"/>
  <c r="L46" i="4"/>
  <c r="M46" i="4"/>
  <c r="O46" i="4"/>
  <c r="P46" i="4"/>
  <c r="Q46" i="4"/>
  <c r="R46" i="4"/>
  <c r="S46" i="4"/>
  <c r="T46" i="4"/>
  <c r="U46" i="4"/>
  <c r="B47" i="4"/>
  <c r="C47" i="4"/>
  <c r="D47" i="4"/>
  <c r="E47" i="4"/>
  <c r="F47" i="4"/>
  <c r="G47" i="4"/>
  <c r="H47" i="4"/>
  <c r="I47" i="4"/>
  <c r="J47" i="4"/>
  <c r="K47" i="4"/>
  <c r="L47" i="4"/>
  <c r="M47" i="4"/>
  <c r="O47" i="4"/>
  <c r="P47" i="4"/>
  <c r="Q47" i="4"/>
  <c r="R47" i="4"/>
  <c r="S47" i="4"/>
  <c r="T47" i="4"/>
  <c r="U47" i="4"/>
  <c r="B48" i="4"/>
  <c r="C48" i="4"/>
  <c r="D48" i="4"/>
  <c r="E48" i="4"/>
  <c r="F48" i="4"/>
  <c r="G48" i="4"/>
  <c r="H48" i="4"/>
  <c r="I48" i="4"/>
  <c r="J48" i="4"/>
  <c r="K48" i="4"/>
  <c r="L48" i="4"/>
  <c r="M48" i="4"/>
  <c r="O48" i="4"/>
  <c r="P48" i="4"/>
  <c r="Q48" i="4"/>
  <c r="R48" i="4"/>
  <c r="S48" i="4"/>
  <c r="T48" i="4"/>
  <c r="U48" i="4"/>
  <c r="B49" i="4"/>
  <c r="C49" i="4"/>
  <c r="D49" i="4"/>
  <c r="E49" i="4"/>
  <c r="F49" i="4"/>
  <c r="G49" i="4"/>
  <c r="H49" i="4"/>
  <c r="I49" i="4"/>
  <c r="J49" i="4"/>
  <c r="K49" i="4"/>
  <c r="L49" i="4"/>
  <c r="M49" i="4"/>
  <c r="O49" i="4"/>
  <c r="P49" i="4"/>
  <c r="Q49" i="4"/>
  <c r="R49" i="4"/>
  <c r="S49" i="4"/>
  <c r="T49" i="4"/>
  <c r="U49" i="4"/>
  <c r="B50" i="4"/>
  <c r="C50" i="4"/>
  <c r="D50" i="4"/>
  <c r="E50" i="4"/>
  <c r="F50" i="4"/>
  <c r="G50" i="4"/>
  <c r="H50" i="4"/>
  <c r="I50" i="4"/>
  <c r="J50" i="4"/>
  <c r="K50" i="4"/>
  <c r="L50" i="4"/>
  <c r="M50" i="4"/>
  <c r="O50" i="4"/>
  <c r="P50" i="4"/>
  <c r="Q50" i="4"/>
  <c r="R50" i="4"/>
  <c r="S50" i="4"/>
  <c r="T50" i="4"/>
  <c r="U50" i="4"/>
  <c r="B51" i="4"/>
  <c r="C51" i="4"/>
  <c r="D51" i="4"/>
  <c r="E51" i="4"/>
  <c r="F51" i="4"/>
  <c r="G51" i="4"/>
  <c r="H51" i="4"/>
  <c r="I51" i="4"/>
  <c r="J51" i="4"/>
  <c r="K51" i="4"/>
  <c r="L51" i="4"/>
  <c r="M51" i="4"/>
  <c r="O51" i="4"/>
  <c r="P51" i="4"/>
  <c r="Q51" i="4"/>
  <c r="R51" i="4"/>
  <c r="S51" i="4"/>
  <c r="T51" i="4"/>
  <c r="U51" i="4"/>
  <c r="B52" i="4"/>
  <c r="C52" i="4"/>
  <c r="D52" i="4"/>
  <c r="E52" i="4"/>
  <c r="F52" i="4"/>
  <c r="G52" i="4"/>
  <c r="H52" i="4"/>
  <c r="I52" i="4"/>
  <c r="J52" i="4"/>
  <c r="K52" i="4"/>
  <c r="L52" i="4"/>
  <c r="M52" i="4"/>
  <c r="O52" i="4"/>
  <c r="P52" i="4"/>
  <c r="Q52" i="4"/>
  <c r="R52" i="4"/>
  <c r="S52" i="4"/>
  <c r="T52" i="4"/>
  <c r="U52" i="4"/>
  <c r="B53" i="4"/>
  <c r="C53" i="4"/>
  <c r="D53" i="4"/>
  <c r="E53" i="4"/>
  <c r="F53" i="4"/>
  <c r="G53" i="4"/>
  <c r="H53" i="4"/>
  <c r="I53" i="4"/>
  <c r="J53" i="4"/>
  <c r="K53" i="4"/>
  <c r="L53" i="4"/>
  <c r="M53" i="4"/>
  <c r="O53" i="4"/>
  <c r="P53" i="4"/>
  <c r="Q53" i="4"/>
  <c r="R53" i="4"/>
  <c r="S53" i="4"/>
  <c r="T53" i="4"/>
  <c r="U53" i="4"/>
  <c r="B54" i="4"/>
  <c r="C54" i="4"/>
  <c r="D54" i="4"/>
  <c r="E54" i="4"/>
  <c r="F54" i="4"/>
  <c r="G54" i="4"/>
  <c r="H54" i="4"/>
  <c r="I54" i="4"/>
  <c r="J54" i="4"/>
  <c r="K54" i="4"/>
  <c r="L54" i="4"/>
  <c r="M54" i="4"/>
  <c r="O54" i="4"/>
  <c r="P54" i="4"/>
  <c r="Q54" i="4"/>
  <c r="R54" i="4"/>
  <c r="S54" i="4"/>
  <c r="T54" i="4"/>
  <c r="U54" i="4"/>
  <c r="B55" i="4"/>
  <c r="C55" i="4"/>
  <c r="D55" i="4"/>
  <c r="E55" i="4"/>
  <c r="F55" i="4"/>
  <c r="G55" i="4"/>
  <c r="H55" i="4"/>
  <c r="I55" i="4"/>
  <c r="J55" i="4"/>
  <c r="K55" i="4"/>
  <c r="L55" i="4"/>
  <c r="M55" i="4"/>
  <c r="O55" i="4"/>
  <c r="P55" i="4"/>
  <c r="Q55" i="4"/>
  <c r="R55" i="4"/>
  <c r="S55" i="4"/>
  <c r="T55" i="4"/>
  <c r="U55" i="4"/>
  <c r="B56" i="4"/>
  <c r="C56" i="4"/>
  <c r="D56" i="4"/>
  <c r="E56" i="4"/>
  <c r="F56" i="4"/>
  <c r="G56" i="4"/>
  <c r="H56" i="4"/>
  <c r="I56" i="4"/>
  <c r="J56" i="4"/>
  <c r="K56" i="4"/>
  <c r="L56" i="4"/>
  <c r="M56" i="4"/>
  <c r="O56" i="4"/>
  <c r="P56" i="4"/>
  <c r="Q56" i="4"/>
  <c r="R56" i="4"/>
  <c r="S56" i="4"/>
  <c r="T56" i="4"/>
  <c r="U56" i="4"/>
  <c r="B57" i="4"/>
  <c r="C57" i="4"/>
  <c r="D57" i="4"/>
  <c r="E57" i="4"/>
  <c r="F57" i="4"/>
  <c r="G57" i="4"/>
  <c r="H57" i="4"/>
  <c r="I57" i="4"/>
  <c r="J57" i="4"/>
  <c r="K57" i="4"/>
  <c r="L57" i="4"/>
  <c r="M57" i="4"/>
  <c r="O57" i="4"/>
  <c r="P57" i="4"/>
  <c r="Q57" i="4"/>
  <c r="R57" i="4"/>
  <c r="S57" i="4"/>
  <c r="T57" i="4"/>
  <c r="U57" i="4"/>
  <c r="B58" i="4"/>
  <c r="C58" i="4"/>
  <c r="D58" i="4"/>
  <c r="E58" i="4"/>
  <c r="F58" i="4"/>
  <c r="G58" i="4"/>
  <c r="H58" i="4"/>
  <c r="I58" i="4"/>
  <c r="J58" i="4"/>
  <c r="K58" i="4"/>
  <c r="L58" i="4"/>
  <c r="M58" i="4"/>
  <c r="O58" i="4"/>
  <c r="P58" i="4"/>
  <c r="Q58" i="4"/>
  <c r="R58" i="4"/>
  <c r="S58" i="4"/>
  <c r="T58" i="4"/>
  <c r="U58" i="4"/>
  <c r="B59" i="4"/>
  <c r="C59" i="4"/>
  <c r="D59" i="4"/>
  <c r="E59" i="4"/>
  <c r="F59" i="4"/>
  <c r="G59" i="4"/>
  <c r="H59" i="4"/>
  <c r="I59" i="4"/>
  <c r="J59" i="4"/>
  <c r="K59" i="4"/>
  <c r="L59" i="4"/>
  <c r="M59" i="4"/>
  <c r="O59" i="4"/>
  <c r="P59" i="4"/>
  <c r="Q59" i="4"/>
  <c r="R59" i="4"/>
  <c r="S59" i="4"/>
  <c r="T59" i="4"/>
  <c r="U59" i="4"/>
  <c r="B60" i="4"/>
  <c r="C60" i="4"/>
  <c r="D60" i="4"/>
  <c r="E60" i="4"/>
  <c r="F60" i="4"/>
  <c r="G60" i="4"/>
  <c r="H60" i="4"/>
  <c r="I60" i="4"/>
  <c r="J60" i="4"/>
  <c r="K60" i="4"/>
  <c r="L60" i="4"/>
  <c r="M60" i="4"/>
  <c r="O60" i="4"/>
  <c r="P60" i="4"/>
  <c r="Q60" i="4"/>
  <c r="R60" i="4"/>
  <c r="S60" i="4"/>
  <c r="T60" i="4"/>
  <c r="U60" i="4"/>
  <c r="B61" i="4"/>
  <c r="C61" i="4"/>
  <c r="D61" i="4"/>
  <c r="E61" i="4"/>
  <c r="F61" i="4"/>
  <c r="G61" i="4"/>
  <c r="H61" i="4"/>
  <c r="I61" i="4"/>
  <c r="J61" i="4"/>
  <c r="K61" i="4"/>
  <c r="L61" i="4"/>
  <c r="M61" i="4"/>
  <c r="O61" i="4"/>
  <c r="P61" i="4"/>
  <c r="Q61" i="4"/>
  <c r="R61" i="4"/>
  <c r="S61" i="4"/>
  <c r="T61" i="4"/>
  <c r="U61" i="4"/>
  <c r="B62" i="4"/>
  <c r="C62" i="4"/>
  <c r="D62" i="4"/>
  <c r="E62" i="4"/>
  <c r="F62" i="4"/>
  <c r="G62" i="4"/>
  <c r="H62" i="4"/>
  <c r="I62" i="4"/>
  <c r="J62" i="4"/>
  <c r="K62" i="4"/>
  <c r="L62" i="4"/>
  <c r="M62" i="4"/>
  <c r="O62" i="4"/>
  <c r="P62" i="4"/>
  <c r="Q62" i="4"/>
  <c r="R62" i="4"/>
  <c r="S62" i="4"/>
  <c r="T62" i="4"/>
  <c r="U62" i="4"/>
  <c r="B63" i="4"/>
  <c r="C63" i="4"/>
  <c r="D63" i="4"/>
  <c r="E63" i="4"/>
  <c r="F63" i="4"/>
  <c r="G63" i="4"/>
  <c r="H63" i="4"/>
  <c r="I63" i="4"/>
  <c r="J63" i="4"/>
  <c r="K63" i="4"/>
  <c r="L63" i="4"/>
  <c r="M63" i="4"/>
  <c r="O63" i="4"/>
  <c r="P63" i="4"/>
  <c r="Q63" i="4"/>
  <c r="R63" i="4"/>
  <c r="S63" i="4"/>
  <c r="T63" i="4"/>
  <c r="U63" i="4"/>
  <c r="B64" i="4"/>
  <c r="C64" i="4"/>
  <c r="D64" i="4"/>
  <c r="E64" i="4"/>
  <c r="F64" i="4"/>
  <c r="G64" i="4"/>
  <c r="H64" i="4"/>
  <c r="I64" i="4"/>
  <c r="J64" i="4"/>
  <c r="K64" i="4"/>
  <c r="L64" i="4"/>
  <c r="M64" i="4"/>
  <c r="O64" i="4"/>
  <c r="P64" i="4"/>
  <c r="Q64" i="4"/>
  <c r="R64" i="4"/>
  <c r="S64" i="4"/>
  <c r="T64" i="4"/>
  <c r="U64" i="4"/>
  <c r="B65" i="4"/>
  <c r="C65" i="4"/>
  <c r="D65" i="4"/>
  <c r="E65" i="4"/>
  <c r="F65" i="4"/>
  <c r="G65" i="4"/>
  <c r="H65" i="4"/>
  <c r="I65" i="4"/>
  <c r="J65" i="4"/>
  <c r="K65" i="4"/>
  <c r="L65" i="4"/>
  <c r="M65" i="4"/>
  <c r="O65" i="4"/>
  <c r="P65" i="4"/>
  <c r="Q65" i="4"/>
  <c r="R65" i="4"/>
  <c r="S65" i="4"/>
  <c r="T65" i="4"/>
  <c r="U65" i="4"/>
  <c r="B66" i="4"/>
  <c r="C66" i="4"/>
  <c r="D66" i="4"/>
  <c r="E66" i="4"/>
  <c r="F66" i="4"/>
  <c r="G66" i="4"/>
  <c r="H66" i="4"/>
  <c r="I66" i="4"/>
  <c r="J66" i="4"/>
  <c r="K66" i="4"/>
  <c r="L66" i="4"/>
  <c r="M66" i="4"/>
  <c r="O66" i="4"/>
  <c r="P66" i="4"/>
  <c r="Q66" i="4"/>
  <c r="R66" i="4"/>
  <c r="S66" i="4"/>
  <c r="T66" i="4"/>
  <c r="U66" i="4"/>
  <c r="B67" i="4"/>
  <c r="C67" i="4"/>
  <c r="D67" i="4"/>
  <c r="E67" i="4"/>
  <c r="F67" i="4"/>
  <c r="G67" i="4"/>
  <c r="H67" i="4"/>
  <c r="I67" i="4"/>
  <c r="J67" i="4"/>
  <c r="K67" i="4"/>
  <c r="L67" i="4"/>
  <c r="M67" i="4"/>
  <c r="O67" i="4"/>
  <c r="P67" i="4"/>
  <c r="Q67" i="4"/>
  <c r="R67" i="4"/>
  <c r="S67" i="4"/>
  <c r="T67" i="4"/>
  <c r="U67" i="4"/>
  <c r="B68" i="4"/>
  <c r="C68" i="4"/>
  <c r="D68" i="4"/>
  <c r="E68" i="4"/>
  <c r="F68" i="4"/>
  <c r="G68" i="4"/>
  <c r="H68" i="4"/>
  <c r="I68" i="4"/>
  <c r="J68" i="4"/>
  <c r="K68" i="4"/>
  <c r="L68" i="4"/>
  <c r="M68" i="4"/>
  <c r="O68" i="4"/>
  <c r="P68" i="4"/>
  <c r="Q68" i="4"/>
  <c r="R68" i="4"/>
  <c r="S68" i="4"/>
  <c r="T68" i="4"/>
  <c r="U68" i="4"/>
  <c r="B69" i="4"/>
  <c r="C69" i="4"/>
  <c r="D69" i="4"/>
  <c r="E69" i="4"/>
  <c r="F69" i="4"/>
  <c r="G69" i="4"/>
  <c r="H69" i="4"/>
  <c r="I69" i="4"/>
  <c r="J69" i="4"/>
  <c r="K69" i="4"/>
  <c r="L69" i="4"/>
  <c r="M69" i="4"/>
  <c r="O69" i="4"/>
  <c r="P69" i="4"/>
  <c r="Q69" i="4"/>
  <c r="R69" i="4"/>
  <c r="S69" i="4"/>
  <c r="T69" i="4"/>
  <c r="U69" i="4"/>
  <c r="B70" i="4"/>
  <c r="C70" i="4"/>
  <c r="D70" i="4"/>
  <c r="E70" i="4"/>
  <c r="F70" i="4"/>
  <c r="G70" i="4"/>
  <c r="H70" i="4"/>
  <c r="I70" i="4"/>
  <c r="J70" i="4"/>
  <c r="K70" i="4"/>
  <c r="L70" i="4"/>
  <c r="M70" i="4"/>
  <c r="O70" i="4"/>
  <c r="P70" i="4"/>
  <c r="Q70" i="4"/>
  <c r="R70" i="4"/>
  <c r="S70" i="4"/>
  <c r="T70" i="4"/>
  <c r="U70" i="4"/>
  <c r="B71" i="4"/>
  <c r="C71" i="4"/>
  <c r="D71" i="4"/>
  <c r="E71" i="4"/>
  <c r="F71" i="4"/>
  <c r="G71" i="4"/>
  <c r="H71" i="4"/>
  <c r="I71" i="4"/>
  <c r="J71" i="4"/>
  <c r="K71" i="4"/>
  <c r="L71" i="4"/>
  <c r="M71" i="4"/>
  <c r="O71" i="4"/>
  <c r="P71" i="4"/>
  <c r="Q71" i="4"/>
  <c r="R71" i="4"/>
  <c r="S71" i="4"/>
  <c r="T71" i="4"/>
  <c r="U71" i="4"/>
  <c r="B72" i="4"/>
  <c r="C72" i="4"/>
  <c r="D72" i="4"/>
  <c r="E72" i="4"/>
  <c r="F72" i="4"/>
  <c r="G72" i="4"/>
  <c r="H72" i="4"/>
  <c r="I72" i="4"/>
  <c r="J72" i="4"/>
  <c r="K72" i="4"/>
  <c r="L72" i="4"/>
  <c r="M72" i="4"/>
  <c r="O72" i="4"/>
  <c r="P72" i="4"/>
  <c r="Q72" i="4"/>
  <c r="R72" i="4"/>
  <c r="S72" i="4"/>
  <c r="T72" i="4"/>
  <c r="U72" i="4"/>
  <c r="B73" i="4"/>
  <c r="C73" i="4"/>
  <c r="D73" i="4"/>
  <c r="E73" i="4"/>
  <c r="F73" i="4"/>
  <c r="G73" i="4"/>
  <c r="H73" i="4"/>
  <c r="I73" i="4"/>
  <c r="J73" i="4"/>
  <c r="K73" i="4"/>
  <c r="L73" i="4"/>
  <c r="M73" i="4"/>
  <c r="O73" i="4"/>
  <c r="P73" i="4"/>
  <c r="Q73" i="4"/>
  <c r="R73" i="4"/>
  <c r="S73" i="4"/>
  <c r="T73" i="4"/>
  <c r="U73" i="4"/>
  <c r="B74" i="4"/>
  <c r="C74" i="4"/>
  <c r="D74" i="4"/>
  <c r="E74" i="4"/>
  <c r="F74" i="4"/>
  <c r="G74" i="4"/>
  <c r="H74" i="4"/>
  <c r="I74" i="4"/>
  <c r="J74" i="4"/>
  <c r="K74" i="4"/>
  <c r="L74" i="4"/>
  <c r="M74" i="4"/>
  <c r="O74" i="4"/>
  <c r="P74" i="4"/>
  <c r="Q74" i="4"/>
  <c r="R74" i="4"/>
  <c r="S74" i="4"/>
  <c r="T74" i="4"/>
  <c r="U74" i="4"/>
  <c r="B75" i="4"/>
  <c r="C75" i="4"/>
  <c r="D75" i="4"/>
  <c r="E75" i="4"/>
  <c r="F75" i="4"/>
  <c r="G75" i="4"/>
  <c r="H75" i="4"/>
  <c r="I75" i="4"/>
  <c r="J75" i="4"/>
  <c r="K75" i="4"/>
  <c r="L75" i="4"/>
  <c r="M75" i="4"/>
  <c r="O75" i="4"/>
  <c r="P75" i="4"/>
  <c r="Q75" i="4"/>
  <c r="R75" i="4"/>
  <c r="S75" i="4"/>
  <c r="T75" i="4"/>
  <c r="U75" i="4"/>
  <c r="B76" i="4"/>
  <c r="C76" i="4"/>
  <c r="D76" i="4"/>
  <c r="E76" i="4"/>
  <c r="F76" i="4"/>
  <c r="G76" i="4"/>
  <c r="H76" i="4"/>
  <c r="I76" i="4"/>
  <c r="J76" i="4"/>
  <c r="K76" i="4"/>
  <c r="L76" i="4"/>
  <c r="M76" i="4"/>
  <c r="O76" i="4"/>
  <c r="P76" i="4"/>
  <c r="Q76" i="4"/>
  <c r="R76" i="4"/>
  <c r="S76" i="4"/>
  <c r="T76" i="4"/>
  <c r="U76" i="4"/>
  <c r="B77" i="4"/>
  <c r="C77" i="4"/>
  <c r="D77" i="4"/>
  <c r="E77" i="4"/>
  <c r="F77" i="4"/>
  <c r="G77" i="4"/>
  <c r="H77" i="4"/>
  <c r="I77" i="4"/>
  <c r="J77" i="4"/>
  <c r="K77" i="4"/>
  <c r="L77" i="4"/>
  <c r="M77" i="4"/>
  <c r="O77" i="4"/>
  <c r="P77" i="4"/>
  <c r="Q77" i="4"/>
  <c r="R77" i="4"/>
  <c r="S77" i="4"/>
  <c r="T77" i="4"/>
  <c r="U77" i="4"/>
  <c r="B78" i="4"/>
  <c r="C78" i="4"/>
  <c r="D78" i="4"/>
  <c r="E78" i="4"/>
  <c r="F78" i="4"/>
  <c r="G78" i="4"/>
  <c r="H78" i="4"/>
  <c r="I78" i="4"/>
  <c r="J78" i="4"/>
  <c r="K78" i="4"/>
  <c r="L78" i="4"/>
  <c r="M78" i="4"/>
  <c r="O78" i="4"/>
  <c r="P78" i="4"/>
  <c r="Q78" i="4"/>
  <c r="R78" i="4"/>
  <c r="S78" i="4"/>
  <c r="T78" i="4"/>
  <c r="U78" i="4"/>
  <c r="B79" i="4"/>
  <c r="C79" i="4"/>
  <c r="D79" i="4"/>
  <c r="E79" i="4"/>
  <c r="F79" i="4"/>
  <c r="G79" i="4"/>
  <c r="H79" i="4"/>
  <c r="I79" i="4"/>
  <c r="J79" i="4"/>
  <c r="K79" i="4"/>
  <c r="L79" i="4"/>
  <c r="M79" i="4"/>
  <c r="O79" i="4"/>
  <c r="P79" i="4"/>
  <c r="Q79" i="4"/>
  <c r="R79" i="4"/>
  <c r="S79" i="4"/>
  <c r="T79" i="4"/>
  <c r="U79" i="4"/>
  <c r="B80" i="4"/>
  <c r="C80" i="4"/>
  <c r="D80" i="4"/>
  <c r="E80" i="4"/>
  <c r="F80" i="4"/>
  <c r="G80" i="4"/>
  <c r="H80" i="4"/>
  <c r="I80" i="4"/>
  <c r="J80" i="4"/>
  <c r="K80" i="4"/>
  <c r="L80" i="4"/>
  <c r="M80" i="4"/>
  <c r="O80" i="4"/>
  <c r="P80" i="4"/>
  <c r="Q80" i="4"/>
  <c r="R80" i="4"/>
  <c r="S80" i="4"/>
  <c r="T80" i="4"/>
  <c r="U80" i="4"/>
  <c r="L44" i="4"/>
  <c r="K44" i="4"/>
  <c r="J44" i="4"/>
  <c r="I44" i="4"/>
  <c r="H44" i="4"/>
  <c r="G44" i="4"/>
  <c r="F44" i="4"/>
  <c r="E44" i="4"/>
  <c r="D44" i="4"/>
  <c r="C44" i="4"/>
  <c r="U44" i="4"/>
  <c r="T44" i="4"/>
  <c r="S44" i="4"/>
  <c r="R44" i="4"/>
  <c r="Q44" i="4"/>
  <c r="P44" i="4"/>
  <c r="O44" i="4"/>
  <c r="M44" i="4"/>
  <c r="B44" i="4"/>
  <c r="C45" i="3"/>
  <c r="D45" i="3"/>
  <c r="E45" i="3"/>
  <c r="F45" i="3"/>
  <c r="G45" i="3"/>
  <c r="H45" i="3"/>
  <c r="I45" i="3"/>
  <c r="J45" i="3"/>
  <c r="K45" i="3"/>
  <c r="L45" i="3"/>
  <c r="C46" i="3"/>
  <c r="D46" i="3"/>
  <c r="E46" i="3"/>
  <c r="F46" i="3"/>
  <c r="G46" i="3"/>
  <c r="H46" i="3"/>
  <c r="I46" i="3"/>
  <c r="J46" i="3"/>
  <c r="K46" i="3"/>
  <c r="L46" i="3"/>
  <c r="C47" i="3"/>
  <c r="D47" i="3"/>
  <c r="E47" i="3"/>
  <c r="F47" i="3"/>
  <c r="G47" i="3"/>
  <c r="H47" i="3"/>
  <c r="I47" i="3"/>
  <c r="J47" i="3"/>
  <c r="K47" i="3"/>
  <c r="L47" i="3"/>
  <c r="C48" i="3"/>
  <c r="D48" i="3"/>
  <c r="E48" i="3"/>
  <c r="F48" i="3"/>
  <c r="G48" i="3"/>
  <c r="H48" i="3"/>
  <c r="I48" i="3"/>
  <c r="J48" i="3"/>
  <c r="K48" i="3"/>
  <c r="L48" i="3"/>
  <c r="C49" i="3"/>
  <c r="D49" i="3"/>
  <c r="E49" i="3"/>
  <c r="F49" i="3"/>
  <c r="G49" i="3"/>
  <c r="H49" i="3"/>
  <c r="I49" i="3"/>
  <c r="J49" i="3"/>
  <c r="K49" i="3"/>
  <c r="L49" i="3"/>
  <c r="C50" i="3"/>
  <c r="D50" i="3"/>
  <c r="E50" i="3"/>
  <c r="F50" i="3"/>
  <c r="G50" i="3"/>
  <c r="H50" i="3"/>
  <c r="I50" i="3"/>
  <c r="J50" i="3"/>
  <c r="K50" i="3"/>
  <c r="L50" i="3"/>
  <c r="C51" i="3"/>
  <c r="D51" i="3"/>
  <c r="E51" i="3"/>
  <c r="F51" i="3"/>
  <c r="G51" i="3"/>
  <c r="H51" i="3"/>
  <c r="I51" i="3"/>
  <c r="J51" i="3"/>
  <c r="K51" i="3"/>
  <c r="L51" i="3"/>
  <c r="C52" i="3"/>
  <c r="D52" i="3"/>
  <c r="E52" i="3"/>
  <c r="F52" i="3"/>
  <c r="G52" i="3"/>
  <c r="H52" i="3"/>
  <c r="I52" i="3"/>
  <c r="J52" i="3"/>
  <c r="K52" i="3"/>
  <c r="L52" i="3"/>
  <c r="C53" i="3"/>
  <c r="D53" i="3"/>
  <c r="E53" i="3"/>
  <c r="F53" i="3"/>
  <c r="G53" i="3"/>
  <c r="H53" i="3"/>
  <c r="I53" i="3"/>
  <c r="J53" i="3"/>
  <c r="K53" i="3"/>
  <c r="L53" i="3"/>
  <c r="C54" i="3"/>
  <c r="D54" i="3"/>
  <c r="E54" i="3"/>
  <c r="F54" i="3"/>
  <c r="G54" i="3"/>
  <c r="H54" i="3"/>
  <c r="I54" i="3"/>
  <c r="J54" i="3"/>
  <c r="K54" i="3"/>
  <c r="L54" i="3"/>
  <c r="C55" i="3"/>
  <c r="D55" i="3"/>
  <c r="E55" i="3"/>
  <c r="F55" i="3"/>
  <c r="G55" i="3"/>
  <c r="H55" i="3"/>
  <c r="I55" i="3"/>
  <c r="J55" i="3"/>
  <c r="K55" i="3"/>
  <c r="L55" i="3"/>
  <c r="C56" i="3"/>
  <c r="D56" i="3"/>
  <c r="E56" i="3"/>
  <c r="F56" i="3"/>
  <c r="G56" i="3"/>
  <c r="H56" i="3"/>
  <c r="I56" i="3"/>
  <c r="J56" i="3"/>
  <c r="K56" i="3"/>
  <c r="L56" i="3"/>
  <c r="C57" i="3"/>
  <c r="D57" i="3"/>
  <c r="E57" i="3"/>
  <c r="F57" i="3"/>
  <c r="G57" i="3"/>
  <c r="H57" i="3"/>
  <c r="I57" i="3"/>
  <c r="J57" i="3"/>
  <c r="K57" i="3"/>
  <c r="L57" i="3"/>
  <c r="C58" i="3"/>
  <c r="D58" i="3"/>
  <c r="E58" i="3"/>
  <c r="F58" i="3"/>
  <c r="G58" i="3"/>
  <c r="H58" i="3"/>
  <c r="I58" i="3"/>
  <c r="J58" i="3"/>
  <c r="K58" i="3"/>
  <c r="L58" i="3"/>
  <c r="C59" i="3"/>
  <c r="D59" i="3"/>
  <c r="E59" i="3"/>
  <c r="F59" i="3"/>
  <c r="G59" i="3"/>
  <c r="H59" i="3"/>
  <c r="I59" i="3"/>
  <c r="J59" i="3"/>
  <c r="K59" i="3"/>
  <c r="L59" i="3"/>
  <c r="C60" i="3"/>
  <c r="D60" i="3"/>
  <c r="E60" i="3"/>
  <c r="F60" i="3"/>
  <c r="G60" i="3"/>
  <c r="H60" i="3"/>
  <c r="I60" i="3"/>
  <c r="J60" i="3"/>
  <c r="K60" i="3"/>
  <c r="L60" i="3"/>
  <c r="C61" i="3"/>
  <c r="D61" i="3"/>
  <c r="E61" i="3"/>
  <c r="F61" i="3"/>
  <c r="G61" i="3"/>
  <c r="H61" i="3"/>
  <c r="I61" i="3"/>
  <c r="J61" i="3"/>
  <c r="K61" i="3"/>
  <c r="L61" i="3"/>
  <c r="C62" i="3"/>
  <c r="D62" i="3"/>
  <c r="E62" i="3"/>
  <c r="F62" i="3"/>
  <c r="G62" i="3"/>
  <c r="H62" i="3"/>
  <c r="I62" i="3"/>
  <c r="J62" i="3"/>
  <c r="K62" i="3"/>
  <c r="L62" i="3"/>
  <c r="C63" i="3"/>
  <c r="D63" i="3"/>
  <c r="E63" i="3"/>
  <c r="F63" i="3"/>
  <c r="G63" i="3"/>
  <c r="H63" i="3"/>
  <c r="I63" i="3"/>
  <c r="J63" i="3"/>
  <c r="K63" i="3"/>
  <c r="L63" i="3"/>
  <c r="C64" i="3"/>
  <c r="D64" i="3"/>
  <c r="E64" i="3"/>
  <c r="F64" i="3"/>
  <c r="G64" i="3"/>
  <c r="H64" i="3"/>
  <c r="I64" i="3"/>
  <c r="J64" i="3"/>
  <c r="K64" i="3"/>
  <c r="L64" i="3"/>
  <c r="C65" i="3"/>
  <c r="D65" i="3"/>
  <c r="E65" i="3"/>
  <c r="F65" i="3"/>
  <c r="G65" i="3"/>
  <c r="H65" i="3"/>
  <c r="I65" i="3"/>
  <c r="J65" i="3"/>
  <c r="K65" i="3"/>
  <c r="L65" i="3"/>
  <c r="C66" i="3"/>
  <c r="D66" i="3"/>
  <c r="E66" i="3"/>
  <c r="F66" i="3"/>
  <c r="G66" i="3"/>
  <c r="H66" i="3"/>
  <c r="I66" i="3"/>
  <c r="J66" i="3"/>
  <c r="K66" i="3"/>
  <c r="L66" i="3"/>
  <c r="C67" i="3"/>
  <c r="D67" i="3"/>
  <c r="E67" i="3"/>
  <c r="F67" i="3"/>
  <c r="G67" i="3"/>
  <c r="H67" i="3"/>
  <c r="I67" i="3"/>
  <c r="J67" i="3"/>
  <c r="K67" i="3"/>
  <c r="L67" i="3"/>
  <c r="C68" i="3"/>
  <c r="D68" i="3"/>
  <c r="E68" i="3"/>
  <c r="F68" i="3"/>
  <c r="G68" i="3"/>
  <c r="H68" i="3"/>
  <c r="I68" i="3"/>
  <c r="J68" i="3"/>
  <c r="K68" i="3"/>
  <c r="L68" i="3"/>
  <c r="C69" i="3"/>
  <c r="D69" i="3"/>
  <c r="E69" i="3"/>
  <c r="F69" i="3"/>
  <c r="G69" i="3"/>
  <c r="H69" i="3"/>
  <c r="I69" i="3"/>
  <c r="J69" i="3"/>
  <c r="K69" i="3"/>
  <c r="L69" i="3"/>
  <c r="C70" i="3"/>
  <c r="D70" i="3"/>
  <c r="E70" i="3"/>
  <c r="F70" i="3"/>
  <c r="G70" i="3"/>
  <c r="H70" i="3"/>
  <c r="I70" i="3"/>
  <c r="J70" i="3"/>
  <c r="K70" i="3"/>
  <c r="L70" i="3"/>
  <c r="C71" i="3"/>
  <c r="D71" i="3"/>
  <c r="E71" i="3"/>
  <c r="F71" i="3"/>
  <c r="G71" i="3"/>
  <c r="H71" i="3"/>
  <c r="I71" i="3"/>
  <c r="J71" i="3"/>
  <c r="K71" i="3"/>
  <c r="L71" i="3"/>
  <c r="C72" i="3"/>
  <c r="D72" i="3"/>
  <c r="E72" i="3"/>
  <c r="F72" i="3"/>
  <c r="G72" i="3"/>
  <c r="H72" i="3"/>
  <c r="I72" i="3"/>
  <c r="J72" i="3"/>
  <c r="K72" i="3"/>
  <c r="L72" i="3"/>
  <c r="C73" i="3"/>
  <c r="D73" i="3"/>
  <c r="E73" i="3"/>
  <c r="F73" i="3"/>
  <c r="G73" i="3"/>
  <c r="H73" i="3"/>
  <c r="I73" i="3"/>
  <c r="J73" i="3"/>
  <c r="K73" i="3"/>
  <c r="L73" i="3"/>
  <c r="C74" i="3"/>
  <c r="D74" i="3"/>
  <c r="E74" i="3"/>
  <c r="F74" i="3"/>
  <c r="G74" i="3"/>
  <c r="H74" i="3"/>
  <c r="I74" i="3"/>
  <c r="J74" i="3"/>
  <c r="K74" i="3"/>
  <c r="L74" i="3"/>
  <c r="C75" i="3"/>
  <c r="D75" i="3"/>
  <c r="E75" i="3"/>
  <c r="F75" i="3"/>
  <c r="G75" i="3"/>
  <c r="H75" i="3"/>
  <c r="I75" i="3"/>
  <c r="J75" i="3"/>
  <c r="K75" i="3"/>
  <c r="L75" i="3"/>
  <c r="C76" i="3"/>
  <c r="D76" i="3"/>
  <c r="E76" i="3"/>
  <c r="F76" i="3"/>
  <c r="G76" i="3"/>
  <c r="H76" i="3"/>
  <c r="I76" i="3"/>
  <c r="J76" i="3"/>
  <c r="K76" i="3"/>
  <c r="L76" i="3"/>
  <c r="C77" i="3"/>
  <c r="D77" i="3"/>
  <c r="E77" i="3"/>
  <c r="F77" i="3"/>
  <c r="G77" i="3"/>
  <c r="H77" i="3"/>
  <c r="I77" i="3"/>
  <c r="J77" i="3"/>
  <c r="K77" i="3"/>
  <c r="L77" i="3"/>
  <c r="C78" i="3"/>
  <c r="D78" i="3"/>
  <c r="E78" i="3"/>
  <c r="F78" i="3"/>
  <c r="G78" i="3"/>
  <c r="H78" i="3"/>
  <c r="I78" i="3"/>
  <c r="J78" i="3"/>
  <c r="K78" i="3"/>
  <c r="L78" i="3"/>
  <c r="C79" i="3"/>
  <c r="D79" i="3"/>
  <c r="E79" i="3"/>
  <c r="F79" i="3"/>
  <c r="G79" i="3"/>
  <c r="H79" i="3"/>
  <c r="I79" i="3"/>
  <c r="J79" i="3"/>
  <c r="K79" i="3"/>
  <c r="L79" i="3"/>
  <c r="C80" i="3"/>
  <c r="D80" i="3"/>
  <c r="E80" i="3"/>
  <c r="F80" i="3"/>
  <c r="G80" i="3"/>
  <c r="H80" i="3"/>
  <c r="I80" i="3"/>
  <c r="J80" i="3"/>
  <c r="K80" i="3"/>
  <c r="L80" i="3"/>
  <c r="L44" i="3"/>
  <c r="K44" i="3"/>
  <c r="J44" i="3"/>
  <c r="I44" i="3"/>
  <c r="G44" i="3"/>
  <c r="F44" i="3"/>
  <c r="E44" i="3"/>
  <c r="D44" i="3"/>
  <c r="C44" i="3"/>
  <c r="CA44" i="3"/>
  <c r="BU45" i="3"/>
  <c r="BU46" i="3"/>
  <c r="BU47" i="3"/>
  <c r="BU48" i="3"/>
  <c r="BU49" i="3"/>
  <c r="BU50" i="3"/>
  <c r="BU51" i="3"/>
  <c r="BU52" i="3"/>
  <c r="BU53" i="3"/>
  <c r="BU54" i="3"/>
  <c r="BU55" i="3"/>
  <c r="BU56" i="3"/>
  <c r="BU57" i="3"/>
  <c r="BU58" i="3"/>
  <c r="BU59" i="3"/>
  <c r="BU60" i="3"/>
  <c r="BU61" i="3"/>
  <c r="BU62" i="3"/>
  <c r="BU63" i="3"/>
  <c r="BU64" i="3"/>
  <c r="BU65" i="3"/>
  <c r="BU66" i="3"/>
  <c r="BU67" i="3"/>
  <c r="BU68" i="3"/>
  <c r="BU69" i="3"/>
  <c r="BU70" i="3"/>
  <c r="BU71" i="3"/>
  <c r="BU72" i="3"/>
  <c r="BU73" i="3"/>
  <c r="BU74" i="3"/>
  <c r="BU75" i="3"/>
  <c r="BU76" i="3"/>
  <c r="BU77" i="3"/>
  <c r="BU78" i="3"/>
  <c r="BU79" i="3"/>
  <c r="BU80" i="3"/>
  <c r="BL45" i="3"/>
  <c r="BL46" i="3"/>
  <c r="BL47" i="3"/>
  <c r="BL48" i="3"/>
  <c r="BL49" i="3"/>
  <c r="BL50" i="3"/>
  <c r="BL51" i="3"/>
  <c r="BL52" i="3"/>
  <c r="BL53" i="3"/>
  <c r="BL54" i="3"/>
  <c r="BL55" i="3"/>
  <c r="BL56" i="3"/>
  <c r="BL57" i="3"/>
  <c r="BL58" i="3"/>
  <c r="BL59" i="3"/>
  <c r="BL60" i="3"/>
  <c r="BL61" i="3"/>
  <c r="BL62" i="3"/>
  <c r="BL63" i="3"/>
  <c r="BL64" i="3"/>
  <c r="BL65" i="3"/>
  <c r="BL66" i="3"/>
  <c r="BL67" i="3"/>
  <c r="BL68" i="3"/>
  <c r="BL69" i="3"/>
  <c r="BL70" i="3"/>
  <c r="BL71" i="3"/>
  <c r="BL72" i="3"/>
  <c r="BL73" i="3"/>
  <c r="BL74" i="3"/>
  <c r="BL75" i="3"/>
  <c r="BL76" i="3"/>
  <c r="BL77" i="3"/>
  <c r="BL78" i="3"/>
  <c r="BL79" i="3"/>
  <c r="BL80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59" i="3"/>
  <c r="BB60" i="3"/>
  <c r="BB61" i="3"/>
  <c r="BB62" i="3"/>
  <c r="BB63" i="3"/>
  <c r="BB64" i="3"/>
  <c r="BB65" i="3"/>
  <c r="BB66" i="3"/>
  <c r="BB67" i="3"/>
  <c r="BB68" i="3"/>
  <c r="BB69" i="3"/>
  <c r="BB70" i="3"/>
  <c r="BB71" i="3"/>
  <c r="BB72" i="3"/>
  <c r="BB73" i="3"/>
  <c r="BB74" i="3"/>
  <c r="BB75" i="3"/>
  <c r="BB76" i="3"/>
  <c r="BB77" i="3"/>
  <c r="BB78" i="3"/>
  <c r="BB79" i="3"/>
  <c r="BB80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U44" i="3"/>
  <c r="BL44" i="3"/>
  <c r="BB44" i="3"/>
  <c r="AR44" i="3"/>
  <c r="AH44" i="3"/>
  <c r="Z44" i="3"/>
  <c r="AD44" i="3"/>
  <c r="P44" i="3"/>
  <c r="M44" i="3"/>
  <c r="B44" i="3"/>
  <c r="CA39" i="5" a="1"/>
  <c r="BZ39" i="5" a="1"/>
  <c r="BR39" i="5" a="1"/>
  <c r="BJ39" i="5" a="1"/>
  <c r="BB39" i="5" a="1"/>
  <c r="AT39" i="5" a="1"/>
  <c r="AL39" i="5" a="1"/>
  <c r="AD39" i="5" a="1"/>
  <c r="V39" i="5" a="1"/>
  <c r="N39" i="5" a="1"/>
  <c r="F39" i="5" a="1"/>
  <c r="BX38" i="5" a="1"/>
  <c r="BP38" i="5" a="1"/>
  <c r="BH38" i="5" a="1"/>
  <c r="AZ38" i="5" a="1"/>
  <c r="AR38" i="5" a="1"/>
  <c r="AJ38" i="5" a="1"/>
  <c r="AB38" i="5" a="1"/>
  <c r="BY39" i="5" a="1"/>
  <c r="BQ39" i="5" a="1"/>
  <c r="BI39" i="5" a="1"/>
  <c r="BA39" i="5" a="1"/>
  <c r="AS39" i="5" a="1"/>
  <c r="AK39" i="5" a="1"/>
  <c r="AC39" i="5" a="1"/>
  <c r="U39" i="5" a="1"/>
  <c r="M39" i="5" a="1"/>
  <c r="E39" i="5" a="1"/>
  <c r="BX39" i="5" a="1"/>
  <c r="BW39" i="5" a="1"/>
  <c r="BO39" i="5" a="1"/>
  <c r="BG39" i="5" a="1"/>
  <c r="AY39" i="5" a="1"/>
  <c r="AQ39" i="5" a="1"/>
  <c r="AI39" i="5" a="1"/>
  <c r="AA39" i="5" a="1"/>
  <c r="S39" i="5" a="1"/>
  <c r="K39" i="5" a="1"/>
  <c r="C39" i="5" a="1"/>
  <c r="BU38" i="5" a="1"/>
  <c r="BM38" i="5" a="1"/>
  <c r="BE38" i="5" a="1"/>
  <c r="AW38" i="5" a="1"/>
  <c r="AO38" i="5" a="1"/>
  <c r="AG38" i="5" a="1"/>
  <c r="Y38" i="5" a="1"/>
  <c r="Q38" i="5" a="1"/>
  <c r="I38" i="5" a="1"/>
  <c r="CA37" i="5" a="1"/>
  <c r="BS37" i="5" a="1"/>
  <c r="BV39" i="5" a="1"/>
  <c r="BN39" i="5" a="1"/>
  <c r="BF39" i="5" a="1"/>
  <c r="AX39" i="5" a="1"/>
  <c r="AP39" i="5" a="1"/>
  <c r="AH39" i="5" a="1"/>
  <c r="Z39" i="5" a="1"/>
  <c r="R39" i="5" a="1"/>
  <c r="J39" i="5" a="1"/>
  <c r="B39" i="5" a="1"/>
  <c r="BT38" i="5" a="1"/>
  <c r="BL38" i="5" a="1"/>
  <c r="BD38" i="5" a="1"/>
  <c r="AV38" i="5" a="1"/>
  <c r="AN38" i="5" a="1"/>
  <c r="AF38" i="5" a="1"/>
  <c r="X38" i="5" a="1"/>
  <c r="P38" i="5" a="1"/>
  <c r="H38" i="5" a="1"/>
  <c r="BZ37" i="5" a="1"/>
  <c r="BR37" i="5" a="1"/>
  <c r="BJ37" i="5" a="1"/>
  <c r="BB37" i="5" a="1"/>
  <c r="AT37" i="5" a="1"/>
  <c r="BU39" i="5" a="1"/>
  <c r="BT39" i="5" a="1"/>
  <c r="AU39" i="5" a="1"/>
  <c r="T39" i="5" a="1"/>
  <c r="BV38" i="5" a="1"/>
  <c r="BA38" i="5" a="1"/>
  <c r="L38" i="5" a="1"/>
  <c r="BT37" i="5" a="1"/>
  <c r="BC37" i="5" a="1"/>
  <c r="AM37" i="5" a="1"/>
  <c r="Y37" i="5" a="1"/>
  <c r="K37" i="5" a="1"/>
  <c r="BH36" i="5" a="1"/>
  <c r="AT36" i="5" a="1"/>
  <c r="AF36" i="5" a="1"/>
  <c r="R36" i="5" a="1"/>
  <c r="C36" i="5" a="1"/>
  <c r="BO35" i="5" a="1"/>
  <c r="BA35" i="5" a="1"/>
  <c r="AM35" i="5" a="1"/>
  <c r="J35" i="5" a="1"/>
  <c r="BV34" i="5" a="1"/>
  <c r="BH34" i="5" a="1"/>
  <c r="AT34" i="5" a="1"/>
  <c r="AE34" i="5" a="1"/>
  <c r="Q34" i="5" a="1"/>
  <c r="C34" i="5" a="1"/>
  <c r="BB33" i="5" a="1"/>
  <c r="AP33" i="5" a="1"/>
  <c r="P33" i="5" a="1"/>
  <c r="BP32" i="5" a="1"/>
  <c r="BD32" i="5" a="1"/>
  <c r="AD32" i="5" a="1"/>
  <c r="D32" i="5" a="1"/>
  <c r="BR31" i="5" a="1"/>
  <c r="AR31" i="5" a="1"/>
  <c r="BS39" i="5" a="1"/>
  <c r="AR39" i="5" a="1"/>
  <c r="Q39" i="5" a="1"/>
  <c r="BS38" i="5" a="1"/>
  <c r="AY38" i="5" a="1"/>
  <c r="AD38" i="5" a="1"/>
  <c r="K38" i="5" a="1"/>
  <c r="BQ37" i="5" a="1"/>
  <c r="BA37" i="5" a="1"/>
  <c r="AL37" i="5" a="1"/>
  <c r="X37" i="5" a="1"/>
  <c r="J37" i="5" a="1"/>
  <c r="BV36" i="5" a="1"/>
  <c r="BG36" i="5" a="1"/>
  <c r="AS36" i="5" a="1"/>
  <c r="AE36" i="5" a="1"/>
  <c r="Q36" i="5" a="1"/>
  <c r="BN35" i="5" a="1"/>
  <c r="AZ35" i="5" a="1"/>
  <c r="AL35" i="5" a="1"/>
  <c r="X35" i="5" a="1"/>
  <c r="I35" i="5" a="1"/>
  <c r="BU34" i="5" a="1"/>
  <c r="BG34" i="5" a="1"/>
  <c r="AS34" i="5" a="1"/>
  <c r="P34" i="5" a="1"/>
  <c r="B34" i="5" a="1"/>
  <c r="BO33" i="5" a="1"/>
  <c r="BA33" i="5" a="1"/>
  <c r="AO33" i="5" a="1"/>
  <c r="AB33" i="5" a="1"/>
  <c r="O33" i="5" a="1"/>
  <c r="C33" i="5" a="1"/>
  <c r="BO32" i="5" a="1"/>
  <c r="BC32" i="5" a="1"/>
  <c r="AP32" i="5" a="1"/>
  <c r="AC32" i="5" a="1"/>
  <c r="Q32" i="5" a="1"/>
  <c r="C32" i="5" a="1"/>
  <c r="BQ31" i="5" a="1"/>
  <c r="BD31" i="5" a="1"/>
  <c r="AQ31" i="5" a="1"/>
  <c r="AE31" i="5" a="1"/>
  <c r="T31" i="5" a="1"/>
  <c r="L31" i="5" a="1"/>
  <c r="D31" i="5" a="1"/>
  <c r="BV30" i="5" a="1"/>
  <c r="BN30" i="5" a="1"/>
  <c r="BF30" i="5" a="1"/>
  <c r="AX30" i="5" a="1"/>
  <c r="AP30" i="5" a="1"/>
  <c r="AH30" i="5" a="1"/>
  <c r="Z30" i="5" a="1"/>
  <c r="R30" i="5" a="1"/>
  <c r="J30" i="5" a="1"/>
  <c r="B30" i="5" a="1"/>
  <c r="BT29" i="5" a="1"/>
  <c r="BL29" i="5" a="1"/>
  <c r="BP39" i="5" a="1"/>
  <c r="AO39" i="5" a="1"/>
  <c r="AX38" i="5" a="1"/>
  <c r="AC38" i="5" a="1"/>
  <c r="J38" i="5" a="1"/>
  <c r="AK37" i="5" a="1"/>
  <c r="W37" i="5" a="1"/>
  <c r="I37" i="5" a="1"/>
  <c r="BU36" i="5" a="1"/>
  <c r="AR36" i="5" a="1"/>
  <c r="AD36" i="5" a="1"/>
  <c r="P36" i="5" a="1"/>
  <c r="B36" i="5" a="1"/>
  <c r="BM35" i="5" a="1"/>
  <c r="AY35" i="5" a="1"/>
  <c r="AK35" i="5" a="1"/>
  <c r="W35" i="5" a="1"/>
  <c r="BT34" i="5" a="1"/>
  <c r="BF34" i="5" a="1"/>
  <c r="AR34" i="5" a="1"/>
  <c r="AD34" i="5" a="1"/>
  <c r="O34" i="5" a="1"/>
  <c r="CA33" i="5" a="1"/>
  <c r="BN33" i="5" a="1"/>
  <c r="AN33" i="5" a="1"/>
  <c r="N33" i="5" a="1"/>
  <c r="B33" i="5" a="1"/>
  <c r="BB32" i="5" a="1"/>
  <c r="AB32" i="5" a="1"/>
  <c r="P32" i="5" a="1"/>
  <c r="BP31" i="5" a="1"/>
  <c r="AP31" i="5" a="1"/>
  <c r="AD31" i="5" a="1"/>
  <c r="BM39" i="5" a="1"/>
  <c r="P39" i="5" a="1"/>
  <c r="BR38" i="5" a="1"/>
  <c r="AU38" i="5" a="1"/>
  <c r="AA38" i="5" a="1"/>
  <c r="G38" i="5" a="1"/>
  <c r="BP37" i="5" a="1"/>
  <c r="AZ37" i="5" a="1"/>
  <c r="V37" i="5" a="1"/>
  <c r="H37" i="5" a="1"/>
  <c r="BT36" i="5" a="1"/>
  <c r="BF36" i="5" a="1"/>
  <c r="AQ36" i="5" a="1"/>
  <c r="AC36" i="5" a="1"/>
  <c r="O36" i="5" a="1"/>
  <c r="CA35" i="5" a="1"/>
  <c r="AX35" i="5" a="1"/>
  <c r="AJ35" i="5" a="1"/>
  <c r="V35" i="5" a="1"/>
  <c r="H35" i="5" a="1"/>
  <c r="BS34" i="5" a="1"/>
  <c r="BE34" i="5" a="1"/>
  <c r="AQ34" i="5" a="1"/>
  <c r="AC34" i="5" a="1"/>
  <c r="BZ33" i="5" a="1"/>
  <c r="BM33" i="5" a="1"/>
  <c r="AZ33" i="5" a="1"/>
  <c r="AM33" i="5" a="1"/>
  <c r="AA33" i="5" a="1"/>
  <c r="M33" i="5" a="1"/>
  <c r="CA32" i="5" a="1"/>
  <c r="BN32" i="5" a="1"/>
  <c r="BA32" i="5" a="1"/>
  <c r="AO32" i="5" a="1"/>
  <c r="AA32" i="5" a="1"/>
  <c r="O32" i="5" a="1"/>
  <c r="B32" i="5" a="1"/>
  <c r="BO31" i="5" a="1"/>
  <c r="BC31" i="5" a="1"/>
  <c r="AO31" i="5" a="1"/>
  <c r="AC31" i="5" a="1"/>
  <c r="S31" i="5" a="1"/>
  <c r="K31" i="5" a="1"/>
  <c r="C31" i="5" a="1"/>
  <c r="BU30" i="5" a="1"/>
  <c r="BM30" i="5" a="1"/>
  <c r="BE30" i="5" a="1"/>
  <c r="AW30" i="5" a="1"/>
  <c r="AO30" i="5" a="1"/>
  <c r="AG30" i="5" a="1"/>
  <c r="Y30" i="5" a="1"/>
  <c r="Q30" i="5" a="1"/>
  <c r="AN39" i="5" a="1"/>
  <c r="O39" i="5" a="1"/>
  <c r="BQ38" i="5" a="1"/>
  <c r="Z38" i="5" a="1"/>
  <c r="BO37" i="5" a="1"/>
  <c r="AY37" i="5" a="1"/>
  <c r="AJ37" i="5" a="1"/>
  <c r="U37" i="5" a="1"/>
  <c r="G37" i="5" a="1"/>
  <c r="BS36" i="5" a="1"/>
  <c r="BE36" i="5" a="1"/>
  <c r="AB36" i="5" a="1"/>
  <c r="N36" i="5" a="1"/>
  <c r="BZ35" i="5" a="1"/>
  <c r="BL35" i="5" a="1"/>
  <c r="AW35" i="5" a="1"/>
  <c r="AI35" i="5" a="1"/>
  <c r="U35" i="5" a="1"/>
  <c r="G35" i="5" a="1"/>
  <c r="BD34" i="5" a="1"/>
  <c r="AP34" i="5" a="1"/>
  <c r="AB34" i="5" a="1"/>
  <c r="N34" i="5" a="1"/>
  <c r="BY33" i="5" a="1"/>
  <c r="BL33" i="5" a="1"/>
  <c r="AL33" i="5" a="1"/>
  <c r="Z33" i="5" a="1"/>
  <c r="BZ32" i="5" a="1"/>
  <c r="AZ32" i="5" a="1"/>
  <c r="AN32" i="5" a="1"/>
  <c r="N32" i="5" a="1"/>
  <c r="BN31" i="5" a="1"/>
  <c r="BB31" i="5" a="1"/>
  <c r="AB31" i="5" a="1"/>
  <c r="BL39" i="5" a="1"/>
  <c r="AM39" i="5" a="1"/>
  <c r="L39" i="5" a="1"/>
  <c r="BO38" i="5" a="1"/>
  <c r="AT38" i="5" a="1"/>
  <c r="W38" i="5" a="1"/>
  <c r="F38" i="5" a="1"/>
  <c r="BN37" i="5" a="1"/>
  <c r="AX37" i="5" a="1"/>
  <c r="AI37" i="5" a="1"/>
  <c r="F37" i="5" a="1"/>
  <c r="BR36" i="5" a="1"/>
  <c r="BD36" i="5" a="1"/>
  <c r="AP36" i="5" a="1"/>
  <c r="AA36" i="5" a="1"/>
  <c r="M36" i="5" a="1"/>
  <c r="BY35" i="5" a="1"/>
  <c r="BK35" i="5" a="1"/>
  <c r="AH35" i="5" a="1"/>
  <c r="T35" i="5" a="1"/>
  <c r="F35" i="5" a="1"/>
  <c r="BR34" i="5" a="1"/>
  <c r="BC34" i="5" a="1"/>
  <c r="AO34" i="5" a="1"/>
  <c r="AA34" i="5" a="1"/>
  <c r="M34" i="5" a="1"/>
  <c r="BK33" i="5" a="1"/>
  <c r="AY33" i="5" a="1"/>
  <c r="AK33" i="5" a="1"/>
  <c r="Y33" i="5" a="1"/>
  <c r="L33" i="5" a="1"/>
  <c r="BY32" i="5" a="1"/>
  <c r="BM32" i="5" a="1"/>
  <c r="AY32" i="5" a="1"/>
  <c r="AM32" i="5" a="1"/>
  <c r="Z32" i="5" a="1"/>
  <c r="M32" i="5" a="1"/>
  <c r="CA31" i="5" a="1"/>
  <c r="BM31" i="5" a="1"/>
  <c r="BA31" i="5" a="1"/>
  <c r="AN31" i="5" a="1"/>
  <c r="AA31" i="5" a="1"/>
  <c r="R31" i="5" a="1"/>
  <c r="J31" i="5" a="1"/>
  <c r="B31" i="5" a="1"/>
  <c r="BT30" i="5" a="1"/>
  <c r="BL30" i="5" a="1"/>
  <c r="BD30" i="5" a="1"/>
  <c r="AV30" i="5" a="1"/>
  <c r="AN30" i="5" a="1"/>
  <c r="AF30" i="5" a="1"/>
  <c r="X30" i="5" a="1"/>
  <c r="P30" i="5" a="1"/>
  <c r="H30" i="5" a="1"/>
  <c r="BZ29" i="5" a="1"/>
  <c r="BR29" i="5" a="1"/>
  <c r="BJ29" i="5" a="1"/>
  <c r="BB29" i="5" a="1"/>
  <c r="AT29" i="5" a="1"/>
  <c r="AL29" i="5" a="1"/>
  <c r="AD29" i="5" a="1"/>
  <c r="V29" i="5" a="1"/>
  <c r="N29" i="5" a="1"/>
  <c r="F29" i="5" a="1"/>
  <c r="BX28" i="5" a="1"/>
  <c r="BK39" i="5" a="1"/>
  <c r="AJ39" i="5" a="1"/>
  <c r="I39" i="5" a="1"/>
  <c r="BN38" i="5" a="1"/>
  <c r="AS38" i="5" a="1"/>
  <c r="E38" i="5" a="1"/>
  <c r="BM37" i="5" a="1"/>
  <c r="AW37" i="5" a="1"/>
  <c r="AH37" i="5" a="1"/>
  <c r="T37" i="5" a="1"/>
  <c r="E37" i="5" a="1"/>
  <c r="BQ36" i="5" a="1"/>
  <c r="BC36" i="5" a="1"/>
  <c r="AO36" i="5" a="1"/>
  <c r="L36" i="5" a="1"/>
  <c r="BX35" i="5" a="1"/>
  <c r="BJ35" i="5" a="1"/>
  <c r="AV35" i="5" a="1"/>
  <c r="AG35" i="5" a="1"/>
  <c r="S35" i="5" a="1"/>
  <c r="E35" i="5" a="1"/>
  <c r="BQ34" i="5" a="1"/>
  <c r="AN34" i="5" a="1"/>
  <c r="Z34" i="5" a="1"/>
  <c r="L34" i="5" a="1"/>
  <c r="BX33" i="5" a="1"/>
  <c r="BJ33" i="5" a="1"/>
  <c r="AX33" i="5" a="1"/>
  <c r="X33" i="5" a="1"/>
  <c r="BH39" i="5" a="1"/>
  <c r="AG39" i="5" a="1"/>
  <c r="BK38" i="5" a="1"/>
  <c r="AQ38" i="5" a="1"/>
  <c r="V38" i="5" a="1"/>
  <c r="D38" i="5" a="1"/>
  <c r="BL37" i="5" a="1"/>
  <c r="AV37" i="5" a="1"/>
  <c r="AG37" i="5" a="1"/>
  <c r="S37" i="5" a="1"/>
  <c r="BP36" i="5" a="1"/>
  <c r="BB36" i="5" a="1"/>
  <c r="AN36" i="5" a="1"/>
  <c r="Z36" i="5" a="1"/>
  <c r="K36" i="5" a="1"/>
  <c r="BW35" i="5" a="1"/>
  <c r="BI35" i="5" a="1"/>
  <c r="AU35" i="5" a="1"/>
  <c r="R35" i="5" a="1"/>
  <c r="D35" i="5" a="1"/>
  <c r="BP34" i="5" a="1"/>
  <c r="BB34" i="5" a="1"/>
  <c r="AM34" i="5" a="1"/>
  <c r="Y34" i="5" a="1"/>
  <c r="K34" i="5" a="1"/>
  <c r="BW33" i="5" a="1"/>
  <c r="BI33" i="5" a="1"/>
  <c r="AW33" i="5" a="1"/>
  <c r="AJ33" i="5" a="1"/>
  <c r="W33" i="5" a="1"/>
  <c r="K33" i="5" a="1"/>
  <c r="BW32" i="5" a="1"/>
  <c r="BK32" i="5" a="1"/>
  <c r="AX32" i="5" a="1"/>
  <c r="AK32" i="5" a="1"/>
  <c r="Y32" i="5" a="1"/>
  <c r="K32" i="5" a="1"/>
  <c r="BY31" i="5" a="1"/>
  <c r="BL31" i="5" a="1"/>
  <c r="AY31" i="5" a="1"/>
  <c r="AM31" i="5" a="1"/>
  <c r="Y31" i="5" a="1"/>
  <c r="Q31" i="5" a="1"/>
  <c r="I31" i="5" a="1"/>
  <c r="CA30" i="5" a="1"/>
  <c r="BE39" i="5" a="1"/>
  <c r="H39" i="5" a="1"/>
  <c r="AP38" i="5" a="1"/>
  <c r="U38" i="5" a="1"/>
  <c r="C38" i="5" a="1"/>
  <c r="BK37" i="5" a="1"/>
  <c r="AU37" i="5" a="1"/>
  <c r="AF37" i="5" a="1"/>
  <c r="R37" i="5" a="1"/>
  <c r="D37" i="5" a="1"/>
  <c r="BO36" i="5" a="1"/>
  <c r="BA36" i="5" a="1"/>
  <c r="AM36" i="5" a="1"/>
  <c r="Y36" i="5" a="1"/>
  <c r="BV35" i="5" a="1"/>
  <c r="BH35" i="5" a="1"/>
  <c r="AT35" i="5" a="1"/>
  <c r="AF35" i="5" a="1"/>
  <c r="Q35" i="5" a="1"/>
  <c r="C35" i="5" a="1"/>
  <c r="BO34" i="5" a="1"/>
  <c r="BA34" i="5" a="1"/>
  <c r="X34" i="5" a="1"/>
  <c r="J34" i="5" a="1"/>
  <c r="BV33" i="5" a="1"/>
  <c r="AV33" i="5" a="1"/>
  <c r="V33" i="5" a="1"/>
  <c r="J33" i="5" a="1"/>
  <c r="BJ32" i="5" a="1"/>
  <c r="AJ32" i="5" a="1"/>
  <c r="X32" i="5" a="1"/>
  <c r="BX31" i="5" a="1"/>
  <c r="AX31" i="5" a="1"/>
  <c r="AL31" i="5" a="1"/>
  <c r="AF39" i="5" a="1"/>
  <c r="G39" i="5" a="1"/>
  <c r="BJ38" i="5" a="1"/>
  <c r="AM38" i="5" a="1"/>
  <c r="T38" i="5" a="1"/>
  <c r="B38" i="5" a="1"/>
  <c r="BI37" i="5" a="1"/>
  <c r="AS37" i="5" a="1"/>
  <c r="AE37" i="5" a="1"/>
  <c r="Q37" i="5" a="1"/>
  <c r="C37" i="5" a="1"/>
  <c r="AZ36" i="5" a="1"/>
  <c r="AL36" i="5" a="1"/>
  <c r="X36" i="5" a="1"/>
  <c r="J36" i="5" a="1"/>
  <c r="BU35" i="5" a="1"/>
  <c r="BG35" i="5" a="1"/>
  <c r="AS35" i="5" a="1"/>
  <c r="AE35" i="5" a="1"/>
  <c r="B35" i="5" a="1"/>
  <c r="BN34" i="5" a="1"/>
  <c r="AZ34" i="5" a="1"/>
  <c r="AL34" i="5" a="1"/>
  <c r="W34" i="5" a="1"/>
  <c r="I34" i="5" a="1"/>
  <c r="BU33" i="5" a="1"/>
  <c r="BH33" i="5" a="1"/>
  <c r="AU33" i="5" a="1"/>
  <c r="AI33" i="5" a="1"/>
  <c r="U33" i="5" a="1"/>
  <c r="I33" i="5" a="1"/>
  <c r="BV32" i="5" a="1"/>
  <c r="BI32" i="5" a="1"/>
  <c r="AW32" i="5" a="1"/>
  <c r="AI32" i="5" a="1"/>
  <c r="W32" i="5" a="1"/>
  <c r="J32" i="5" a="1"/>
  <c r="BW31" i="5" a="1"/>
  <c r="BK31" i="5" a="1"/>
  <c r="AW31" i="5" a="1"/>
  <c r="AK31" i="5" a="1"/>
  <c r="X31" i="5" a="1"/>
  <c r="P31" i="5" a="1"/>
  <c r="H31" i="5" a="1"/>
  <c r="BZ30" i="5" a="1"/>
  <c r="BR30" i="5" a="1"/>
  <c r="BJ30" i="5" a="1"/>
  <c r="BB30" i="5" a="1"/>
  <c r="AT30" i="5" a="1"/>
  <c r="AL30" i="5" a="1"/>
  <c r="AD30" i="5" a="1"/>
  <c r="V30" i="5" a="1"/>
  <c r="N30" i="5" a="1"/>
  <c r="F30" i="5" a="1"/>
  <c r="BX29" i="5" a="1"/>
  <c r="BP29" i="5" a="1"/>
  <c r="BH29" i="5" a="1"/>
  <c r="AZ29" i="5" a="1"/>
  <c r="AR29" i="5" a="1"/>
  <c r="BC39" i="5" a="1"/>
  <c r="AB39" i="5" a="1"/>
  <c r="CA38" i="5" a="1"/>
  <c r="BG38" i="5" a="1"/>
  <c r="AL38" i="5" a="1"/>
  <c r="R38" i="5" a="1"/>
  <c r="BH37" i="5" a="1"/>
  <c r="AR37" i="5" a="1"/>
  <c r="AC37" i="5" a="1"/>
  <c r="O37" i="5" a="1"/>
  <c r="CA36" i="5" a="1"/>
  <c r="BM36" i="5" a="1"/>
  <c r="AJ36" i="5" a="1"/>
  <c r="V36" i="5" a="1"/>
  <c r="H36" i="5" a="1"/>
  <c r="BT35" i="5" a="1"/>
  <c r="BE35" i="5" a="1"/>
  <c r="AQ35" i="5" a="1"/>
  <c r="AC35" i="5" a="1"/>
  <c r="O35" i="5" a="1"/>
  <c r="BL34" i="5" a="1"/>
  <c r="AX34" i="5" a="1"/>
  <c r="AJ34" i="5" a="1"/>
  <c r="V34" i="5" a="1"/>
  <c r="G34" i="5" a="1"/>
  <c r="BS33" i="5" a="1"/>
  <c r="BG33" i="5" a="1"/>
  <c r="AS33" i="5" a="1"/>
  <c r="AG33" i="5" a="1"/>
  <c r="T33" i="5" a="1"/>
  <c r="G33" i="5" a="1"/>
  <c r="BU32" i="5" a="1"/>
  <c r="BG32" i="5" a="1"/>
  <c r="AU32" i="5" a="1"/>
  <c r="AH32" i="5" a="1"/>
  <c r="U32" i="5" a="1"/>
  <c r="I32" i="5" a="1"/>
  <c r="BU31" i="5" a="1"/>
  <c r="BI31" i="5" a="1"/>
  <c r="AV31" i="5" a="1"/>
  <c r="AI31" i="5" a="1"/>
  <c r="W31" i="5" a="1"/>
  <c r="O31" i="5" a="1"/>
  <c r="G31" i="5" a="1"/>
  <c r="BY30" i="5" a="1"/>
  <c r="BQ30" i="5" a="1"/>
  <c r="BI30" i="5" a="1"/>
  <c r="BA30" i="5" a="1"/>
  <c r="AS30" i="5" a="1"/>
  <c r="AK30" i="5" a="1"/>
  <c r="AC30" i="5" a="1"/>
  <c r="U30" i="5" a="1"/>
  <c r="AZ39" i="5" a="1"/>
  <c r="Y39" i="5" a="1"/>
  <c r="BF38" i="5" a="1"/>
  <c r="AK38" i="5" a="1"/>
  <c r="O38" i="5" a="1"/>
  <c r="BX37" i="5" a="1"/>
  <c r="BG37" i="5" a="1"/>
  <c r="AQ37" i="5" a="1"/>
  <c r="N37" i="5" a="1"/>
  <c r="AW39" i="5" a="1"/>
  <c r="BZ38" i="5" a="1"/>
  <c r="BC38" i="5" a="1"/>
  <c r="AI38" i="5" a="1"/>
  <c r="BW37" i="5" a="1"/>
  <c r="BF37" i="5" a="1"/>
  <c r="AP37" i="5" a="1"/>
  <c r="AB37" i="5" a="1"/>
  <c r="M37" i="5" a="1"/>
  <c r="BY36" i="5" a="1"/>
  <c r="BK36" i="5" a="1"/>
  <c r="AW36" i="5" a="1"/>
  <c r="T36" i="5" a="1"/>
  <c r="F36" i="5" a="1"/>
  <c r="BR35" i="5" a="1"/>
  <c r="BD35" i="5" a="1"/>
  <c r="AO35" i="5" a="1"/>
  <c r="AA35" i="5" a="1"/>
  <c r="M35" i="5" a="1"/>
  <c r="BY34" i="5" a="1"/>
  <c r="AV34" i="5" a="1"/>
  <c r="AH34" i="5" a="1"/>
  <c r="T34" i="5" a="1"/>
  <c r="F34" i="5" a="1"/>
  <c r="BQ33" i="5" a="1"/>
  <c r="BE33" i="5" a="1"/>
  <c r="AR33" i="5" a="1"/>
  <c r="AE33" i="5" a="1"/>
  <c r="S33" i="5" a="1"/>
  <c r="E33" i="5" a="1"/>
  <c r="BS32" i="5" a="1"/>
  <c r="BF32" i="5" a="1"/>
  <c r="AS32" i="5" a="1"/>
  <c r="AG32" i="5" a="1"/>
  <c r="S32" i="5" a="1"/>
  <c r="G32" i="5" a="1"/>
  <c r="BT31" i="5" a="1"/>
  <c r="BG31" i="5" a="1"/>
  <c r="AU31" i="5" a="1"/>
  <c r="AG31" i="5" a="1"/>
  <c r="V31" i="5" a="1"/>
  <c r="N31" i="5" a="1"/>
  <c r="F31" i="5" a="1"/>
  <c r="BX30" i="5" a="1"/>
  <c r="BP30" i="5" a="1"/>
  <c r="BH30" i="5" a="1"/>
  <c r="AZ30" i="5" a="1"/>
  <c r="AR30" i="5" a="1"/>
  <c r="X39" i="5" a="1"/>
  <c r="BY38" i="5" a="1"/>
  <c r="AH38" i="5" a="1"/>
  <c r="N38" i="5" a="1"/>
  <c r="BV37" i="5" a="1"/>
  <c r="BE37" i="5" a="1"/>
  <c r="AO37" i="5" a="1"/>
  <c r="AA37" i="5" a="1"/>
  <c r="BX36" i="5" a="1"/>
  <c r="BJ36" i="5" a="1"/>
  <c r="AV36" i="5" a="1"/>
  <c r="AH36" i="5" a="1"/>
  <c r="S36" i="5" a="1"/>
  <c r="E36" i="5" a="1"/>
  <c r="BQ35" i="5" a="1"/>
  <c r="BC35" i="5" a="1"/>
  <c r="Z35" i="5" a="1"/>
  <c r="L35" i="5" a="1"/>
  <c r="BX34" i="5" a="1"/>
  <c r="BJ34" i="5" a="1"/>
  <c r="AU34" i="5" a="1"/>
  <c r="AG34" i="5" a="1"/>
  <c r="S34" i="5" a="1"/>
  <c r="E34" i="5" a="1"/>
  <c r="BD33" i="5" a="1"/>
  <c r="AD33" i="5" a="1"/>
  <c r="R33" i="5" a="1"/>
  <c r="BR32" i="5" a="1"/>
  <c r="AR32" i="5" a="1"/>
  <c r="AF32" i="5" a="1"/>
  <c r="F32" i="5" a="1"/>
  <c r="BF31" i="5" a="1"/>
  <c r="AT31" i="5" a="1"/>
  <c r="BD39" i="5" a="1"/>
  <c r="AI36" i="5" a="1"/>
  <c r="AN35" i="5" a="1"/>
  <c r="AK34" i="5" a="1"/>
  <c r="BL32" i="5" a="1"/>
  <c r="L32" i="5" a="1"/>
  <c r="K30" i="5" a="1"/>
  <c r="BU29" i="5" a="1"/>
  <c r="BE29" i="5" a="1"/>
  <c r="AQ29" i="5" a="1"/>
  <c r="AE29" i="5" a="1"/>
  <c r="H29" i="5" a="1"/>
  <c r="BV28" i="5" a="1"/>
  <c r="BL28" i="5" a="1"/>
  <c r="AZ28" i="5" a="1"/>
  <c r="AP28" i="5" a="1"/>
  <c r="AF28" i="5" a="1"/>
  <c r="T28" i="5" a="1"/>
  <c r="J28" i="5" a="1"/>
  <c r="BZ27" i="5" a="1"/>
  <c r="BN27" i="5" a="1"/>
  <c r="BD27" i="5" a="1"/>
  <c r="AT27" i="5" a="1"/>
  <c r="AH27" i="5" a="1"/>
  <c r="X27" i="5" a="1"/>
  <c r="D27" i="5" a="1"/>
  <c r="BT26" i="5" a="1"/>
  <c r="BA26" i="5" a="1"/>
  <c r="AQ26" i="5" a="1"/>
  <c r="W26" i="5" a="1"/>
  <c r="D26" i="5" a="1"/>
  <c r="BT25" i="5" a="1"/>
  <c r="H25" i="5" a="1"/>
  <c r="V24" i="5" a="1"/>
  <c r="AJ23" i="5" a="1"/>
  <c r="AP22" i="5" a="1"/>
  <c r="AH22" i="5" a="1"/>
  <c r="Z22" i="5" a="1"/>
  <c r="R22" i="5" a="1"/>
  <c r="J22" i="5" a="1"/>
  <c r="B22" i="5" a="1"/>
  <c r="BT21" i="5" a="1"/>
  <c r="BL21" i="5" a="1"/>
  <c r="BD21" i="5" a="1"/>
  <c r="AV21" i="5" a="1"/>
  <c r="AV39" i="5" a="1"/>
  <c r="AN37" i="5" a="1"/>
  <c r="AG36" i="5" a="1"/>
  <c r="AD35" i="5" a="1"/>
  <c r="AI34" i="5" a="1"/>
  <c r="AQ33" i="5" a="1"/>
  <c r="BH32" i="5" a="1"/>
  <c r="AJ31" i="5" a="1"/>
  <c r="I30" i="5" a="1"/>
  <c r="BS29" i="5" a="1"/>
  <c r="BD29" i="5" a="1"/>
  <c r="S29" i="5" a="1"/>
  <c r="G29" i="5" a="1"/>
  <c r="BK28" i="5" a="1"/>
  <c r="AE28" i="5" a="1"/>
  <c r="BY27" i="5" a="1"/>
  <c r="AS27" i="5" a="1"/>
  <c r="N27" i="5" a="1"/>
  <c r="C27" i="5" a="1"/>
  <c r="BJ26" i="5" a="1"/>
  <c r="AP26" i="5" a="1"/>
  <c r="AF26" i="5" a="1"/>
  <c r="M26" i="5" a="1"/>
  <c r="C26" i="5" a="1"/>
  <c r="BS25" i="5" a="1"/>
  <c r="BJ25" i="5" a="1"/>
  <c r="BA25" i="5" a="1"/>
  <c r="AR25" i="5" a="1"/>
  <c r="AI25" i="5" a="1"/>
  <c r="Z25" i="5" a="1"/>
  <c r="Q25" i="5" a="1"/>
  <c r="G25" i="5" a="1"/>
  <c r="BX24" i="5" a="1"/>
  <c r="BO24" i="5" a="1"/>
  <c r="BF24" i="5" a="1"/>
  <c r="AW24" i="5" a="1"/>
  <c r="AN24" i="5" a="1"/>
  <c r="AE24" i="5" a="1"/>
  <c r="U24" i="5" a="1"/>
  <c r="L24" i="5" a="1"/>
  <c r="C24" i="5" a="1"/>
  <c r="BT23" i="5" a="1"/>
  <c r="BK23" i="5" a="1"/>
  <c r="BB23" i="5" a="1"/>
  <c r="AS23" i="5" a="1"/>
  <c r="AI23" i="5" a="1"/>
  <c r="Z23" i="5" a="1"/>
  <c r="Q23" i="5" a="1"/>
  <c r="H23" i="5" a="1"/>
  <c r="AE39" i="5" a="1"/>
  <c r="AD37" i="5" a="1"/>
  <c r="W36" i="5" a="1"/>
  <c r="AB35" i="5" a="1"/>
  <c r="AF34" i="5" a="1"/>
  <c r="AH33" i="5" a="1"/>
  <c r="H32" i="5" a="1"/>
  <c r="AH31" i="5" a="1"/>
  <c r="AY30" i="5" a="1"/>
  <c r="AB30" i="5" a="1"/>
  <c r="BC29" i="5" a="1"/>
  <c r="AP29" i="5" a="1"/>
  <c r="AC29" i="5" a="1"/>
  <c r="BU28" i="5" a="1"/>
  <c r="BJ28" i="5" a="1"/>
  <c r="AY28" i="5" a="1"/>
  <c r="AO28" i="5" a="1"/>
  <c r="AD28" i="5" a="1"/>
  <c r="S28" i="5" a="1"/>
  <c r="I28" i="5" a="1"/>
  <c r="BX27" i="5" a="1"/>
  <c r="BM27" i="5" a="1"/>
  <c r="BC27" i="5" a="1"/>
  <c r="AR27" i="5" a="1"/>
  <c r="AG27" i="5" a="1"/>
  <c r="W27" i="5" a="1"/>
  <c r="M27" i="5" a="1"/>
  <c r="BS26" i="5" a="1"/>
  <c r="AZ26" i="5" a="1"/>
  <c r="AO26" i="5" a="1"/>
  <c r="V26" i="5" a="1"/>
  <c r="B26" i="5" a="1"/>
  <c r="P25" i="5" a="1"/>
  <c r="AD24" i="5" a="1"/>
  <c r="AR23" i="5" a="1"/>
  <c r="BF22" i="5" a="1"/>
  <c r="AW22" i="5" a="1"/>
  <c r="AO22" i="5" a="1"/>
  <c r="AG22" i="5" a="1"/>
  <c r="Y22" i="5" a="1"/>
  <c r="Q22" i="5" a="1"/>
  <c r="I22" i="5" a="1"/>
  <c r="CA21" i="5" a="1"/>
  <c r="BS21" i="5" a="1"/>
  <c r="BK21" i="5" a="1"/>
  <c r="BC21" i="5" a="1"/>
  <c r="AU21" i="5" a="1"/>
  <c r="AM21" i="5" a="1"/>
  <c r="AE21" i="5" a="1"/>
  <c r="W21" i="5" a="1"/>
  <c r="O21" i="5" a="1"/>
  <c r="G21" i="5" a="1"/>
  <c r="BY20" i="5" a="1"/>
  <c r="BQ20" i="5" a="1"/>
  <c r="BI20" i="5" a="1"/>
  <c r="W39" i="5" a="1"/>
  <c r="Z37" i="5" a="1"/>
  <c r="U36" i="5" a="1"/>
  <c r="Y35" i="5" a="1"/>
  <c r="AF33" i="5" a="1"/>
  <c r="BE32" i="5" a="1"/>
  <c r="E32" i="5" a="1"/>
  <c r="AF31" i="5" a="1"/>
  <c r="BW30" i="5" a="1"/>
  <c r="AA30" i="5" a="1"/>
  <c r="G30" i="5" a="1"/>
  <c r="BQ29" i="5" a="1"/>
  <c r="AO29" i="5" a="1"/>
  <c r="R29" i="5" a="1"/>
  <c r="E29" i="5" a="1"/>
  <c r="BI28" i="5" a="1"/>
  <c r="AC28" i="5" a="1"/>
  <c r="BW27" i="5" a="1"/>
  <c r="AQ27" i="5" a="1"/>
  <c r="L27" i="5" a="1"/>
  <c r="B27" i="5" a="1"/>
  <c r="BI26" i="5" a="1"/>
  <c r="AY26" i="5" a="1"/>
  <c r="AE26" i="5" a="1"/>
  <c r="L26" i="5" a="1"/>
  <c r="CA25" i="5" a="1"/>
  <c r="BR25" i="5" a="1"/>
  <c r="BI25" i="5" a="1"/>
  <c r="AZ25" i="5" a="1"/>
  <c r="D39" i="5" a="1"/>
  <c r="P37" i="5" a="1"/>
  <c r="P35" i="5" a="1"/>
  <c r="U34" i="5" a="1"/>
  <c r="AC33" i="5" a="1"/>
  <c r="BZ31" i="5" a="1"/>
  <c r="Z31" i="5" a="1"/>
  <c r="AU30" i="5" a="1"/>
  <c r="BA29" i="5" a="1"/>
  <c r="AN29" i="5" a="1"/>
  <c r="AB29" i="5" a="1"/>
  <c r="Q29" i="5" a="1"/>
  <c r="BT28" i="5" a="1"/>
  <c r="BH28" i="5" a="1"/>
  <c r="AX28" i="5" a="1"/>
  <c r="AN28" i="5" a="1"/>
  <c r="AB28" i="5" a="1"/>
  <c r="R28" i="5" a="1"/>
  <c r="H28" i="5" a="1"/>
  <c r="BV27" i="5" a="1"/>
  <c r="BL27" i="5" a="1"/>
  <c r="BB27" i="5" a="1"/>
  <c r="AP27" i="5" a="1"/>
  <c r="AF27" i="5" a="1"/>
  <c r="V27" i="5" a="1"/>
  <c r="K27" i="5" a="1"/>
  <c r="BR26" i="5" a="1"/>
  <c r="AX26" i="5" a="1"/>
  <c r="AN26" i="5" a="1"/>
  <c r="U26" i="5" a="1"/>
  <c r="K26" i="5" a="1"/>
  <c r="X25" i="5" a="1"/>
  <c r="AL24" i="5" a="1"/>
  <c r="AZ23" i="5" a="1"/>
  <c r="BN22" i="5" a="1"/>
  <c r="AV22" i="5" a="1"/>
  <c r="AN22" i="5" a="1"/>
  <c r="AF22" i="5" a="1"/>
  <c r="X22" i="5" a="1"/>
  <c r="P22" i="5" a="1"/>
  <c r="H22" i="5" a="1"/>
  <c r="BZ21" i="5" a="1"/>
  <c r="BR21" i="5" a="1"/>
  <c r="BJ21" i="5" a="1"/>
  <c r="BB21" i="5" a="1"/>
  <c r="AT21" i="5" a="1"/>
  <c r="AL21" i="5" a="1"/>
  <c r="AD21" i="5" a="1"/>
  <c r="V21" i="5" a="1"/>
  <c r="N21" i="5" a="1"/>
  <c r="F21" i="5" a="1"/>
  <c r="BX20" i="5" a="1"/>
  <c r="BP20" i="5" a="1"/>
  <c r="BH20" i="5" a="1"/>
  <c r="AZ20" i="5" a="1"/>
  <c r="AR20" i="5" a="1"/>
  <c r="BW38" i="5" a="1"/>
  <c r="L37" i="5" a="1"/>
  <c r="I36" i="5" a="1"/>
  <c r="N35" i="5" a="1"/>
  <c r="R34" i="5" a="1"/>
  <c r="AV32" i="5" a="1"/>
  <c r="BV31" i="5" a="1"/>
  <c r="BS30" i="5" a="1"/>
  <c r="W30" i="5" a="1"/>
  <c r="E30" i="5" a="1"/>
  <c r="BO29" i="5" a="1"/>
  <c r="AM29" i="5" a="1"/>
  <c r="P29" i="5" a="1"/>
  <c r="D29" i="5" a="1"/>
  <c r="BS28" i="5" a="1"/>
  <c r="AM28" i="5" a="1"/>
  <c r="G28" i="5" a="1"/>
  <c r="BA27" i="5" a="1"/>
  <c r="U27" i="5" a="1"/>
  <c r="CA26" i="5" a="1"/>
  <c r="BH26" i="5" a="1"/>
  <c r="AW26" i="5" a="1"/>
  <c r="AD26" i="5" a="1"/>
  <c r="J26" i="5" a="1"/>
  <c r="BZ25" i="5" a="1"/>
  <c r="BQ25" i="5" a="1"/>
  <c r="BH25" i="5" a="1"/>
  <c r="AY25" i="5" a="1"/>
  <c r="AP25" i="5" a="1"/>
  <c r="AG25" i="5" a="1"/>
  <c r="W25" i="5" a="1"/>
  <c r="N25" i="5" a="1"/>
  <c r="E25" i="5" a="1"/>
  <c r="BV24" i="5" a="1"/>
  <c r="BM24" i="5" a="1"/>
  <c r="BD24" i="5" a="1"/>
  <c r="AU24" i="5" a="1"/>
  <c r="AK24" i="5" a="1"/>
  <c r="AB24" i="5" a="1"/>
  <c r="S24" i="5" a="1"/>
  <c r="J24" i="5" a="1"/>
  <c r="CA23" i="5" a="1"/>
  <c r="BR23" i="5" a="1"/>
  <c r="BI38" i="5" a="1"/>
  <c r="B37" i="5" a="1"/>
  <c r="G36" i="5" a="1"/>
  <c r="K35" i="5" a="1"/>
  <c r="H34" i="5" a="1"/>
  <c r="AT32" i="5" a="1"/>
  <c r="AY29" i="5" a="1"/>
  <c r="AA29" i="5" a="1"/>
  <c r="O29" i="5" a="1"/>
  <c r="BR28" i="5" a="1"/>
  <c r="BG28" i="5" a="1"/>
  <c r="AW28" i="5" a="1"/>
  <c r="AL28" i="5" a="1"/>
  <c r="AA28" i="5" a="1"/>
  <c r="Q28" i="5" a="1"/>
  <c r="F28" i="5" a="1"/>
  <c r="BU27" i="5" a="1"/>
  <c r="BK27" i="5" a="1"/>
  <c r="AZ27" i="5" a="1"/>
  <c r="AO27" i="5" a="1"/>
  <c r="AE27" i="5" a="1"/>
  <c r="T27" i="5" a="1"/>
  <c r="J27" i="5" a="1"/>
  <c r="BQ26" i="5" a="1"/>
  <c r="BG26" i="5" a="1"/>
  <c r="AM26" i="5" a="1"/>
  <c r="T26" i="5" a="1"/>
  <c r="I26" i="5" a="1"/>
  <c r="AF25" i="5" a="1"/>
  <c r="AT24" i="5" a="1"/>
  <c r="BH23" i="5" a="1"/>
  <c r="BV22" i="5" a="1"/>
  <c r="AU22" i="5" a="1"/>
  <c r="AM22" i="5" a="1"/>
  <c r="AE22" i="5" a="1"/>
  <c r="W22" i="5" a="1"/>
  <c r="O22" i="5" a="1"/>
  <c r="G22" i="5" a="1"/>
  <c r="BY21" i="5" a="1"/>
  <c r="BQ21" i="5" a="1"/>
  <c r="BI21" i="5" a="1"/>
  <c r="BA21" i="5" a="1"/>
  <c r="AS21" i="5" a="1"/>
  <c r="AK21" i="5" a="1"/>
  <c r="AC21" i="5" a="1"/>
  <c r="U21" i="5" a="1"/>
  <c r="M21" i="5" a="1"/>
  <c r="E21" i="5" a="1"/>
  <c r="BW20" i="5" a="1"/>
  <c r="BO20" i="5" a="1"/>
  <c r="BB38" i="5" a="1"/>
  <c r="BZ36" i="5" a="1"/>
  <c r="D36" i="5" a="1"/>
  <c r="CA34" i="5" a="1"/>
  <c r="Q33" i="5" a="1"/>
  <c r="AQ32" i="5" a="1"/>
  <c r="BS31" i="5" a="1"/>
  <c r="U31" i="5" a="1"/>
  <c r="AQ30" i="5" a="1"/>
  <c r="D30" i="5" a="1"/>
  <c r="BN29" i="5" a="1"/>
  <c r="AK29" i="5" a="1"/>
  <c r="C29" i="5" a="1"/>
  <c r="BQ28" i="5" a="1"/>
  <c r="AK28" i="5" a="1"/>
  <c r="E28" i="5" a="1"/>
  <c r="AY27" i="5" a="1"/>
  <c r="S27" i="5" a="1"/>
  <c r="BZ26" i="5" a="1"/>
  <c r="BF26" i="5" a="1"/>
  <c r="AV26" i="5" a="1"/>
  <c r="AC26" i="5" a="1"/>
  <c r="S26" i="5" a="1"/>
  <c r="BY25" i="5" a="1"/>
  <c r="BP25" i="5" a="1"/>
  <c r="BG25" i="5" a="1"/>
  <c r="AX25" i="5" a="1"/>
  <c r="AO25" i="5" a="1"/>
  <c r="AE25" i="5" a="1"/>
  <c r="V25" i="5" a="1"/>
  <c r="M25" i="5" a="1"/>
  <c r="D25" i="5" a="1"/>
  <c r="BU24" i="5" a="1"/>
  <c r="BL24" i="5" a="1"/>
  <c r="BC24" i="5" a="1"/>
  <c r="AS24" i="5" a="1"/>
  <c r="AJ24" i="5" a="1"/>
  <c r="AA24" i="5" a="1"/>
  <c r="R24" i="5" a="1"/>
  <c r="I24" i="5" a="1"/>
  <c r="BZ23" i="5" a="1"/>
  <c r="BQ23" i="5" a="1"/>
  <c r="BG23" i="5" a="1"/>
  <c r="AX23" i="5" a="1"/>
  <c r="AO23" i="5" a="1"/>
  <c r="AF23" i="5" a="1"/>
  <c r="W23" i="5" a="1"/>
  <c r="N23" i="5" a="1"/>
  <c r="E23" i="5" a="1"/>
  <c r="BU22" i="5" a="1"/>
  <c r="BL22" i="5" a="1"/>
  <c r="BC22" i="5" a="1"/>
  <c r="BW36" i="5" a="1"/>
  <c r="BZ34" i="5" a="1"/>
  <c r="D34" i="5" a="1"/>
  <c r="AL32" i="5" a="1"/>
  <c r="BO30" i="5" a="1"/>
  <c r="T30" i="5" a="1"/>
  <c r="C30" i="5" a="1"/>
  <c r="BM29" i="5" a="1"/>
  <c r="AX29" i="5" a="1"/>
  <c r="Z29" i="5" a="1"/>
  <c r="M29" i="5" a="1"/>
  <c r="BP28" i="5" a="1"/>
  <c r="BF28" i="5" a="1"/>
  <c r="AV28" i="5" a="1"/>
  <c r="AJ28" i="5" a="1"/>
  <c r="Z28" i="5" a="1"/>
  <c r="P28" i="5" a="1"/>
  <c r="D28" i="5" a="1"/>
  <c r="BT27" i="5" a="1"/>
  <c r="BJ27" i="5" a="1"/>
  <c r="AX27" i="5" a="1"/>
  <c r="AN27" i="5" a="1"/>
  <c r="AD27" i="5" a="1"/>
  <c r="I27" i="5" a="1"/>
  <c r="BP26" i="5" a="1"/>
  <c r="BE26" i="5" a="1"/>
  <c r="AL26" i="5" a="1"/>
  <c r="R26" i="5" a="1"/>
  <c r="H26" i="5" a="1"/>
  <c r="AN25" i="5" a="1"/>
  <c r="BB24" i="5" a="1"/>
  <c r="BP23" i="5" a="1"/>
  <c r="D23" i="5" a="1"/>
  <c r="AT22" i="5" a="1"/>
  <c r="AL22" i="5" a="1"/>
  <c r="AD22" i="5" a="1"/>
  <c r="V22" i="5" a="1"/>
  <c r="N22" i="5" a="1"/>
  <c r="F22" i="5" a="1"/>
  <c r="BX21" i="5" a="1"/>
  <c r="BP21" i="5" a="1"/>
  <c r="BH21" i="5" a="1"/>
  <c r="AZ21" i="5" a="1"/>
  <c r="AR21" i="5" a="1"/>
  <c r="AJ21" i="5" a="1"/>
  <c r="AB21" i="5" a="1"/>
  <c r="T21" i="5" a="1"/>
  <c r="L21" i="5" a="1"/>
  <c r="D21" i="5" a="1"/>
  <c r="BV20" i="5" a="1"/>
  <c r="BN20" i="5" a="1"/>
  <c r="BF20" i="5" a="1"/>
  <c r="AX20" i="5" a="1"/>
  <c r="AP20" i="5" a="1"/>
  <c r="AE38" i="5" a="1"/>
  <c r="BN36" i="5" a="1"/>
  <c r="BS35" i="5" a="1"/>
  <c r="BW34" i="5" a="1"/>
  <c r="BT33" i="5" a="1"/>
  <c r="H33" i="5" a="1"/>
  <c r="BJ31" i="5" a="1"/>
  <c r="AM30" i="5" a="1"/>
  <c r="S30" i="5" a="1"/>
  <c r="CA29" i="5" a="1"/>
  <c r="BK29" i="5" a="1"/>
  <c r="AW29" i="5" a="1"/>
  <c r="AJ29" i="5" a="1"/>
  <c r="Y29" i="5" a="1"/>
  <c r="B29" i="5" a="1"/>
  <c r="AU28" i="5" a="1"/>
  <c r="O28" i="5" a="1"/>
  <c r="BI27" i="5" a="1"/>
  <c r="AC27" i="5" a="1"/>
  <c r="R27" i="5" a="1"/>
  <c r="BY26" i="5" a="1"/>
  <c r="BO26" i="5" a="1"/>
  <c r="AU26" i="5" a="1"/>
  <c r="AB26" i="5" a="1"/>
  <c r="Q26" i="5" a="1"/>
  <c r="BX25" i="5" a="1"/>
  <c r="BO25" i="5" a="1"/>
  <c r="BF25" i="5" a="1"/>
  <c r="AW25" i="5" a="1"/>
  <c r="AM25" i="5" a="1"/>
  <c r="AD25" i="5" a="1"/>
  <c r="U25" i="5" a="1"/>
  <c r="L25" i="5" a="1"/>
  <c r="C25" i="5" a="1"/>
  <c r="BT24" i="5" a="1"/>
  <c r="BK24" i="5" a="1"/>
  <c r="BA24" i="5" a="1"/>
  <c r="AR24" i="5" a="1"/>
  <c r="AI24" i="5" a="1"/>
  <c r="Z24" i="5" a="1"/>
  <c r="Q24" i="5" a="1"/>
  <c r="H24" i="5" a="1"/>
  <c r="BY23" i="5" a="1"/>
  <c r="BO23" i="5" a="1"/>
  <c r="BF23" i="5" a="1"/>
  <c r="AW23" i="5" a="1"/>
  <c r="AN23" i="5" a="1"/>
  <c r="AE23" i="5" a="1"/>
  <c r="V23" i="5" a="1"/>
  <c r="M23" i="5" a="1"/>
  <c r="C23" i="5" a="1"/>
  <c r="BT22" i="5" a="1"/>
  <c r="BK22" i="5" a="1"/>
  <c r="BB22" i="5" a="1"/>
  <c r="M38" i="5" a="1"/>
  <c r="BI36" i="5" a="1"/>
  <c r="BF35" i="5" a="1"/>
  <c r="BK34" i="5" a="1"/>
  <c r="BP33" i="5" a="1"/>
  <c r="D33" i="5" a="1"/>
  <c r="AE32" i="5" a="1"/>
  <c r="BE31" i="5" a="1"/>
  <c r="M31" i="5" a="1"/>
  <c r="O30" i="5" a="1"/>
  <c r="BY29" i="5" a="1"/>
  <c r="BI29" i="5" a="1"/>
  <c r="AU29" i="5" a="1"/>
  <c r="AI29" i="5" a="1"/>
  <c r="W29" i="5" a="1"/>
  <c r="BZ28" i="5" a="1"/>
  <c r="AS28" i="5" a="1"/>
  <c r="M28" i="5" a="1"/>
  <c r="BG27" i="5" a="1"/>
  <c r="AA27" i="5" a="1"/>
  <c r="Q27" i="5" a="1"/>
  <c r="BX26" i="5" a="1"/>
  <c r="BM26" i="5" a="1"/>
  <c r="AT26" i="5" a="1"/>
  <c r="Z26" i="5" a="1"/>
  <c r="P26" i="5" a="1"/>
  <c r="BW25" i="5" a="1"/>
  <c r="BN25" i="5" a="1"/>
  <c r="BE25" i="5" a="1"/>
  <c r="AU25" i="5" a="1"/>
  <c r="AL25" i="5" a="1"/>
  <c r="AC25" i="5" a="1"/>
  <c r="T25" i="5" a="1"/>
  <c r="K25" i="5" a="1"/>
  <c r="B25" i="5" a="1"/>
  <c r="BS24" i="5" a="1"/>
  <c r="BI24" i="5" a="1"/>
  <c r="AZ24" i="5" a="1"/>
  <c r="AQ24" i="5" a="1"/>
  <c r="AH24" i="5" a="1"/>
  <c r="Y24" i="5" a="1"/>
  <c r="P24" i="5" a="1"/>
  <c r="G24" i="5" a="1"/>
  <c r="BW23" i="5" a="1"/>
  <c r="BN23" i="5" a="1"/>
  <c r="BE23" i="5" a="1"/>
  <c r="AV23" i="5" a="1"/>
  <c r="AM23" i="5" a="1"/>
  <c r="AD23" i="5" a="1"/>
  <c r="U23" i="5" a="1"/>
  <c r="K23" i="5" a="1"/>
  <c r="B23" i="5" a="1"/>
  <c r="BS22" i="5" a="1"/>
  <c r="BJ22" i="5" a="1"/>
  <c r="BA22" i="5" a="1"/>
  <c r="BU37" i="5" a="1"/>
  <c r="AX36" i="5" a="1"/>
  <c r="BB35" i="5" a="1"/>
  <c r="AY34" i="5" a="1"/>
  <c r="BF33" i="5" a="1"/>
  <c r="V32" i="5" a="1"/>
  <c r="BG30" i="5" a="1"/>
  <c r="AI30" i="5" a="1"/>
  <c r="M30" i="5" a="1"/>
  <c r="BW29" i="5" a="1"/>
  <c r="BG29" i="5" a="1"/>
  <c r="AS29" i="5" a="1"/>
  <c r="AH29" i="5" a="1"/>
  <c r="U29" i="5" a="1"/>
  <c r="BC28" i="5" a="1"/>
  <c r="W28" i="5" a="1"/>
  <c r="BQ27" i="5" a="1"/>
  <c r="AK27" i="5" a="1"/>
  <c r="P27" i="5" a="1"/>
  <c r="BV26" i="5" a="1"/>
  <c r="BL26" i="5" a="1"/>
  <c r="AS26" i="5" a="1"/>
  <c r="AI26" i="5" a="1"/>
  <c r="O26" i="5" a="1"/>
  <c r="BV25" i="5" a="1"/>
  <c r="BM25" i="5" a="1"/>
  <c r="BC25" i="5" a="1"/>
  <c r="AT25" i="5" a="1"/>
  <c r="AK25" i="5" a="1"/>
  <c r="AB25" i="5" a="1"/>
  <c r="S25" i="5" a="1"/>
  <c r="J25" i="5" a="1"/>
  <c r="CA24" i="5" a="1"/>
  <c r="BQ24" i="5" a="1"/>
  <c r="BH24" i="5" a="1"/>
  <c r="AY24" i="5" a="1"/>
  <c r="AP24" i="5" a="1"/>
  <c r="AG24" i="5" a="1"/>
  <c r="X24" i="5" a="1"/>
  <c r="O24" i="5" a="1"/>
  <c r="E24" i="5" a="1"/>
  <c r="BV23" i="5" a="1"/>
  <c r="BM23" i="5" a="1"/>
  <c r="BD23" i="5" a="1"/>
  <c r="AU23" i="5" a="1"/>
  <c r="AL23" i="5" a="1"/>
  <c r="AC23" i="5" a="1"/>
  <c r="S23" i="5" a="1"/>
  <c r="J23" i="5" a="1"/>
  <c r="CA22" i="5" a="1"/>
  <c r="BR22" i="5" a="1"/>
  <c r="BI22" i="5" a="1"/>
  <c r="AZ22" i="5" a="1"/>
  <c r="BD37" i="5" a="1"/>
  <c r="AK36" i="5" a="1"/>
  <c r="AP35" i="5" a="1"/>
  <c r="AT33" i="5" a="1"/>
  <c r="BQ32" i="5" a="1"/>
  <c r="R32" i="5" a="1"/>
  <c r="AS31" i="5" a="1"/>
  <c r="E31" i="5" a="1"/>
  <c r="BC30" i="5" a="1"/>
  <c r="AE30" i="5" a="1"/>
  <c r="L30" i="5" a="1"/>
  <c r="BV29" i="5" a="1"/>
  <c r="BF29" i="5" a="1"/>
  <c r="AF29" i="5" a="1"/>
  <c r="T29" i="5" a="1"/>
  <c r="I29" i="5" a="1"/>
  <c r="BA28" i="5" a="1"/>
  <c r="U28" i="5" a="1"/>
  <c r="BO27" i="5" a="1"/>
  <c r="AI27" i="5" a="1"/>
  <c r="O27" i="5" a="1"/>
  <c r="E27" i="5" a="1"/>
  <c r="BK26" i="5" a="1"/>
  <c r="AR26" i="5" a="1"/>
  <c r="AG26" i="5" a="1"/>
  <c r="N26" i="5" a="1"/>
  <c r="BU25" i="5" a="1"/>
  <c r="BK25" i="5" a="1"/>
  <c r="BB25" i="5" a="1"/>
  <c r="AS25" i="5" a="1"/>
  <c r="AJ25" i="5" a="1"/>
  <c r="AA25" i="5" a="1"/>
  <c r="R25" i="5" a="1"/>
  <c r="I25" i="5" a="1"/>
  <c r="BY24" i="5" a="1"/>
  <c r="BP24" i="5" a="1"/>
  <c r="BG24" i="5" a="1"/>
  <c r="AX24" i="5" a="1"/>
  <c r="AO24" i="5" a="1"/>
  <c r="AF24" i="5" a="1"/>
  <c r="W24" i="5" a="1"/>
  <c r="M24" i="5" a="1"/>
  <c r="D24" i="5" a="1"/>
  <c r="BU23" i="5" a="1"/>
  <c r="BL23" i="5" a="1"/>
  <c r="BC23" i="5" a="1"/>
  <c r="AT23" i="5" a="1"/>
  <c r="AK23" i="5" a="1"/>
  <c r="AA23" i="5" a="1"/>
  <c r="R23" i="5" a="1"/>
  <c r="I23" i="5" a="1"/>
  <c r="BZ22" i="5" a="1"/>
  <c r="BQ22" i="5" a="1"/>
  <c r="BH22" i="5" a="1"/>
  <c r="AY22" i="5" a="1"/>
  <c r="S38" i="5" a="1"/>
  <c r="BX32" i="5" a="1"/>
  <c r="X29" i="5" a="1"/>
  <c r="AR28" i="5" a="1"/>
  <c r="BP27" i="5" a="1"/>
  <c r="H27" i="5" a="1"/>
  <c r="AJ26" i="5" a="1"/>
  <c r="BL25" i="5" a="1"/>
  <c r="BJ24" i="5" a="1"/>
  <c r="BV21" i="5" a="1"/>
  <c r="AG21" i="5" a="1"/>
  <c r="BE20" i="5" a="1"/>
  <c r="AF20" i="5" a="1"/>
  <c r="U20" i="5" a="1"/>
  <c r="K20" i="5" a="1"/>
  <c r="BZ19" i="5" a="1"/>
  <c r="BO19" i="5" a="1"/>
  <c r="BE19" i="5" a="1"/>
  <c r="AT19" i="5" a="1"/>
  <c r="AI19" i="5" a="1"/>
  <c r="Y19" i="5" a="1"/>
  <c r="X4" i="5" a="1"/>
  <c r="BP4" i="5" a="1"/>
  <c r="BA4" i="5" a="1"/>
  <c r="J4" i="5" a="1"/>
  <c r="BU4" i="5" a="1"/>
  <c r="T6" i="6" a="1"/>
  <c r="BY37" i="5" a="1"/>
  <c r="BT32" i="5" a="1"/>
  <c r="AQ28" i="5" a="1"/>
  <c r="BH27" i="5" a="1"/>
  <c r="G27" i="5" a="1"/>
  <c r="AH26" i="5" a="1"/>
  <c r="G23" i="5" a="1"/>
  <c r="AK22" i="5" a="1"/>
  <c r="BU21" i="5" a="1"/>
  <c r="AY21" i="5" a="1"/>
  <c r="AF21" i="5" a="1"/>
  <c r="BU20" i="5" a="1"/>
  <c r="BD20" i="5" a="1"/>
  <c r="AQ20" i="5" a="1"/>
  <c r="AE20" i="5" a="1"/>
  <c r="J20" i="5" a="1"/>
  <c r="BY19" i="5" a="1"/>
  <c r="BD19" i="5" a="1"/>
  <c r="AS19" i="5" a="1"/>
  <c r="O19" i="5" a="1"/>
  <c r="G19" i="5" a="1"/>
  <c r="BY18" i="5" a="1"/>
  <c r="BQ18" i="5" a="1"/>
  <c r="BI18" i="5" a="1"/>
  <c r="BA18" i="5" a="1"/>
  <c r="AS18" i="5" a="1"/>
  <c r="AK18" i="5" a="1"/>
  <c r="AC18" i="5" a="1"/>
  <c r="U18" i="5" a="1"/>
  <c r="M18" i="5" a="1"/>
  <c r="E18" i="5" a="1"/>
  <c r="BW17" i="5" a="1"/>
  <c r="BO17" i="5" a="1"/>
  <c r="BG17" i="5" a="1"/>
  <c r="AY17" i="5" a="1"/>
  <c r="AQ17" i="5" a="1"/>
  <c r="AI17" i="5" a="1"/>
  <c r="AA17" i="5" a="1"/>
  <c r="S17" i="5" a="1"/>
  <c r="K17" i="5" a="1"/>
  <c r="C17" i="5" a="1"/>
  <c r="BU16" i="5" a="1"/>
  <c r="BM16" i="5" a="1"/>
  <c r="BE16" i="5" a="1"/>
  <c r="AW16" i="5" a="1"/>
  <c r="AO16" i="5" a="1"/>
  <c r="AG16" i="5" a="1"/>
  <c r="Y16" i="5" a="1"/>
  <c r="Q16" i="5" a="1"/>
  <c r="I16" i="5" a="1"/>
  <c r="CA15" i="5" a="1"/>
  <c r="BS15" i="5" a="1"/>
  <c r="BK15" i="5" a="1"/>
  <c r="BC15" i="5" a="1"/>
  <c r="AU15" i="5" a="1"/>
  <c r="AM15" i="5" a="1"/>
  <c r="AE15" i="5" a="1"/>
  <c r="W15" i="5" a="1"/>
  <c r="O15" i="5" a="1"/>
  <c r="G15" i="5" a="1"/>
  <c r="BY14" i="5" a="1"/>
  <c r="BQ14" i="5" a="1"/>
  <c r="BI14" i="5" a="1"/>
  <c r="BA14" i="5" a="1"/>
  <c r="AS14" i="5" a="1"/>
  <c r="AK14" i="5" a="1"/>
  <c r="AI28" i="5" a="1"/>
  <c r="BF27" i="5" a="1"/>
  <c r="F27" i="5" a="1"/>
  <c r="AA26" i="5" a="1"/>
  <c r="BD25" i="5" a="1"/>
  <c r="AH23" i="5" a="1"/>
  <c r="F23" i="5" a="1"/>
  <c r="BG22" i="5" a="1"/>
  <c r="AJ22" i="5" a="1"/>
  <c r="AX21" i="5" a="1"/>
  <c r="BT20" i="5" a="1"/>
  <c r="BC20" i="5" a="1"/>
  <c r="AD20" i="5" a="1"/>
  <c r="T20" i="5" a="1"/>
  <c r="BX19" i="5" a="1"/>
  <c r="BN19" i="5" a="1"/>
  <c r="AR19" i="5" a="1"/>
  <c r="AH19" i="5" a="1"/>
  <c r="X19" i="5" a="1"/>
  <c r="AP4" i="5" a="1"/>
  <c r="AS4" i="5" a="1"/>
  <c r="BZ4" i="5" a="1"/>
  <c r="AE4" i="5" a="1"/>
  <c r="B4" i="5" a="1"/>
  <c r="BL36" i="5" a="1"/>
  <c r="L29" i="5" a="1"/>
  <c r="AH28" i="5" a="1"/>
  <c r="BE27" i="5" a="1"/>
  <c r="Y26" i="5" a="1"/>
  <c r="O25" i="5" a="1"/>
  <c r="BE24" i="5" a="1"/>
  <c r="T24" i="5" a="1"/>
  <c r="AY36" i="5" a="1"/>
  <c r="T32" i="5" a="1"/>
  <c r="K29" i="5" a="1"/>
  <c r="AG28" i="5" a="1"/>
  <c r="AW27" i="5" a="1"/>
  <c r="BW26" i="5" a="1"/>
  <c r="X26" i="5" a="1"/>
  <c r="AV25" i="5" a="1"/>
  <c r="BI23" i="5" a="1"/>
  <c r="BD22" i="5" a="1"/>
  <c r="L22" i="5" a="1"/>
  <c r="J21" i="5" a="1"/>
  <c r="BR20" i="5" a="1"/>
  <c r="AN20" i="5" a="1"/>
  <c r="AC20" i="5" a="1"/>
  <c r="S20" i="5" a="1"/>
  <c r="H20" i="5" a="1"/>
  <c r="BW19" i="5" a="1"/>
  <c r="BM19" i="5" a="1"/>
  <c r="BB19" i="5" a="1"/>
  <c r="AQ19" i="5" a="1"/>
  <c r="AG19" i="5" a="1"/>
  <c r="W19" i="5" a="1"/>
  <c r="BY4" i="5" a="1"/>
  <c r="AT4" i="5" a="1"/>
  <c r="BV4" i="5" a="1"/>
  <c r="BT4" i="5" a="1"/>
  <c r="B5" i="6" a="1"/>
  <c r="AU36" i="5" a="1"/>
  <c r="BH31" i="5" a="1"/>
  <c r="J29" i="5" a="1"/>
  <c r="Y28" i="5" a="1"/>
  <c r="AV27" i="5" a="1"/>
  <c r="BU26" i="5" a="1"/>
  <c r="K22" i="5" a="1"/>
  <c r="BO21" i="5" a="1"/>
  <c r="AA21" i="5" a="1"/>
  <c r="I21" i="5" a="1"/>
  <c r="BA20" i="5" a="1"/>
  <c r="AM20" i="5" a="1"/>
  <c r="R20" i="5" a="1"/>
  <c r="G20" i="5" a="1"/>
  <c r="BL19" i="5" a="1"/>
  <c r="BA19" i="5" a="1"/>
  <c r="AF19" i="5" a="1"/>
  <c r="V19" i="5" a="1"/>
  <c r="M19" i="5" a="1"/>
  <c r="E19" i="5" a="1"/>
  <c r="BW18" i="5" a="1"/>
  <c r="BO18" i="5" a="1"/>
  <c r="BG18" i="5" a="1"/>
  <c r="AY18" i="5" a="1"/>
  <c r="AQ18" i="5" a="1"/>
  <c r="AI18" i="5" a="1"/>
  <c r="AA18" i="5" a="1"/>
  <c r="S18" i="5" a="1"/>
  <c r="K18" i="5" a="1"/>
  <c r="C18" i="5" a="1"/>
  <c r="BU17" i="5" a="1"/>
  <c r="BM17" i="5" a="1"/>
  <c r="BE17" i="5" a="1"/>
  <c r="AW17" i="5" a="1"/>
  <c r="AO17" i="5" a="1"/>
  <c r="AG17" i="5" a="1"/>
  <c r="Y17" i="5" a="1"/>
  <c r="Q17" i="5" a="1"/>
  <c r="I17" i="5" a="1"/>
  <c r="CA16" i="5" a="1"/>
  <c r="BS16" i="5" a="1"/>
  <c r="BK16" i="5" a="1"/>
  <c r="BC16" i="5" a="1"/>
  <c r="AU16" i="5" a="1"/>
  <c r="AM16" i="5" a="1"/>
  <c r="AE16" i="5" a="1"/>
  <c r="W16" i="5" a="1"/>
  <c r="O16" i="5" a="1"/>
  <c r="G16" i="5" a="1"/>
  <c r="BY15" i="5" a="1"/>
  <c r="BQ15" i="5" a="1"/>
  <c r="BI15" i="5" a="1"/>
  <c r="BA15" i="5" a="1"/>
  <c r="AS15" i="5" a="1"/>
  <c r="AK15" i="5" a="1"/>
  <c r="AC15" i="5" a="1"/>
  <c r="U15" i="5" a="1"/>
  <c r="M15" i="5" a="1"/>
  <c r="E15" i="5" a="1"/>
  <c r="BW14" i="5" a="1"/>
  <c r="BO14" i="5" a="1"/>
  <c r="BG14" i="5" a="1"/>
  <c r="AY14" i="5" a="1"/>
  <c r="AQ14" i="5" a="1"/>
  <c r="AI14" i="5" a="1"/>
  <c r="AA14" i="5" a="1"/>
  <c r="S14" i="5" a="1"/>
  <c r="K14" i="5" a="1"/>
  <c r="BP35" i="5" a="1"/>
  <c r="AZ31" i="5" a="1"/>
  <c r="CA28" i="5" a="1"/>
  <c r="X28" i="5" a="1"/>
  <c r="AU27" i="5" a="1"/>
  <c r="BN26" i="5" a="1"/>
  <c r="N24" i="5" a="1"/>
  <c r="AB23" i="5" a="1"/>
  <c r="BY22" i="5" a="1"/>
  <c r="BN21" i="5" a="1"/>
  <c r="Z21" i="5" a="1"/>
  <c r="H21" i="5" a="1"/>
  <c r="AL20" i="5" a="1"/>
  <c r="AB20" i="5" a="1"/>
  <c r="F20" i="5" a="1"/>
  <c r="BV19" i="5" a="1"/>
  <c r="AZ19" i="5" a="1"/>
  <c r="AP19" i="5" a="1"/>
  <c r="U19" i="5" a="1"/>
  <c r="K4" i="5" a="1"/>
  <c r="CA4" i="5" a="1"/>
  <c r="AF4" i="5" a="1"/>
  <c r="AD4" i="5" a="1"/>
  <c r="G4" i="5" a="1"/>
  <c r="R5" i="6" a="1"/>
  <c r="BY28" i="5" a="1"/>
  <c r="V28" i="5" a="1"/>
  <c r="AM27" i="5" a="1"/>
  <c r="AQ25" i="5" a="1"/>
  <c r="F25" i="5" a="1"/>
  <c r="AV24" i="5" a="1"/>
  <c r="K24" i="5" a="1"/>
  <c r="Y23" i="5" a="1"/>
  <c r="BX22" i="5" a="1"/>
  <c r="AC22" i="5" a="1"/>
  <c r="BM21" i="5" a="1"/>
  <c r="AQ21" i="5" a="1"/>
  <c r="Y21" i="5" a="1"/>
  <c r="Q20" i="5" a="1"/>
  <c r="BK19" i="5" a="1"/>
  <c r="AE19" i="5" a="1"/>
  <c r="T19" i="5" a="1"/>
  <c r="L19" i="5" a="1"/>
  <c r="D19" i="5" a="1"/>
  <c r="BV18" i="5" a="1"/>
  <c r="BN18" i="5" a="1"/>
  <c r="BF18" i="5" a="1"/>
  <c r="AX18" i="5" a="1"/>
  <c r="AP18" i="5" a="1"/>
  <c r="AH18" i="5" a="1"/>
  <c r="Z18" i="5" a="1"/>
  <c r="R18" i="5" a="1"/>
  <c r="J18" i="5" a="1"/>
  <c r="B18" i="5" a="1"/>
  <c r="BT17" i="5" a="1"/>
  <c r="BL17" i="5" a="1"/>
  <c r="BD17" i="5" a="1"/>
  <c r="AV17" i="5" a="1"/>
  <c r="AN17" i="5" a="1"/>
  <c r="AF17" i="5" a="1"/>
  <c r="X17" i="5" a="1"/>
  <c r="P17" i="5" a="1"/>
  <c r="H17" i="5" a="1"/>
  <c r="BZ16" i="5" a="1"/>
  <c r="BR16" i="5" a="1"/>
  <c r="BJ16" i="5" a="1"/>
  <c r="BB16" i="5" a="1"/>
  <c r="AT16" i="5" a="1"/>
  <c r="AL16" i="5" a="1"/>
  <c r="AD16" i="5" a="1"/>
  <c r="V16" i="5" a="1"/>
  <c r="N16" i="5" a="1"/>
  <c r="F16" i="5" a="1"/>
  <c r="BX15" i="5" a="1"/>
  <c r="BP15" i="5" a="1"/>
  <c r="BH15" i="5" a="1"/>
  <c r="AZ15" i="5" a="1"/>
  <c r="AR15" i="5" a="1"/>
  <c r="AJ15" i="5" a="1"/>
  <c r="AB15" i="5" a="1"/>
  <c r="AR35" i="5" a="1"/>
  <c r="BW28" i="5" a="1"/>
  <c r="N28" i="5" a="1"/>
  <c r="AL27" i="5" a="1"/>
  <c r="G26" i="5" a="1"/>
  <c r="BA23" i="5" a="1"/>
  <c r="X23" i="5" a="1"/>
  <c r="BW22" i="5" a="1"/>
  <c r="AX22" i="5" a="1"/>
  <c r="AB22" i="5" a="1"/>
  <c r="AP21" i="5" a="1"/>
  <c r="X21" i="5" a="1"/>
  <c r="BM20" i="5" a="1"/>
  <c r="AY20" i="5" a="1"/>
  <c r="AK20" i="5" a="1"/>
  <c r="AA20" i="5" a="1"/>
  <c r="P20" i="5" a="1"/>
  <c r="E20" i="5" a="1"/>
  <c r="BU19" i="5" a="1"/>
  <c r="BJ19" i="5" a="1"/>
  <c r="AY19" i="5" a="1"/>
  <c r="AO19" i="5" a="1"/>
  <c r="AD19" i="5" a="1"/>
  <c r="AA4" i="5" a="1"/>
  <c r="BF4" i="5" a="1"/>
  <c r="M4" i="5" a="1"/>
  <c r="BL4" i="5" a="1"/>
  <c r="AM4" i="5" a="1"/>
  <c r="AH5" i="6" a="1"/>
  <c r="BM34" i="5" a="1"/>
  <c r="BO28" i="5" a="1"/>
  <c r="L28" i="5" a="1"/>
  <c r="AJ27" i="5" a="1"/>
  <c r="BD26" i="5" a="1"/>
  <c r="F26" i="5" a="1"/>
  <c r="F24" i="5" a="1"/>
  <c r="AY23" i="5" a="1"/>
  <c r="AA22" i="5" a="1"/>
  <c r="E22" i="5" a="1"/>
  <c r="AO21" i="5" a="1"/>
  <c r="BL20" i="5" a="1"/>
  <c r="AW20" i="5" a="1"/>
  <c r="Z20" i="5" a="1"/>
  <c r="O20" i="5" a="1"/>
  <c r="BT19" i="5" a="1"/>
  <c r="BI19" i="5" a="1"/>
  <c r="AN19" i="5" a="1"/>
  <c r="AC19" i="5" a="1"/>
  <c r="S19" i="5" a="1"/>
  <c r="K19" i="5" a="1"/>
  <c r="C19" i="5" a="1"/>
  <c r="BU18" i="5" a="1"/>
  <c r="BM18" i="5" a="1"/>
  <c r="BE18" i="5" a="1"/>
  <c r="AW18" i="5" a="1"/>
  <c r="AO18" i="5" a="1"/>
  <c r="AG18" i="5" a="1"/>
  <c r="Y18" i="5" a="1"/>
  <c r="Q18" i="5" a="1"/>
  <c r="I18" i="5" a="1"/>
  <c r="CA17" i="5" a="1"/>
  <c r="BS17" i="5" a="1"/>
  <c r="BK17" i="5" a="1"/>
  <c r="BC17" i="5" a="1"/>
  <c r="AU17" i="5" a="1"/>
  <c r="AM17" i="5" a="1"/>
  <c r="AE17" i="5" a="1"/>
  <c r="W17" i="5" a="1"/>
  <c r="O17" i="5" a="1"/>
  <c r="G17" i="5" a="1"/>
  <c r="BY16" i="5" a="1"/>
  <c r="BQ16" i="5" a="1"/>
  <c r="BI16" i="5" a="1"/>
  <c r="BA16" i="5" a="1"/>
  <c r="AS16" i="5" a="1"/>
  <c r="AK16" i="5" a="1"/>
  <c r="AC16" i="5" a="1"/>
  <c r="U16" i="5" a="1"/>
  <c r="M16" i="5" a="1"/>
  <c r="E16" i="5" a="1"/>
  <c r="BW15" i="5" a="1"/>
  <c r="BO15" i="5" a="1"/>
  <c r="BG15" i="5" a="1"/>
  <c r="AY15" i="5" a="1"/>
  <c r="AW34" i="5" a="1"/>
  <c r="BK30" i="5" a="1"/>
  <c r="BM28" i="5" a="1"/>
  <c r="C28" i="5" a="1"/>
  <c r="Z27" i="5" a="1"/>
  <c r="BB26" i="5" a="1"/>
  <c r="AH25" i="5" a="1"/>
  <c r="BW24" i="5" a="1"/>
  <c r="AM24" i="5" a="1"/>
  <c r="B24" i="5" a="1"/>
  <c r="AS22" i="5" a="1"/>
  <c r="C22" i="5" a="1"/>
  <c r="BG21" i="5" a="1"/>
  <c r="B21" i="5" a="1"/>
  <c r="BJ20" i="5" a="1"/>
  <c r="AU20" i="5" a="1"/>
  <c r="Y20" i="5" a="1"/>
  <c r="BS19" i="5" a="1"/>
  <c r="AM19" i="5" a="1"/>
  <c r="R19" i="5" a="1"/>
  <c r="J19" i="5" a="1"/>
  <c r="B19" i="5" a="1"/>
  <c r="BT18" i="5" a="1"/>
  <c r="BL18" i="5" a="1"/>
  <c r="BD18" i="5" a="1"/>
  <c r="AV18" i="5" a="1"/>
  <c r="AN18" i="5" a="1"/>
  <c r="AF18" i="5" a="1"/>
  <c r="X18" i="5" a="1"/>
  <c r="P18" i="5" a="1"/>
  <c r="H18" i="5" a="1"/>
  <c r="BZ17" i="5" a="1"/>
  <c r="BR17" i="5" a="1"/>
  <c r="BJ17" i="5" a="1"/>
  <c r="BB17" i="5" a="1"/>
  <c r="AT17" i="5" a="1"/>
  <c r="AL17" i="5" a="1"/>
  <c r="AD17" i="5" a="1"/>
  <c r="V17" i="5" a="1"/>
  <c r="N17" i="5" a="1"/>
  <c r="F17" i="5" a="1"/>
  <c r="BD28" i="5" a="1"/>
  <c r="CA27" i="5" a="1"/>
  <c r="BR24" i="5" a="1"/>
  <c r="AQ23" i="5" a="1"/>
  <c r="O23" i="5" a="1"/>
  <c r="BO22" i="5" a="1"/>
  <c r="AQ22" i="5" a="1"/>
  <c r="U22" i="5" a="1"/>
  <c r="BE21" i="5" a="1"/>
  <c r="R21" i="5" a="1"/>
  <c r="BZ20" i="5" a="1"/>
  <c r="AH20" i="5" a="1"/>
  <c r="W20" i="5" a="1"/>
  <c r="B20" i="5" a="1"/>
  <c r="BQ19" i="5" a="1"/>
  <c r="AV19" i="5" a="1"/>
  <c r="AK19" i="5" a="1"/>
  <c r="Q19" i="5" a="1"/>
  <c r="I19" i="5" a="1"/>
  <c r="CA18" i="5" a="1"/>
  <c r="BS18" i="5" a="1"/>
  <c r="BK18" i="5" a="1"/>
  <c r="BC18" i="5" a="1"/>
  <c r="AU18" i="5" a="1"/>
  <c r="AM18" i="5" a="1"/>
  <c r="AE18" i="5" a="1"/>
  <c r="W18" i="5" a="1"/>
  <c r="O18" i="5" a="1"/>
  <c r="G18" i="5" a="1"/>
  <c r="BY17" i="5" a="1"/>
  <c r="BQ17" i="5" a="1"/>
  <c r="BI17" i="5" a="1"/>
  <c r="BA17" i="5" a="1"/>
  <c r="AS17" i="5" a="1"/>
  <c r="AK17" i="5" a="1"/>
  <c r="AC17" i="5" a="1"/>
  <c r="U17" i="5" a="1"/>
  <c r="M17" i="5" a="1"/>
  <c r="E17" i="5" a="1"/>
  <c r="BW16" i="5" a="1"/>
  <c r="BO16" i="5" a="1"/>
  <c r="BG16" i="5" a="1"/>
  <c r="AY16" i="5" a="1"/>
  <c r="AQ16" i="5" a="1"/>
  <c r="AI16" i="5" a="1"/>
  <c r="AA16" i="5" a="1"/>
  <c r="S16" i="5" a="1"/>
  <c r="K16" i="5" a="1"/>
  <c r="C16" i="5" a="1"/>
  <c r="BU15" i="5" a="1"/>
  <c r="BM15" i="5" a="1"/>
  <c r="BE15" i="5" a="1"/>
  <c r="AW15" i="5" a="1"/>
  <c r="AO15" i="5" a="1"/>
  <c r="AG15" i="5" a="1"/>
  <c r="Y15" i="5" a="1"/>
  <c r="Q15" i="5" a="1"/>
  <c r="F33" i="5" a="1"/>
  <c r="AJ30" i="5" a="1"/>
  <c r="AG29" i="5" a="1"/>
  <c r="AT28" i="5" a="1"/>
  <c r="BR27" i="5" a="1"/>
  <c r="AK26" i="5" a="1"/>
  <c r="Y25" i="5" a="1"/>
  <c r="BN24" i="5" a="1"/>
  <c r="AC24" i="5" a="1"/>
  <c r="BS23" i="5" a="1"/>
  <c r="S22" i="5" a="1"/>
  <c r="BW21" i="5" a="1"/>
  <c r="AH21" i="5" a="1"/>
  <c r="P21" i="5" a="1"/>
  <c r="BG20" i="5" a="1"/>
  <c r="AG20" i="5" a="1"/>
  <c r="CA19" i="5" a="1"/>
  <c r="AU19" i="5" a="1"/>
  <c r="P19" i="5" a="1"/>
  <c r="H19" i="5" a="1"/>
  <c r="BZ18" i="5" a="1"/>
  <c r="BR18" i="5" a="1"/>
  <c r="BJ18" i="5" a="1"/>
  <c r="BB18" i="5" a="1"/>
  <c r="AT18" i="5" a="1"/>
  <c r="AL18" i="5" a="1"/>
  <c r="AD18" i="5" a="1"/>
  <c r="V18" i="5" a="1"/>
  <c r="N18" i="5" a="1"/>
  <c r="F18" i="5" a="1"/>
  <c r="BX17" i="5" a="1"/>
  <c r="BP17" i="5" a="1"/>
  <c r="BH17" i="5" a="1"/>
  <c r="AZ17" i="5" a="1"/>
  <c r="AR17" i="5" a="1"/>
  <c r="AJ17" i="5" a="1"/>
  <c r="AB17" i="5" a="1"/>
  <c r="T17" i="5" a="1"/>
  <c r="L17" i="5" a="1"/>
  <c r="D17" i="5" a="1"/>
  <c r="BV16" i="5" a="1"/>
  <c r="BN16" i="5" a="1"/>
  <c r="BF16" i="5" a="1"/>
  <c r="AX16" i="5" a="1"/>
  <c r="AP16" i="5" a="1"/>
  <c r="AH16" i="5" a="1"/>
  <c r="Z16" i="5" a="1"/>
  <c r="R16" i="5" a="1"/>
  <c r="J16" i="5" a="1"/>
  <c r="B16" i="5" a="1"/>
  <c r="BT15" i="5" a="1"/>
  <c r="BL15" i="5" a="1"/>
  <c r="BD15" i="5" a="1"/>
  <c r="AV15" i="5" a="1"/>
  <c r="AN15" i="5" a="1"/>
  <c r="AF15" i="5" a="1"/>
  <c r="X15" i="5" a="1"/>
  <c r="BI34" i="5" a="1"/>
  <c r="Y27" i="5" a="1"/>
  <c r="BE22" i="5" a="1"/>
  <c r="AW21" i="5" a="1"/>
  <c r="BB20" i="5" a="1"/>
  <c r="I20" i="5" a="1"/>
  <c r="F19" i="5" a="1"/>
  <c r="AZ18" i="5" a="1"/>
  <c r="T18" i="5" a="1"/>
  <c r="BN17" i="5" a="1"/>
  <c r="AH17" i="5" a="1"/>
  <c r="B17" i="5" a="1"/>
  <c r="AB16" i="5" a="1"/>
  <c r="N15" i="5" a="1"/>
  <c r="AH14" i="5" a="1"/>
  <c r="BX13" i="5" a="1"/>
  <c r="BK13" i="5" a="1"/>
  <c r="AN13" i="5" a="1"/>
  <c r="AC13" i="5" a="1"/>
  <c r="Q13" i="5" a="1"/>
  <c r="BT12" i="5" a="1"/>
  <c r="BH12" i="5" a="1"/>
  <c r="AW12" i="5" a="1"/>
  <c r="Z12" i="5" a="1"/>
  <c r="M12" i="5" a="1"/>
  <c r="BP11" i="5" a="1"/>
  <c r="BE11" i="5" a="1"/>
  <c r="AS11" i="5" a="1"/>
  <c r="V11" i="5" a="1"/>
  <c r="J11" i="5" a="1"/>
  <c r="BY10" i="5" a="1"/>
  <c r="BB10" i="5" a="1"/>
  <c r="AO10" i="5" a="1"/>
  <c r="R10" i="5" a="1"/>
  <c r="G10" i="5" a="1"/>
  <c r="BU9" i="5" a="1"/>
  <c r="AX9" i="5" a="1"/>
  <c r="AL9" i="5" a="1"/>
  <c r="AA9" i="5" a="1"/>
  <c r="D9" i="5" a="1"/>
  <c r="BQ8" i="5" a="1"/>
  <c r="AT8" i="5" a="1"/>
  <c r="AI8" i="5" a="1"/>
  <c r="W8" i="5" a="1"/>
  <c r="BZ7" i="5" a="1"/>
  <c r="BN7" i="5" a="1"/>
  <c r="BC7" i="5" a="1"/>
  <c r="AF7" i="5" a="1"/>
  <c r="S7" i="5" a="1"/>
  <c r="BV6" i="5" a="1"/>
  <c r="BK6" i="5" a="1"/>
  <c r="AY6" i="5" a="1"/>
  <c r="AB6" i="5" a="1"/>
  <c r="P6" i="5" a="1"/>
  <c r="E6" i="5" a="1"/>
  <c r="BH5" i="5" a="1"/>
  <c r="AU5" i="5" a="1"/>
  <c r="X5" i="5" a="1"/>
  <c r="M5" i="5" a="1"/>
  <c r="C4" i="5" a="1"/>
  <c r="AB4" i="5" a="1"/>
  <c r="AV4" i="5" a="1"/>
  <c r="AX4" i="5" a="1"/>
  <c r="AB6" i="6" a="1"/>
  <c r="BZ7" i="6" a="1"/>
  <c r="AX9" i="6" a="1"/>
  <c r="AK6" i="6" a="1"/>
  <c r="I8" i="6" a="1"/>
  <c r="BP5" i="6" a="1"/>
  <c r="AN7" i="6" a="1"/>
  <c r="L9" i="6" a="1"/>
  <c r="BA5" i="6" a="1"/>
  <c r="Y7" i="6" a="1"/>
  <c r="BW8" i="6" a="1"/>
  <c r="AV6" i="6" a="1"/>
  <c r="T8" i="6" a="1"/>
  <c r="Y6" i="6" a="1"/>
  <c r="BW7" i="6" a="1"/>
  <c r="AQ9" i="6" a="1"/>
  <c r="BB8" i="6" a="1"/>
  <c r="AV11" i="6" a="1"/>
  <c r="D14" i="6" a="1"/>
  <c r="BG6" i="6" a="1"/>
  <c r="BW11" i="6" a="1"/>
  <c r="Z10" i="6" a="1"/>
  <c r="BV12" i="6" a="1"/>
  <c r="BR33" i="5" a="1"/>
  <c r="AN21" i="5" a="1"/>
  <c r="AV20" i="5" a="1"/>
  <c r="D20" i="5" a="1"/>
  <c r="AZ16" i="5" a="1"/>
  <c r="BB15" i="5" a="1"/>
  <c r="L15" i="5" a="1"/>
  <c r="BZ14" i="5" a="1"/>
  <c r="BK14" i="5" a="1"/>
  <c r="AV14" i="5" a="1"/>
  <c r="AG14" i="5" a="1"/>
  <c r="V14" i="5" a="1"/>
  <c r="H14" i="5" a="1"/>
  <c r="BW13" i="5" a="1"/>
  <c r="AZ13" i="5" a="1"/>
  <c r="AM13" i="5" a="1"/>
  <c r="P13" i="5" a="1"/>
  <c r="E13" i="5" a="1"/>
  <c r="BS12" i="5" a="1"/>
  <c r="AV12" i="5" a="1"/>
  <c r="AJ12" i="5" a="1"/>
  <c r="Y12" i="5" a="1"/>
  <c r="B12" i="5" a="1"/>
  <c r="BO11" i="5" a="1"/>
  <c r="AR11" i="5" a="1"/>
  <c r="AG11" i="5" a="1"/>
  <c r="U11" i="5" a="1"/>
  <c r="BX10" i="5" a="1"/>
  <c r="BL10" i="5" a="1"/>
  <c r="BA10" i="5" a="1"/>
  <c r="AD10" i="5" a="1"/>
  <c r="Q10" i="5" a="1"/>
  <c r="BT9" i="5" a="1"/>
  <c r="BI9" i="5" a="1"/>
  <c r="AW9" i="5" a="1"/>
  <c r="Z9" i="5" a="1"/>
  <c r="N9" i="5" a="1"/>
  <c r="C9" i="5" a="1"/>
  <c r="BF8" i="5" a="1"/>
  <c r="AS8" i="5" a="1"/>
  <c r="V8" i="5" a="1"/>
  <c r="K8" i="5" a="1"/>
  <c r="BY7" i="5" a="1"/>
  <c r="BB7" i="5" a="1"/>
  <c r="AP7" i="5" a="1"/>
  <c r="AE7" i="5" a="1"/>
  <c r="H7" i="5" a="1"/>
  <c r="BU6" i="5" a="1"/>
  <c r="AX6" i="5" a="1"/>
  <c r="AM6" i="5" a="1"/>
  <c r="AA6" i="5" a="1"/>
  <c r="D6" i="5" a="1"/>
  <c r="BR5" i="5" a="1"/>
  <c r="BG5" i="5" a="1"/>
  <c r="AJ5" i="5" a="1"/>
  <c r="W5" i="5" a="1"/>
  <c r="S4" i="5" a="1"/>
  <c r="AJ4" i="5" a="1"/>
  <c r="N4" i="5" a="1"/>
  <c r="P4" i="5" a="1"/>
  <c r="AJ6" i="6" a="1"/>
  <c r="H8" i="6" a="1"/>
  <c r="BF9" i="6" a="1"/>
  <c r="AS6" i="6" a="1"/>
  <c r="Q8" i="6" a="1"/>
  <c r="BX5" i="6" a="1"/>
  <c r="AV7" i="6" a="1"/>
  <c r="T9" i="6" a="1"/>
  <c r="BI5" i="6" a="1"/>
  <c r="AG7" i="6" a="1"/>
  <c r="F5" i="6" a="1"/>
  <c r="BD6" i="6" a="1"/>
  <c r="AB8" i="6" a="1"/>
  <c r="AG6" i="6" a="1"/>
  <c r="E8" i="6" a="1"/>
  <c r="BG9" i="6" a="1"/>
  <c r="BU8" i="6" a="1"/>
  <c r="BI11" i="6" a="1"/>
  <c r="L14" i="6" a="1"/>
  <c r="M7" i="6" a="1"/>
  <c r="I12" i="6" a="1"/>
  <c r="AL10" i="6" a="1"/>
  <c r="BC33" i="5" a="1"/>
  <c r="BC26" i="5" a="1"/>
  <c r="BX23" i="5" a="1"/>
  <c r="AR22" i="5" a="1"/>
  <c r="AT20" i="5" a="1"/>
  <c r="C20" i="5" a="1"/>
  <c r="AL19" i="5" a="1"/>
  <c r="BX16" i="5" a="1"/>
  <c r="BZ15" i="5" a="1"/>
  <c r="AD15" i="5" a="1"/>
  <c r="K15" i="5" a="1"/>
  <c r="BX14" i="5" a="1"/>
  <c r="U14" i="5" a="1"/>
  <c r="BV13" i="5" a="1"/>
  <c r="BJ13" i="5" a="1"/>
  <c r="AY13" i="5" a="1"/>
  <c r="AB13" i="5" a="1"/>
  <c r="O13" i="5" a="1"/>
  <c r="BR12" i="5" a="1"/>
  <c r="BG12" i="5" a="1"/>
  <c r="AU12" i="5" a="1"/>
  <c r="X12" i="5" a="1"/>
  <c r="L12" i="5" a="1"/>
  <c r="CA11" i="5" a="1"/>
  <c r="BD11" i="5" a="1"/>
  <c r="AQ11" i="5" a="1"/>
  <c r="T11" i="5" a="1"/>
  <c r="I11" i="5" a="1"/>
  <c r="BW10" i="5" a="1"/>
  <c r="AZ10" i="5" a="1"/>
  <c r="AN10" i="5" a="1"/>
  <c r="AC10" i="5" a="1"/>
  <c r="F10" i="5" a="1"/>
  <c r="BS9" i="5" a="1"/>
  <c r="AV9" i="5" a="1"/>
  <c r="AK9" i="5" a="1"/>
  <c r="Y9" i="5" a="1"/>
  <c r="B9" i="5" a="1"/>
  <c r="BP8" i="5" a="1"/>
  <c r="BE8" i="5" a="1"/>
  <c r="AH8" i="5" a="1"/>
  <c r="U8" i="5" a="1"/>
  <c r="BX7" i="5" a="1"/>
  <c r="BM7" i="5" a="1"/>
  <c r="BA7" i="5" a="1"/>
  <c r="AD7" i="5" a="1"/>
  <c r="R7" i="5" a="1"/>
  <c r="G7" i="5" a="1"/>
  <c r="BJ6" i="5" a="1"/>
  <c r="AW6" i="5" a="1"/>
  <c r="Z6" i="5" a="1"/>
  <c r="O6" i="5" a="1"/>
  <c r="C6" i="5" a="1"/>
  <c r="BF5" i="5" a="1"/>
  <c r="AT5" i="5" a="1"/>
  <c r="AI5" i="5" a="1"/>
  <c r="L5" i="5" a="1"/>
  <c r="AI4" i="5" a="1"/>
  <c r="AZ4" i="5" a="1"/>
  <c r="BJ4" i="5" a="1"/>
  <c r="BD4" i="5" a="1"/>
  <c r="AR6" i="6" a="1"/>
  <c r="P8" i="6" a="1"/>
  <c r="C5" i="6" a="1"/>
  <c r="BA6" i="6" a="1"/>
  <c r="Y8" i="6" a="1"/>
  <c r="F6" i="6" a="1"/>
  <c r="BD7" i="6" a="1"/>
  <c r="AB9" i="6" a="1"/>
  <c r="BQ5" i="6" a="1"/>
  <c r="AO7" i="6" a="1"/>
  <c r="N5" i="6" a="1"/>
  <c r="BL6" i="6" a="1"/>
  <c r="AJ8" i="6" a="1"/>
  <c r="AO6" i="6" a="1"/>
  <c r="M8" i="6" a="1"/>
  <c r="W10" i="6" a="1"/>
  <c r="AI21" i="5" a="1"/>
  <c r="AS20" i="5" a="1"/>
  <c r="AJ19" i="5" a="1"/>
  <c r="X16" i="5" a="1"/>
  <c r="AX15" i="5" a="1"/>
  <c r="AA15" i="5" a="1"/>
  <c r="BV14" i="5" a="1"/>
  <c r="BJ14" i="5" a="1"/>
  <c r="AU14" i="5" a="1"/>
  <c r="AF14" i="5" a="1"/>
  <c r="T14" i="5" a="1"/>
  <c r="G14" i="5" a="1"/>
  <c r="BU13" i="5" a="1"/>
  <c r="AX13" i="5" a="1"/>
  <c r="AL13" i="5" a="1"/>
  <c r="AA13" i="5" a="1"/>
  <c r="D13" i="5" a="1"/>
  <c r="BQ12" i="5" a="1"/>
  <c r="AT12" i="5" a="1"/>
  <c r="AI12" i="5" a="1"/>
  <c r="W12" i="5" a="1"/>
  <c r="BZ11" i="5" a="1"/>
  <c r="BN11" i="5" a="1"/>
  <c r="BC11" i="5" a="1"/>
  <c r="AF11" i="5" a="1"/>
  <c r="S11" i="5" a="1"/>
  <c r="BV10" i="5" a="1"/>
  <c r="BK10" i="5" a="1"/>
  <c r="AY10" i="5" a="1"/>
  <c r="AB10" i="5" a="1"/>
  <c r="P10" i="5" a="1"/>
  <c r="E10" i="5" a="1"/>
  <c r="BH9" i="5" a="1"/>
  <c r="AU9" i="5" a="1"/>
  <c r="X9" i="5" a="1"/>
  <c r="M9" i="5" a="1"/>
  <c r="CA8" i="5" a="1"/>
  <c r="BD8" i="5" a="1"/>
  <c r="AR8" i="5" a="1"/>
  <c r="AG8" i="5" a="1"/>
  <c r="J8" i="5" a="1"/>
  <c r="BW7" i="5" a="1"/>
  <c r="AZ7" i="5" a="1"/>
  <c r="AO7" i="5" a="1"/>
  <c r="AC7" i="5" a="1"/>
  <c r="F7" i="5" a="1"/>
  <c r="BT6" i="5" a="1"/>
  <c r="BI6" i="5" a="1"/>
  <c r="AL6" i="5" a="1"/>
  <c r="Y6" i="5" a="1"/>
  <c r="B6" i="5" a="1"/>
  <c r="BQ5" i="5" a="1"/>
  <c r="BE5" i="5" a="1"/>
  <c r="AH5" i="5" a="1"/>
  <c r="V5" i="5" a="1"/>
  <c r="K5" i="5" a="1"/>
  <c r="AQ4" i="5" a="1"/>
  <c r="BH4" i="5" a="1"/>
  <c r="AW4" i="5" a="1"/>
  <c r="BN4" i="5" a="1"/>
  <c r="AZ6" i="6" a="1"/>
  <c r="X8" i="6" a="1"/>
  <c r="K5" i="6" a="1"/>
  <c r="BI6" i="6" a="1"/>
  <c r="AG8" i="6" a="1"/>
  <c r="N6" i="6" a="1"/>
  <c r="BL7" i="6" a="1"/>
  <c r="AJ9" i="6" a="1"/>
  <c r="BY5" i="6" a="1"/>
  <c r="AW7" i="6" a="1"/>
  <c r="V5" i="6" a="1"/>
  <c r="BT6" i="6" a="1"/>
  <c r="AR8" i="6" a="1"/>
  <c r="AW6" i="6" a="1"/>
  <c r="U8" i="6" a="1"/>
  <c r="AW10" i="6" a="1"/>
  <c r="AC9" i="6" a="1"/>
  <c r="H12" i="6" a="1"/>
  <c r="AB14" i="6" a="1"/>
  <c r="BY7" i="6" a="1"/>
  <c r="BI12" i="6" a="1"/>
  <c r="BL10" i="6" a="1"/>
  <c r="BJ23" i="5" a="1"/>
  <c r="AI22" i="5" a="1"/>
  <c r="AO20" i="5" a="1"/>
  <c r="BX18" i="5" a="1"/>
  <c r="AR18" i="5" a="1"/>
  <c r="L18" i="5" a="1"/>
  <c r="BF17" i="5" a="1"/>
  <c r="Z17" i="5" a="1"/>
  <c r="AV16" i="5" a="1"/>
  <c r="BV15" i="5" a="1"/>
  <c r="J15" i="5" a="1"/>
  <c r="BU14" i="5" a="1"/>
  <c r="BH14" i="5" a="1"/>
  <c r="R14" i="5" a="1"/>
  <c r="BT13" i="5" a="1"/>
  <c r="BI13" i="5" a="1"/>
  <c r="AW13" i="5" a="1"/>
  <c r="Z13" i="5" a="1"/>
  <c r="N13" i="5" a="1"/>
  <c r="C13" i="5" a="1"/>
  <c r="BF12" i="5" a="1"/>
  <c r="AS12" i="5" a="1"/>
  <c r="V12" i="5" a="1"/>
  <c r="K12" i="5" a="1"/>
  <c r="BY11" i="5" a="1"/>
  <c r="BB11" i="5" a="1"/>
  <c r="AP11" i="5" a="1"/>
  <c r="AE11" i="5" a="1"/>
  <c r="H11" i="5" a="1"/>
  <c r="BU10" i="5" a="1"/>
  <c r="AX10" i="5" a="1"/>
  <c r="AM10" i="5" a="1"/>
  <c r="AA10" i="5" a="1"/>
  <c r="D10" i="5" a="1"/>
  <c r="BR9" i="5" a="1"/>
  <c r="BG9" i="5" a="1"/>
  <c r="AJ9" i="5" a="1"/>
  <c r="W9" i="5" a="1"/>
  <c r="BZ8" i="5" a="1"/>
  <c r="BO8" i="5" a="1"/>
  <c r="BC8" i="5" a="1"/>
  <c r="AF8" i="5" a="1"/>
  <c r="T8" i="5" a="1"/>
  <c r="I8" i="5" a="1"/>
  <c r="BL7" i="5" a="1"/>
  <c r="AY7" i="5" a="1"/>
  <c r="AB7" i="5" a="1"/>
  <c r="Q7" i="5" a="1"/>
  <c r="E7" i="5" a="1"/>
  <c r="BH6" i="5" a="1"/>
  <c r="AV6" i="5" a="1"/>
  <c r="AK6" i="5" a="1"/>
  <c r="N6" i="5" a="1"/>
  <c r="CA5" i="5" a="1"/>
  <c r="BD5" i="5" a="1"/>
  <c r="AS5" i="5" a="1"/>
  <c r="AG5" i="5" a="1"/>
  <c r="J5" i="5" a="1"/>
  <c r="AY4" i="5" a="1"/>
  <c r="BX4" i="5" a="1"/>
  <c r="AH4" i="5" a="1"/>
  <c r="H4" i="5" a="1"/>
  <c r="BH6" i="6" a="1"/>
  <c r="AF8" i="6" a="1"/>
  <c r="S5" i="6" a="1"/>
  <c r="BQ6" i="6" a="1"/>
  <c r="AO8" i="6" a="1"/>
  <c r="V6" i="6" a="1"/>
  <c r="BT7" i="6" a="1"/>
  <c r="AR9" i="6" a="1"/>
  <c r="G6" i="6" a="1"/>
  <c r="BE7" i="6" a="1"/>
  <c r="AD5" i="6" a="1"/>
  <c r="B7" i="6" a="1"/>
  <c r="G5" i="6" a="1"/>
  <c r="BE6" i="6" a="1"/>
  <c r="H5" i="6" a="1"/>
  <c r="BI10" i="6" a="1"/>
  <c r="AS9" i="6" a="1"/>
  <c r="V12" i="6" a="1"/>
  <c r="AJ14" i="6" a="1"/>
  <c r="BX8" i="6" a="1"/>
  <c r="E26" i="5" a="1"/>
  <c r="AJ20" i="5" a="1"/>
  <c r="AB19" i="5" a="1"/>
  <c r="BT16" i="5" a="1"/>
  <c r="T16" i="5" a="1"/>
  <c r="Z15" i="5" a="1"/>
  <c r="BF14" i="5" a="1"/>
  <c r="AT14" i="5" a="1"/>
  <c r="AE14" i="5" a="1"/>
  <c r="Q14" i="5" a="1"/>
  <c r="F14" i="5" a="1"/>
  <c r="BS13" i="5" a="1"/>
  <c r="AV13" i="5" a="1"/>
  <c r="AK13" i="5" a="1"/>
  <c r="Y13" i="5" a="1"/>
  <c r="B13" i="5" a="1"/>
  <c r="BP12" i="5" a="1"/>
  <c r="BE12" i="5" a="1"/>
  <c r="AH12" i="5" a="1"/>
  <c r="U12" i="5" a="1"/>
  <c r="BX11" i="5" a="1"/>
  <c r="BM11" i="5" a="1"/>
  <c r="BA11" i="5" a="1"/>
  <c r="AD11" i="5" a="1"/>
  <c r="R11" i="5" a="1"/>
  <c r="G11" i="5" a="1"/>
  <c r="BJ10" i="5" a="1"/>
  <c r="AW10" i="5" a="1"/>
  <c r="Z10" i="5" a="1"/>
  <c r="O10" i="5" a="1"/>
  <c r="C10" i="5" a="1"/>
  <c r="BF9" i="5" a="1"/>
  <c r="AT9" i="5" a="1"/>
  <c r="AI9" i="5" a="1"/>
  <c r="L9" i="5" a="1"/>
  <c r="BY8" i="5" a="1"/>
  <c r="BB8" i="5" a="1"/>
  <c r="AQ8" i="5" a="1"/>
  <c r="AE8" i="5" a="1"/>
  <c r="H8" i="5" a="1"/>
  <c r="BV7" i="5" a="1"/>
  <c r="BK7" i="5" a="1"/>
  <c r="AN7" i="5" a="1"/>
  <c r="AA7" i="5" a="1"/>
  <c r="D7" i="5" a="1"/>
  <c r="BS6" i="5" a="1"/>
  <c r="BG6" i="5" a="1"/>
  <c r="AJ6" i="5" a="1"/>
  <c r="X6" i="5" a="1"/>
  <c r="M6" i="5" a="1"/>
  <c r="BP5" i="5" a="1"/>
  <c r="BC5" i="5" a="1"/>
  <c r="AF5" i="5" a="1"/>
  <c r="U5" i="5" a="1"/>
  <c r="I5" i="5" a="1"/>
  <c r="BG4" i="5" a="1"/>
  <c r="BI4" i="5" a="1"/>
  <c r="F4" i="5" a="1"/>
  <c r="I4" i="5" a="1"/>
  <c r="BP6" i="6" a="1"/>
  <c r="AN8" i="6" a="1"/>
  <c r="AA5" i="6" a="1"/>
  <c r="BY6" i="6" a="1"/>
  <c r="AW8" i="6" a="1"/>
  <c r="AD6" i="6" a="1"/>
  <c r="B8" i="6" a="1"/>
  <c r="AZ9" i="6" a="1"/>
  <c r="O6" i="6" a="1"/>
  <c r="BM7" i="6" a="1"/>
  <c r="AL5" i="6" a="1"/>
  <c r="J7" i="6" a="1"/>
  <c r="AV29" i="5" a="1"/>
  <c r="S21" i="5" a="1"/>
  <c r="AI20" i="5" a="1"/>
  <c r="BR19" i="5" a="1"/>
  <c r="AA19" i="5" a="1"/>
  <c r="AR16" i="5" a="1"/>
  <c r="AT15" i="5" a="1"/>
  <c r="I15" i="5" a="1"/>
  <c r="BT14" i="5" a="1"/>
  <c r="BE14" i="5" a="1"/>
  <c r="AR14" i="5" a="1"/>
  <c r="E14" i="5" a="1"/>
  <c r="BH13" i="5" a="1"/>
  <c r="AU13" i="5" a="1"/>
  <c r="X13" i="5" a="1"/>
  <c r="M13" i="5" a="1"/>
  <c r="CA12" i="5" a="1"/>
  <c r="BD12" i="5" a="1"/>
  <c r="AR12" i="5" a="1"/>
  <c r="AG12" i="5" a="1"/>
  <c r="J12" i="5" a="1"/>
  <c r="BW11" i="5" a="1"/>
  <c r="AZ11" i="5" a="1"/>
  <c r="AO11" i="5" a="1"/>
  <c r="AC11" i="5" a="1"/>
  <c r="F11" i="5" a="1"/>
  <c r="BT10" i="5" a="1"/>
  <c r="BI10" i="5" a="1"/>
  <c r="AL10" i="5" a="1"/>
  <c r="Y10" i="5" a="1"/>
  <c r="B10" i="5" a="1"/>
  <c r="BQ9" i="5" a="1"/>
  <c r="BE9" i="5" a="1"/>
  <c r="AH9" i="5" a="1"/>
  <c r="V9" i="5" a="1"/>
  <c r="K9" i="5" a="1"/>
  <c r="BN8" i="5" a="1"/>
  <c r="BA8" i="5" a="1"/>
  <c r="AD8" i="5" a="1"/>
  <c r="S8" i="5" a="1"/>
  <c r="G8" i="5" a="1"/>
  <c r="BJ7" i="5" a="1"/>
  <c r="AX7" i="5" a="1"/>
  <c r="AM7" i="5" a="1"/>
  <c r="P7" i="5" a="1"/>
  <c r="C7" i="5" a="1"/>
  <c r="BF6" i="5" a="1"/>
  <c r="AU6" i="5" a="1"/>
  <c r="AI6" i="5" a="1"/>
  <c r="L6" i="5" a="1"/>
  <c r="BZ5" i="5" a="1"/>
  <c r="BO5" i="5" a="1"/>
  <c r="AR5" i="5" a="1"/>
  <c r="AE5" i="5" a="1"/>
  <c r="H5" i="5" a="1"/>
  <c r="BO4" i="5" a="1"/>
  <c r="BK4" i="5" a="1"/>
  <c r="V4" i="5" a="1"/>
  <c r="S20" i="6" a="1"/>
  <c r="BX6" i="6" a="1"/>
  <c r="AV8" i="6" a="1"/>
  <c r="AI5" i="6" a="1"/>
  <c r="G7" i="6" a="1"/>
  <c r="BE8" i="6" a="1"/>
  <c r="AL6" i="6" a="1"/>
  <c r="J8" i="6" a="1"/>
  <c r="BH9" i="6" a="1"/>
  <c r="W6" i="6" a="1"/>
  <c r="BU7" i="6" a="1"/>
  <c r="AT5" i="6" a="1"/>
  <c r="R7" i="6" a="1"/>
  <c r="W5" i="6" a="1"/>
  <c r="BU6" i="6" a="1"/>
  <c r="BT5" i="6" a="1"/>
  <c r="AI11" i="6" a="1"/>
  <c r="BV9" i="6" a="1"/>
  <c r="AU12" i="6" a="1"/>
  <c r="AZ14" i="6" a="1"/>
  <c r="AD9" i="6" a="1"/>
  <c r="AU13" i="6" a="1"/>
  <c r="X11" i="6" a="1"/>
  <c r="AP23" i="5" a="1"/>
  <c r="T22" i="5" a="1"/>
  <c r="Q21" i="5" a="1"/>
  <c r="BP19" i="5" a="1"/>
  <c r="Z19" i="5" a="1"/>
  <c r="BP16" i="5" a="1"/>
  <c r="BR15" i="5" a="1"/>
  <c r="AQ15" i="5" a="1"/>
  <c r="AP14" i="5" a="1"/>
  <c r="AD14" i="5" a="1"/>
  <c r="P14" i="5" a="1"/>
  <c r="D14" i="5" a="1"/>
  <c r="BR13" i="5" a="1"/>
  <c r="BG13" i="5" a="1"/>
  <c r="AJ13" i="5" a="1"/>
  <c r="W13" i="5" a="1"/>
  <c r="BZ12" i="5" a="1"/>
  <c r="BO12" i="5" a="1"/>
  <c r="BC12" i="5" a="1"/>
  <c r="AF12" i="5" a="1"/>
  <c r="T12" i="5" a="1"/>
  <c r="I12" i="5" a="1"/>
  <c r="BL11" i="5" a="1"/>
  <c r="AY11" i="5" a="1"/>
  <c r="AB11" i="5" a="1"/>
  <c r="Q11" i="5" a="1"/>
  <c r="E11" i="5" a="1"/>
  <c r="BH10" i="5" a="1"/>
  <c r="AV10" i="5" a="1"/>
  <c r="AK10" i="5" a="1"/>
  <c r="N10" i="5" a="1"/>
  <c r="CA9" i="5" a="1"/>
  <c r="BD9" i="5" a="1"/>
  <c r="AS9" i="5" a="1"/>
  <c r="AG9" i="5" a="1"/>
  <c r="J9" i="5" a="1"/>
  <c r="BX8" i="5" a="1"/>
  <c r="BM8" i="5" a="1"/>
  <c r="AP8" i="5" a="1"/>
  <c r="AC8" i="5" a="1"/>
  <c r="F8" i="5" a="1"/>
  <c r="BU7" i="5" a="1"/>
  <c r="BI7" i="5" a="1"/>
  <c r="AL7" i="5" a="1"/>
  <c r="Z7" i="5" a="1"/>
  <c r="O7" i="5" a="1"/>
  <c r="BR6" i="5" a="1"/>
  <c r="BE6" i="5" a="1"/>
  <c r="AH6" i="5" a="1"/>
  <c r="W6" i="5" a="1"/>
  <c r="K6" i="5" a="1"/>
  <c r="BN5" i="5" a="1"/>
  <c r="BB5" i="5" a="1"/>
  <c r="AQ5" i="5" a="1"/>
  <c r="T5" i="5" a="1"/>
  <c r="G5" i="5" a="1"/>
  <c r="BW4" i="5" a="1"/>
  <c r="AO4" i="5" a="1"/>
  <c r="AL4" i="5" a="1"/>
  <c r="J5" i="6" a="1"/>
  <c r="F7" i="6" a="1"/>
  <c r="BD8" i="6" a="1"/>
  <c r="AQ5" i="6" a="1"/>
  <c r="O7" i="6" a="1"/>
  <c r="BM8" i="6" a="1"/>
  <c r="AT6" i="6" a="1"/>
  <c r="R8" i="6" a="1"/>
  <c r="BP9" i="6" a="1"/>
  <c r="AE6" i="6" a="1"/>
  <c r="C8" i="6" a="1"/>
  <c r="BB5" i="6" a="1"/>
  <c r="AG23" i="5" a="1"/>
  <c r="M22" i="5" a="1"/>
  <c r="K21" i="5" a="1"/>
  <c r="BP18" i="5" a="1"/>
  <c r="AJ18" i="5" a="1"/>
  <c r="D18" i="5" a="1"/>
  <c r="AX17" i="5" a="1"/>
  <c r="R17" i="5" a="1"/>
  <c r="P16" i="5" a="1"/>
  <c r="V15" i="5" a="1"/>
  <c r="H15" i="5" a="1"/>
  <c r="BS14" i="5" a="1"/>
  <c r="BD14" i="5" a="1"/>
  <c r="AO14" i="5" a="1"/>
  <c r="AC14" i="5" a="1"/>
  <c r="C14" i="5" a="1"/>
  <c r="BF13" i="5" a="1"/>
  <c r="AT13" i="5" a="1"/>
  <c r="AI13" i="5" a="1"/>
  <c r="L13" i="5" a="1"/>
  <c r="BY12" i="5" a="1"/>
  <c r="BB12" i="5" a="1"/>
  <c r="AQ12" i="5" a="1"/>
  <c r="AE12" i="5" a="1"/>
  <c r="H12" i="5" a="1"/>
  <c r="BV11" i="5" a="1"/>
  <c r="BK11" i="5" a="1"/>
  <c r="AN11" i="5" a="1"/>
  <c r="AA11" i="5" a="1"/>
  <c r="D11" i="5" a="1"/>
  <c r="BS10" i="5" a="1"/>
  <c r="BG10" i="5" a="1"/>
  <c r="AJ10" i="5" a="1"/>
  <c r="X10" i="5" a="1"/>
  <c r="M10" i="5" a="1"/>
  <c r="BP9" i="5" a="1"/>
  <c r="BC9" i="5" a="1"/>
  <c r="AF9" i="5" a="1"/>
  <c r="U9" i="5" a="1"/>
  <c r="I9" i="5" a="1"/>
  <c r="BL8" i="5" a="1"/>
  <c r="AZ8" i="5" a="1"/>
  <c r="AO8" i="5" a="1"/>
  <c r="R8" i="5" a="1"/>
  <c r="E8" i="5" a="1"/>
  <c r="BH7" i="5" a="1"/>
  <c r="AW7" i="5" a="1"/>
  <c r="AK7" i="5" a="1"/>
  <c r="N7" i="5" a="1"/>
  <c r="B7" i="5" a="1"/>
  <c r="BQ6" i="5" a="1"/>
  <c r="AT6" i="5" a="1"/>
  <c r="AG6" i="5" a="1"/>
  <c r="J6" i="5" a="1"/>
  <c r="BY5" i="5" a="1"/>
  <c r="BM5" i="5" a="1"/>
  <c r="AP5" i="5" a="1"/>
  <c r="AD5" i="5" a="1"/>
  <c r="S5" i="5" a="1"/>
  <c r="BB4" i="5" a="1"/>
  <c r="BS4" i="5" a="1"/>
  <c r="BR4" i="5" a="1"/>
  <c r="Z5" i="6" a="1"/>
  <c r="N7" i="6" a="1"/>
  <c r="BL8" i="6" a="1"/>
  <c r="AY5" i="6" a="1"/>
  <c r="W7" i="6" a="1"/>
  <c r="D5" i="6" a="1"/>
  <c r="BB6" i="6" a="1"/>
  <c r="Z8" i="6" a="1"/>
  <c r="BX9" i="6" a="1"/>
  <c r="AM6" i="6" a="1"/>
  <c r="K8" i="6" a="1"/>
  <c r="BJ5" i="6" a="1"/>
  <c r="AH7" i="6" a="1"/>
  <c r="AM5" i="6" a="1"/>
  <c r="K7" i="6" a="1"/>
  <c r="BF6" i="6" a="1"/>
  <c r="BU11" i="6" a="1"/>
  <c r="BN28" i="5" a="1"/>
  <c r="T23" i="5" a="1"/>
  <c r="D22" i="5" a="1"/>
  <c r="C21" i="5" a="1"/>
  <c r="BH19" i="5" a="1"/>
  <c r="AN16" i="5" a="1"/>
  <c r="BN15" i="5" a="1"/>
  <c r="AP15" i="5" a="1"/>
  <c r="T15" i="5" a="1"/>
  <c r="F15" i="5" a="1"/>
  <c r="AB14" i="5" a="1"/>
  <c r="O14" i="5" a="1"/>
  <c r="B14" i="5" a="1"/>
  <c r="BQ13" i="5" a="1"/>
  <c r="BE13" i="5" a="1"/>
  <c r="AH13" i="5" a="1"/>
  <c r="V13" i="5" a="1"/>
  <c r="K13" i="5" a="1"/>
  <c r="BN12" i="5" a="1"/>
  <c r="BA12" i="5" a="1"/>
  <c r="AD12" i="5" a="1"/>
  <c r="S12" i="5" a="1"/>
  <c r="G12" i="5" a="1"/>
  <c r="BJ11" i="5" a="1"/>
  <c r="AX11" i="5" a="1"/>
  <c r="AM11" i="5" a="1"/>
  <c r="P11" i="5" a="1"/>
  <c r="C11" i="5" a="1"/>
  <c r="BF10" i="5" a="1"/>
  <c r="AU10" i="5" a="1"/>
  <c r="AI10" i="5" a="1"/>
  <c r="L10" i="5" a="1"/>
  <c r="BZ9" i="5" a="1"/>
  <c r="BO9" i="5" a="1"/>
  <c r="AR9" i="5" a="1"/>
  <c r="AE9" i="5" a="1"/>
  <c r="H9" i="5" a="1"/>
  <c r="BW8" i="5" a="1"/>
  <c r="BK8" i="5" a="1"/>
  <c r="AN8" i="5" a="1"/>
  <c r="AB8" i="5" a="1"/>
  <c r="Q8" i="5" a="1"/>
  <c r="BT7" i="5" a="1"/>
  <c r="BG7" i="5" a="1"/>
  <c r="AJ7" i="5" a="1"/>
  <c r="Y7" i="5" a="1"/>
  <c r="M7" i="5" a="1"/>
  <c r="BP6" i="5" a="1"/>
  <c r="BD6" i="5" a="1"/>
  <c r="AS6" i="5" a="1"/>
  <c r="V6" i="5" a="1"/>
  <c r="I6" i="5" a="1"/>
  <c r="BL5" i="5" a="1"/>
  <c r="BA5" i="5" a="1"/>
  <c r="AO5" i="5" a="1"/>
  <c r="R5" i="5" a="1"/>
  <c r="F5" i="5" a="1"/>
  <c r="Q4" i="5" a="1"/>
  <c r="BM4" i="5" a="1"/>
  <c r="BE4" i="5" a="1"/>
  <c r="AP5" i="6" a="1"/>
  <c r="V7" i="6" a="1"/>
  <c r="BT8" i="6" a="1"/>
  <c r="BG5" i="6" a="1"/>
  <c r="AE7" i="6" a="1"/>
  <c r="L5" i="6" a="1"/>
  <c r="BJ6" i="6" a="1"/>
  <c r="AH8" i="6" a="1"/>
  <c r="F10" i="6" a="1"/>
  <c r="AU6" i="6" a="1"/>
  <c r="S8" i="6" a="1"/>
  <c r="BR5" i="6" a="1"/>
  <c r="AP7" i="6" a="1"/>
  <c r="AU5" i="6" a="1"/>
  <c r="S7" i="6" a="1"/>
  <c r="L7" i="6" a="1"/>
  <c r="U12" i="6" a="1"/>
  <c r="AJ10" i="6" a="1"/>
  <c r="H13" i="6" a="1"/>
  <c r="BX14" i="6" a="1"/>
  <c r="BW9" i="6" a="1"/>
  <c r="BY8" i="6" a="1"/>
  <c r="BJ11" i="6" a="1"/>
  <c r="BE28" i="5" a="1"/>
  <c r="P23" i="5" a="1"/>
  <c r="CA20" i="5" a="1"/>
  <c r="X20" i="5" a="1"/>
  <c r="BG19" i="5" a="1"/>
  <c r="BL16" i="5" a="1"/>
  <c r="L16" i="5" a="1"/>
  <c r="S15" i="5" a="1"/>
  <c r="D15" i="5" a="1"/>
  <c r="BR14" i="5" a="1"/>
  <c r="BC14" i="5" a="1"/>
  <c r="AN14" i="5" a="1"/>
  <c r="Z14" i="5" a="1"/>
  <c r="CA13" i="5" a="1"/>
  <c r="BD13" i="5" a="1"/>
  <c r="AS13" i="5" a="1"/>
  <c r="AG13" i="5" a="1"/>
  <c r="J13" i="5" a="1"/>
  <c r="BX12" i="5" a="1"/>
  <c r="BM12" i="5" a="1"/>
  <c r="AP12" i="5" a="1"/>
  <c r="AC12" i="5" a="1"/>
  <c r="F12" i="5" a="1"/>
  <c r="BU11" i="5" a="1"/>
  <c r="BI11" i="5" a="1"/>
  <c r="AL11" i="5" a="1"/>
  <c r="Z11" i="5" a="1"/>
  <c r="O11" i="5" a="1"/>
  <c r="BR10" i="5" a="1"/>
  <c r="BE10" i="5" a="1"/>
  <c r="AH10" i="5" a="1"/>
  <c r="W10" i="5" a="1"/>
  <c r="K10" i="5" a="1"/>
  <c r="BN9" i="5" a="1"/>
  <c r="BB9" i="5" a="1"/>
  <c r="AQ9" i="5" a="1"/>
  <c r="T9" i="5" a="1"/>
  <c r="G9" i="5" a="1"/>
  <c r="BJ8" i="5" a="1"/>
  <c r="AY8" i="5" a="1"/>
  <c r="AM8" i="5" a="1"/>
  <c r="P8" i="5" a="1"/>
  <c r="D8" i="5" a="1"/>
  <c r="BS7" i="5" a="1"/>
  <c r="AV7" i="5" a="1"/>
  <c r="AI7" i="5" a="1"/>
  <c r="L7" i="5" a="1"/>
  <c r="CA6" i="5" a="1"/>
  <c r="BO6" i="5" a="1"/>
  <c r="AR6" i="5" a="1"/>
  <c r="AF6" i="5" a="1"/>
  <c r="U6" i="5" a="1"/>
  <c r="BX5" i="5" a="1"/>
  <c r="BK5" i="5" a="1"/>
  <c r="AN5" i="5" a="1"/>
  <c r="AC5" i="5" a="1"/>
  <c r="Q5" i="5" a="1"/>
  <c r="AR4" i="5" a="1"/>
  <c r="R4" i="5" a="1"/>
  <c r="O4" i="5" a="1"/>
  <c r="AX5" i="6" a="1"/>
  <c r="AD7" i="6" a="1"/>
  <c r="B9" i="6" a="1"/>
  <c r="BO5" i="6" a="1"/>
  <c r="AM7" i="6" a="1"/>
  <c r="T5" i="6" a="1"/>
  <c r="BR6" i="6" a="1"/>
  <c r="AP8" i="6" a="1"/>
  <c r="E5" i="6" a="1"/>
  <c r="BB28" i="5" a="1"/>
  <c r="BZ24" i="5" a="1"/>
  <c r="L23" i="5" a="1"/>
  <c r="V20" i="5" a="1"/>
  <c r="BF19" i="5" a="1"/>
  <c r="AJ16" i="5" a="1"/>
  <c r="C15" i="5" a="1"/>
  <c r="BP14" i="5" a="1"/>
  <c r="Y14" i="5" a="1"/>
  <c r="N14" i="5" a="1"/>
  <c r="BP13" i="5" a="1"/>
  <c r="BC13" i="5" a="1"/>
  <c r="AF13" i="5" a="1"/>
  <c r="U13" i="5" a="1"/>
  <c r="I13" i="5" a="1"/>
  <c r="BL12" i="5" a="1"/>
  <c r="AZ12" i="5" a="1"/>
  <c r="AO12" i="5" a="1"/>
  <c r="R12" i="5" a="1"/>
  <c r="E12" i="5" a="1"/>
  <c r="BH11" i="5" a="1"/>
  <c r="AW11" i="5" a="1"/>
  <c r="AK11" i="5" a="1"/>
  <c r="N11" i="5" a="1"/>
  <c r="B11" i="5" a="1"/>
  <c r="BQ10" i="5" a="1"/>
  <c r="AT10" i="5" a="1"/>
  <c r="AG10" i="5" a="1"/>
  <c r="J10" i="5" a="1"/>
  <c r="BY9" i="5" a="1"/>
  <c r="BM9" i="5" a="1"/>
  <c r="AP9" i="5" a="1"/>
  <c r="AD9" i="5" a="1"/>
  <c r="S9" i="5" a="1"/>
  <c r="BV8" i="5" a="1"/>
  <c r="BI8" i="5" a="1"/>
  <c r="AL8" i="5" a="1"/>
  <c r="AA8" i="5" a="1"/>
  <c r="O8" i="5" a="1"/>
  <c r="BR7" i="5" a="1"/>
  <c r="BF7" i="5" a="1"/>
  <c r="AU7" i="5" a="1"/>
  <c r="X7" i="5" a="1"/>
  <c r="K7" i="5" a="1"/>
  <c r="BN6" i="5" a="1"/>
  <c r="BC6" i="5" a="1"/>
  <c r="AQ6" i="5" a="1"/>
  <c r="T6" i="5" a="1"/>
  <c r="H6" i="5" a="1"/>
  <c r="BW5" i="5" a="1"/>
  <c r="AZ5" i="5" a="1"/>
  <c r="AM5" i="5" a="1"/>
  <c r="P5" i="5" a="1"/>
  <c r="E5" i="5" a="1"/>
  <c r="AU4" i="5" a="1"/>
  <c r="E4" i="5" a="1"/>
  <c r="BC4" i="5" a="1"/>
  <c r="BF5" i="6" a="1"/>
  <c r="AL7" i="6" a="1"/>
  <c r="J9" i="6" a="1"/>
  <c r="BW5" i="6" a="1"/>
  <c r="AU7" i="6" a="1"/>
  <c r="AB5" i="6" a="1"/>
  <c r="BZ6" i="6" a="1"/>
  <c r="AX8" i="6" a="1"/>
  <c r="M5" i="6" a="1"/>
  <c r="BK6" i="6" a="1"/>
  <c r="AI8" i="6" a="1"/>
  <c r="H6" i="6" a="1"/>
  <c r="BF7" i="6" a="1"/>
  <c r="BK5" i="6" a="1"/>
  <c r="AI7" i="6" a="1"/>
  <c r="BX7" i="6" a="1"/>
  <c r="BG12" i="6" a="1"/>
  <c r="BJ10" i="6" a="1"/>
  <c r="AG13" i="6" a="1"/>
  <c r="N15" i="6" a="1"/>
  <c r="AK10" i="6" a="1"/>
  <c r="B28" i="5" a="1"/>
  <c r="BK20" i="5" a="1"/>
  <c r="N20" i="5" a="1"/>
  <c r="AX19" i="5" a="1"/>
  <c r="H16" i="5" a="1"/>
  <c r="AI15" i="5" a="1"/>
  <c r="B15" i="5" a="1"/>
  <c r="BM14" i="5" a="1"/>
  <c r="AZ14" i="5" a="1"/>
  <c r="X14" i="5" a="1"/>
  <c r="L14" i="5" a="1"/>
  <c r="BN13" i="5" a="1"/>
  <c r="BB13" i="5" a="1"/>
  <c r="AQ13" i="5" a="1"/>
  <c r="T13" i="5" a="1"/>
  <c r="G13" i="5" a="1"/>
  <c r="BJ12" i="5" a="1"/>
  <c r="AY12" i="5" a="1"/>
  <c r="AM12" i="5" a="1"/>
  <c r="P12" i="5" a="1"/>
  <c r="D12" i="5" a="1"/>
  <c r="BS11" i="5" a="1"/>
  <c r="AV11" i="5" a="1"/>
  <c r="AI11" i="5" a="1"/>
  <c r="L11" i="5" a="1"/>
  <c r="CA10" i="5" a="1"/>
  <c r="BO10" i="5" a="1"/>
  <c r="AR10" i="5" a="1"/>
  <c r="AF10" i="5" a="1"/>
  <c r="U10" i="5" a="1"/>
  <c r="BX9" i="5" a="1"/>
  <c r="BK9" i="5" a="1"/>
  <c r="AN9" i="5" a="1"/>
  <c r="AC9" i="5" a="1"/>
  <c r="Q9" i="5" a="1"/>
  <c r="BT8" i="5" a="1"/>
  <c r="BH8" i="5" a="1"/>
  <c r="AW8" i="5" a="1"/>
  <c r="Z8" i="5" a="1"/>
  <c r="M8" i="5" a="1"/>
  <c r="BP7" i="5" a="1"/>
  <c r="BE7" i="5" a="1"/>
  <c r="AS7" i="5" a="1"/>
  <c r="V7" i="5" a="1"/>
  <c r="J7" i="5" a="1"/>
  <c r="BY6" i="5" a="1"/>
  <c r="BB6" i="5" a="1"/>
  <c r="AO6" i="5" a="1"/>
  <c r="R6" i="5" a="1"/>
  <c r="G6" i="5" a="1"/>
  <c r="BU5" i="5" a="1"/>
  <c r="AX5" i="5" a="1"/>
  <c r="AL5" i="5" a="1"/>
  <c r="AA5" i="5" a="1"/>
  <c r="D5" i="5" a="1"/>
  <c r="D4" i="5" a="1"/>
  <c r="AC4" i="5" a="1"/>
  <c r="W4" i="5" a="1"/>
  <c r="BV5" i="6" a="1"/>
  <c r="BB7" i="6" a="1"/>
  <c r="Z9" i="6" a="1"/>
  <c r="M6" i="6" a="1"/>
  <c r="BK7" i="6" a="1"/>
  <c r="AR5" i="6" a="1"/>
  <c r="P7" i="6" a="1"/>
  <c r="BN8" i="6" a="1"/>
  <c r="AC5" i="6" a="1"/>
  <c r="CA6" i="6" a="1"/>
  <c r="AY8" i="6" a="1"/>
  <c r="X6" i="6" a="1"/>
  <c r="BV7" i="6" a="1"/>
  <c r="CA5" i="6" a="1"/>
  <c r="AY7" i="6" a="1"/>
  <c r="BA8" i="6" a="1"/>
  <c r="S13" i="6" a="1"/>
  <c r="J11" i="6" a="1"/>
  <c r="BF13" i="6" a="1"/>
  <c r="AO5" i="6" a="1"/>
  <c r="BS27" i="5" a="1"/>
  <c r="BP22" i="5" a="1"/>
  <c r="BF21" i="5" a="1"/>
  <c r="M20" i="5" a="1"/>
  <c r="AW19" i="5" a="1"/>
  <c r="AF16" i="5" a="1"/>
  <c r="BF15" i="5" a="1"/>
  <c r="AX14" i="5" a="1"/>
  <c r="AL14" i="5" a="1"/>
  <c r="J14" i="5" a="1"/>
  <c r="BY13" i="5" a="1"/>
  <c r="BM13" i="5" a="1"/>
  <c r="AP13" i="5" a="1"/>
  <c r="AD13" i="5" a="1"/>
  <c r="S13" i="5" a="1"/>
  <c r="BV12" i="5" a="1"/>
  <c r="BI12" i="5" a="1"/>
  <c r="AL12" i="5" a="1"/>
  <c r="AA12" i="5" a="1"/>
  <c r="O12" i="5" a="1"/>
  <c r="BR11" i="5" a="1"/>
  <c r="BF11" i="5" a="1"/>
  <c r="AU11" i="5" a="1"/>
  <c r="X11" i="5" a="1"/>
  <c r="K11" i="5" a="1"/>
  <c r="BN10" i="5" a="1"/>
  <c r="BC10" i="5" a="1"/>
  <c r="AQ10" i="5" a="1"/>
  <c r="T10" i="5" a="1"/>
  <c r="H10" i="5" a="1"/>
  <c r="BW9" i="5" a="1"/>
  <c r="AZ9" i="5" a="1"/>
  <c r="AM9" i="5" a="1"/>
  <c r="P9" i="5" a="1"/>
  <c r="E9" i="5" a="1"/>
  <c r="BS8" i="5" a="1"/>
  <c r="AV8" i="5" a="1"/>
  <c r="AJ8" i="5" a="1"/>
  <c r="Y8" i="5" a="1"/>
  <c r="B8" i="5" a="1"/>
  <c r="BO7" i="5" a="1"/>
  <c r="AR7" i="5" a="1"/>
  <c r="AG7" i="5" a="1"/>
  <c r="U7" i="5" a="1"/>
  <c r="BX6" i="5" a="1"/>
  <c r="BL6" i="5" a="1"/>
  <c r="BA6" i="5" a="1"/>
  <c r="AD6" i="5" a="1"/>
  <c r="Q6" i="5" a="1"/>
  <c r="BT5" i="5" a="1"/>
  <c r="BI5" i="5" a="1"/>
  <c r="AW5" i="5" a="1"/>
  <c r="Z5" i="5" a="1"/>
  <c r="N5" i="5" a="1"/>
  <c r="C5" i="5" a="1"/>
  <c r="L4" i="5" a="1"/>
  <c r="AK4" i="5" a="1"/>
  <c r="AN4" i="5" a="1"/>
  <c r="D6" i="6" a="1"/>
  <c r="BJ7" i="6" a="1"/>
  <c r="AH9" i="6" a="1"/>
  <c r="U6" i="6" a="1"/>
  <c r="BS7" i="6" a="1"/>
  <c r="AZ5" i="6" a="1"/>
  <c r="X7" i="6" a="1"/>
  <c r="BV8" i="6" a="1"/>
  <c r="AK5" i="6" a="1"/>
  <c r="I7" i="6" a="1"/>
  <c r="BG8" i="6" a="1"/>
  <c r="AF6" i="6" a="1"/>
  <c r="D8" i="6" a="1"/>
  <c r="I6" i="6" a="1"/>
  <c r="BG7" i="6" a="1"/>
  <c r="K9" i="6" a="1"/>
  <c r="AS13" i="6" a="1"/>
  <c r="V11" i="6" a="1"/>
  <c r="BN13" i="6" a="1"/>
  <c r="BU5" i="6" a="1"/>
  <c r="K28" i="5" a="1"/>
  <c r="BH18" i="5" a="1"/>
  <c r="BJ15" i="5" a="1"/>
  <c r="M14" i="5" a="1"/>
  <c r="BW12" i="5" a="1"/>
  <c r="BG11" i="5" a="1"/>
  <c r="AS10" i="5" a="1"/>
  <c r="N8" i="5" a="1"/>
  <c r="BZ6" i="5" a="1"/>
  <c r="BJ5" i="5" a="1"/>
  <c r="Z4" i="5" a="1"/>
  <c r="BF8" i="6" a="1"/>
  <c r="L8" i="6" a="1"/>
  <c r="I11" i="6" a="1"/>
  <c r="T13" i="6" a="1"/>
  <c r="K11" i="6" a="1"/>
  <c r="L11" i="6" a="1"/>
  <c r="E14" i="6" a="1"/>
  <c r="BC15" i="6" a="1"/>
  <c r="AV9" i="6" a="1"/>
  <c r="AK8" i="6" a="1"/>
  <c r="X12" i="6" a="1"/>
  <c r="AL14" i="6" a="1"/>
  <c r="AW5" i="6" a="1"/>
  <c r="AO10" i="6" a="1"/>
  <c r="BB10" i="6" a="1"/>
  <c r="Y13" i="6" a="1"/>
  <c r="Q10" i="6" a="1"/>
  <c r="U9" i="6" a="1"/>
  <c r="O12" i="6" a="1"/>
  <c r="AF14" i="6" a="1"/>
  <c r="O8" i="6" a="1"/>
  <c r="AO12" i="6" a="1"/>
  <c r="BF10" i="6" a="1"/>
  <c r="AB13" i="6" a="1"/>
  <c r="BH10" i="6" a="1"/>
  <c r="AF13" i="6" a="1"/>
  <c r="BQ12" i="6" a="1"/>
  <c r="AE17" i="6" a="1"/>
  <c r="BC13" i="6" a="1"/>
  <c r="K18" i="6" a="1"/>
  <c r="Z20" i="6" a="1"/>
  <c r="J14" i="6" a="1"/>
  <c r="AR17" i="6" a="1"/>
  <c r="X16" i="6" a="1"/>
  <c r="AO19" i="6" a="1"/>
  <c r="U21" i="6" a="1"/>
  <c r="M16" i="6" a="1"/>
  <c r="X19" i="6" a="1"/>
  <c r="AL18" i="6" a="1"/>
  <c r="AR20" i="6" a="1"/>
  <c r="R14" i="6" a="1"/>
  <c r="AU17" i="6" a="1"/>
  <c r="S6" i="6" a="1"/>
  <c r="CA16" i="6" a="1"/>
  <c r="AX14" i="6" a="1"/>
  <c r="AO18" i="6" a="1"/>
  <c r="BV14" i="6" a="1"/>
  <c r="T16" i="6" a="1"/>
  <c r="AJ7" i="6" a="1"/>
  <c r="AO17" i="6" a="1"/>
  <c r="AX17" i="6" a="1"/>
  <c r="AF22" i="6" a="1"/>
  <c r="J22" i="6" a="1"/>
  <c r="Q25" i="6" a="1"/>
  <c r="AA21" i="6" a="1"/>
  <c r="AZ24" i="6" a="1"/>
  <c r="AZ26" i="6" a="1"/>
  <c r="I19" i="6" a="1"/>
  <c r="BF22" i="6" a="1"/>
  <c r="BG16" i="6" a="1"/>
  <c r="BZ21" i="6" a="1"/>
  <c r="AI25" i="6" a="1"/>
  <c r="G27" i="6" a="1"/>
  <c r="L22" i="6" a="1"/>
  <c r="BT9" i="6" a="1"/>
  <c r="Q21" i="6" a="1"/>
  <c r="BC24" i="6" a="1"/>
  <c r="AL26" i="6" a="1"/>
  <c r="BT22" i="6" a="1"/>
  <c r="AD18" i="6" a="1"/>
  <c r="AX22" i="6" a="1"/>
  <c r="AK25" i="6" a="1"/>
  <c r="AU21" i="6" a="1"/>
  <c r="BQ24" i="6" a="1"/>
  <c r="D22" i="6" a="1"/>
  <c r="M25" i="6" a="1"/>
  <c r="BL26" i="6" a="1"/>
  <c r="BW18" i="6" a="1"/>
  <c r="N24" i="6" a="1"/>
  <c r="AN21" i="6" a="1"/>
  <c r="BJ24" i="6" a="1"/>
  <c r="AK28" i="6" a="1"/>
  <c r="H23" i="6" a="1"/>
  <c r="BO28" i="6" a="1"/>
  <c r="AD31" i="6" a="1"/>
  <c r="B33" i="6" a="1"/>
  <c r="AX26" i="6" a="1"/>
  <c r="H30" i="6" a="1"/>
  <c r="Z28" i="6" a="1"/>
  <c r="O31" i="6" a="1"/>
  <c r="BM32" i="6" a="1"/>
  <c r="BU26" i="6" a="1"/>
  <c r="V30" i="6" a="1"/>
  <c r="BY27" i="6" a="1"/>
  <c r="P31" i="6" a="1"/>
  <c r="BC20" i="6" a="1"/>
  <c r="BS28" i="6" a="1"/>
  <c r="AX24" i="6" a="1"/>
  <c r="AK29" i="6" a="1"/>
  <c r="BE31" i="6" a="1"/>
  <c r="AC33" i="6" a="1"/>
  <c r="AD28" i="6" a="1"/>
  <c r="BT21" i="6" a="1"/>
  <c r="AE28" i="6" a="1"/>
  <c r="AP31" i="6" a="1"/>
  <c r="N33" i="6" a="1"/>
  <c r="AF28" i="6" a="1"/>
  <c r="BE25" i="6" a="1"/>
  <c r="AN29" i="6" a="1"/>
  <c r="BG31" i="6" a="1"/>
  <c r="Q22" i="6" a="1"/>
  <c r="AR33" i="6" a="1"/>
  <c r="X37" i="6" a="1"/>
  <c r="BV38" i="6" a="1"/>
  <c r="AB27" i="5" a="1"/>
  <c r="I14" i="5" a="1"/>
  <c r="BU12" i="5" a="1"/>
  <c r="AP10" i="5" a="1"/>
  <c r="AB9" i="5" a="1"/>
  <c r="L8" i="5" a="1"/>
  <c r="BW6" i="5" a="1"/>
  <c r="Y4" i="5" a="1"/>
  <c r="D9" i="6" a="1"/>
  <c r="O5" i="6" a="1"/>
  <c r="AU11" i="6" a="1"/>
  <c r="AT13" i="6" a="1"/>
  <c r="W11" i="6" a="1"/>
  <c r="AK11" i="6" a="1"/>
  <c r="M14" i="6" a="1"/>
  <c r="BK15" i="6" a="1"/>
  <c r="BL9" i="6" a="1"/>
  <c r="BH8" i="6" a="1"/>
  <c r="AL12" i="6" a="1"/>
  <c r="AT14" i="6" a="1"/>
  <c r="C6" i="6" a="1"/>
  <c r="BA10" i="6" a="1"/>
  <c r="BO10" i="6" a="1"/>
  <c r="X5" i="6" a="1"/>
  <c r="AC10" i="6" a="1"/>
  <c r="AK9" i="6" a="1"/>
  <c r="AB12" i="6" a="1"/>
  <c r="AN14" i="6" a="1"/>
  <c r="AS8" i="6" a="1"/>
  <c r="BO12" i="6" a="1"/>
  <c r="BR10" i="6" a="1"/>
  <c r="AO13" i="6" a="1"/>
  <c r="BV10" i="6" a="1"/>
  <c r="AR13" i="6" a="1"/>
  <c r="AX13" i="6" a="1"/>
  <c r="AP17" i="6" a="1"/>
  <c r="AM14" i="6" a="1"/>
  <c r="X18" i="6" a="1"/>
  <c r="AH20" i="6" a="1"/>
  <c r="AO14" i="6" a="1"/>
  <c r="BO17" i="6" a="1"/>
  <c r="AX16" i="6" a="1"/>
  <c r="AW19" i="6" a="1"/>
  <c r="AC21" i="6" a="1"/>
  <c r="Y16" i="6" a="1"/>
  <c r="BM5" i="6" a="1"/>
  <c r="BI18" i="6" a="1"/>
  <c r="AZ20" i="6" a="1"/>
  <c r="AU14" i="6" a="1"/>
  <c r="BF17" i="6" a="1"/>
  <c r="AU10" i="6" a="1"/>
  <c r="N17" i="6" a="1"/>
  <c r="Q15" i="6" a="1"/>
  <c r="AZ18" i="6" a="1"/>
  <c r="S15" i="6" a="1"/>
  <c r="AF16" i="6" a="1"/>
  <c r="I10" i="6" a="1"/>
  <c r="BB17" i="6" a="1"/>
  <c r="AR18" i="6" a="1"/>
  <c r="BC22" i="6" a="1"/>
  <c r="AG22" i="6" a="1"/>
  <c r="E7" i="6" a="1"/>
  <c r="BA21" i="6" a="1"/>
  <c r="BW24" i="6" a="1"/>
  <c r="BH26" i="6" a="1"/>
  <c r="BC19" i="6" a="1"/>
  <c r="C23" i="6" a="1"/>
  <c r="X17" i="6" a="1"/>
  <c r="W22" i="6" a="1"/>
  <c r="AQ25" i="6" a="1"/>
  <c r="O27" i="6" a="1"/>
  <c r="X22" i="6" a="1"/>
  <c r="BY13" i="6" a="1"/>
  <c r="AR21" i="6" a="1"/>
  <c r="BN24" i="6" a="1"/>
  <c r="B14" i="6" a="1"/>
  <c r="Q23" i="6" a="1"/>
  <c r="BM18" i="6" a="1"/>
  <c r="BU22" i="6" a="1"/>
  <c r="AS25" i="6" a="1"/>
  <c r="BF21" i="6" a="1"/>
  <c r="L25" i="6" a="1"/>
  <c r="P22" i="6" a="1"/>
  <c r="V25" i="6" a="1"/>
  <c r="BU10" i="6" a="1"/>
  <c r="AB19" i="6" a="1"/>
  <c r="AK24" i="6" a="1"/>
  <c r="BK21" i="6" a="1"/>
  <c r="F25" i="6" a="1"/>
  <c r="AZ28" i="6" a="1"/>
  <c r="BP23" i="6" a="1"/>
  <c r="C29" i="6" a="1"/>
  <c r="AL31" i="6" a="1"/>
  <c r="J33" i="6" a="1"/>
  <c r="BT26" i="6" a="1"/>
  <c r="BA30" i="6" a="1"/>
  <c r="AN28" i="6" a="1"/>
  <c r="W31" i="6" a="1"/>
  <c r="BU32" i="6" a="1"/>
  <c r="M27" i="6" a="1"/>
  <c r="AR30" i="6" a="1"/>
  <c r="M28" i="6" a="1"/>
  <c r="X31" i="6" a="1"/>
  <c r="BG21" i="6" a="1"/>
  <c r="G29" i="6" a="1"/>
  <c r="AW25" i="6" a="1"/>
  <c r="AY29" i="6" a="1"/>
  <c r="BM31" i="6" a="1"/>
  <c r="D17" i="6" a="1"/>
  <c r="BG28" i="6" a="1"/>
  <c r="AZ22" i="6" a="1"/>
  <c r="AS28" i="6" a="1"/>
  <c r="AX31" i="6" a="1"/>
  <c r="BQ19" i="6" a="1"/>
  <c r="AT28" i="6" a="1"/>
  <c r="K26" i="6" a="1"/>
  <c r="BO29" i="6" a="1"/>
  <c r="BO31" i="6" a="1"/>
  <c r="BE23" i="6" a="1"/>
  <c r="BR33" i="6" a="1"/>
  <c r="AF37" i="6" a="1"/>
  <c r="D39" i="6" a="1"/>
  <c r="AB18" i="5" a="1"/>
  <c r="AL15" i="5" a="1"/>
  <c r="BZ13" i="5" a="1"/>
  <c r="BK12" i="5" a="1"/>
  <c r="R9" i="5" a="1"/>
  <c r="C8" i="5" a="1"/>
  <c r="BM6" i="5" a="1"/>
  <c r="AY5" i="5" a="1"/>
  <c r="BN5" i="6" a="1"/>
  <c r="U5" i="6" a="1"/>
  <c r="AE5" i="6" a="1"/>
  <c r="AG12" i="6" a="1"/>
  <c r="BV13" i="6" a="1"/>
  <c r="AW11" i="6" a="1"/>
  <c r="AX11" i="6" a="1"/>
  <c r="U14" i="6" a="1"/>
  <c r="BS15" i="6" a="1"/>
  <c r="BZ9" i="6" a="1"/>
  <c r="CA9" i="6" a="1"/>
  <c r="AX12" i="6" a="1"/>
  <c r="BB14" i="6" a="1"/>
  <c r="AI6" i="6" a="1"/>
  <c r="CA10" i="6" a="1"/>
  <c r="B11" i="6" a="1"/>
  <c r="BD5" i="6" a="1"/>
  <c r="BC10" i="6" a="1"/>
  <c r="BA9" i="6" a="1"/>
  <c r="AN12" i="6" a="1"/>
  <c r="AV14" i="6" a="1"/>
  <c r="F9" i="6" a="1"/>
  <c r="O13" i="6" a="1"/>
  <c r="E11" i="6" a="1"/>
  <c r="BB13" i="6" a="1"/>
  <c r="H11" i="6" a="1"/>
  <c r="BE13" i="6" a="1"/>
  <c r="G14" i="6" a="1"/>
  <c r="BM17" i="6" a="1"/>
  <c r="BK14" i="6" a="1"/>
  <c r="AU18" i="6" a="1"/>
  <c r="AP20" i="6" a="1"/>
  <c r="BM14" i="6" a="1"/>
  <c r="CA17" i="6" a="1"/>
  <c r="BX16" i="6" a="1"/>
  <c r="BE19" i="6" a="1"/>
  <c r="BQ7" i="6" a="1"/>
  <c r="AL16" i="6" a="1"/>
  <c r="V8" i="6" a="1"/>
  <c r="BT18" i="6" a="1"/>
  <c r="BH20" i="6" a="1"/>
  <c r="BO14" i="6" a="1"/>
  <c r="C18" i="6" a="1"/>
  <c r="AE12" i="6" a="1"/>
  <c r="AK17" i="6" a="1"/>
  <c r="AH15" i="6" a="1"/>
  <c r="BL18" i="6" a="1"/>
  <c r="AI15" i="6" a="1"/>
  <c r="BF16" i="6" a="1"/>
  <c r="BR11" i="6" a="1"/>
  <c r="BY17" i="6" a="1"/>
  <c r="E19" i="6" a="1"/>
  <c r="BO22" i="6" a="1"/>
  <c r="AR22" i="6" a="1"/>
  <c r="AE13" i="6" a="1"/>
  <c r="BM21" i="6" a="1"/>
  <c r="H25" i="6" a="1"/>
  <c r="BP26" i="6" a="1"/>
  <c r="BW19" i="6" a="1"/>
  <c r="N23" i="6" a="1"/>
  <c r="BJ17" i="6" a="1"/>
  <c r="AI22" i="6" a="1"/>
  <c r="AY25" i="6" a="1"/>
  <c r="W27" i="6" a="1"/>
  <c r="AU22" i="6" a="1"/>
  <c r="R16" i="6" a="1"/>
  <c r="BO21" i="6" a="1"/>
  <c r="BZ24" i="6" a="1"/>
  <c r="AJ15" i="6" a="1"/>
  <c r="AC23" i="6" a="1"/>
  <c r="AS19" i="6" a="1"/>
  <c r="F23" i="6" a="1"/>
  <c r="BA25" i="6" a="1"/>
  <c r="BR21" i="6" a="1"/>
  <c r="BS10" i="6" a="1"/>
  <c r="AM22" i="6" a="1"/>
  <c r="AD25" i="6" a="1"/>
  <c r="BC14" i="6" a="1"/>
  <c r="AY19" i="6" a="1"/>
  <c r="AV24" i="6" a="1"/>
  <c r="BV21" i="6" a="1"/>
  <c r="P25" i="6" a="1"/>
  <c r="BN28" i="6" a="1"/>
  <c r="AJ24" i="6" a="1"/>
  <c r="Q29" i="6" a="1"/>
  <c r="AT31" i="6" a="1"/>
  <c r="R33" i="6" a="1"/>
  <c r="K27" i="6" a="1"/>
  <c r="AM20" i="6" a="1"/>
  <c r="BB28" i="6" a="1"/>
  <c r="AE31" i="6" a="1"/>
  <c r="C33" i="6" a="1"/>
  <c r="AG27" i="6" a="1"/>
  <c r="BC30" i="6" a="1"/>
  <c r="AB28" i="6" a="1"/>
  <c r="AF31" i="6" a="1"/>
  <c r="AO22" i="6" a="1"/>
  <c r="V29" i="6" a="1"/>
  <c r="C26" i="6" a="1"/>
  <c r="BL29" i="6" a="1"/>
  <c r="BU31" i="6" a="1"/>
  <c r="BO19" i="6" a="1"/>
  <c r="BU28" i="6" a="1"/>
  <c r="AH23" i="6" a="1"/>
  <c r="BH28" i="6" a="1"/>
  <c r="BF31" i="6" a="1"/>
  <c r="G21" i="6" a="1"/>
  <c r="BW28" i="6" a="1"/>
  <c r="AO26" i="6" a="1"/>
  <c r="B30" i="6" a="1"/>
  <c r="BW31" i="6" a="1"/>
  <c r="AA24" i="6" a="1"/>
  <c r="D34" i="6" a="1"/>
  <c r="AN37" i="6" a="1"/>
  <c r="L39" i="6" a="1"/>
  <c r="AH15" i="5" a="1"/>
  <c r="AT11" i="5" a="1"/>
  <c r="AE10" i="5" a="1"/>
  <c r="O9" i="5" a="1"/>
  <c r="CA7" i="5" a="1"/>
  <c r="AV5" i="5" a="1"/>
  <c r="L6" i="6" a="1"/>
  <c r="AS5" i="6" a="1"/>
  <c r="BC5" i="6" a="1"/>
  <c r="G13" i="6" a="1"/>
  <c r="T14" i="6" a="1"/>
  <c r="AI12" i="6" a="1"/>
  <c r="BX11" i="6" a="1"/>
  <c r="AC14" i="6" a="1"/>
  <c r="CA15" i="6" a="1"/>
  <c r="M10" i="6" a="1"/>
  <c r="N10" i="6" a="1"/>
  <c r="BK12" i="6" a="1"/>
  <c r="BJ14" i="6" a="1"/>
  <c r="BO6" i="6" a="1"/>
  <c r="AA11" i="6" a="1"/>
  <c r="N11" i="6" a="1"/>
  <c r="J6" i="6" a="1"/>
  <c r="C11" i="6" a="1"/>
  <c r="BO9" i="6" a="1"/>
  <c r="BB12" i="6" a="1"/>
  <c r="BD14" i="6" a="1"/>
  <c r="V9" i="6" a="1"/>
  <c r="AA13" i="6" a="1"/>
  <c r="R11" i="6" a="1"/>
  <c r="BK13" i="6" a="1"/>
  <c r="U11" i="6" a="1"/>
  <c r="BM13" i="6" a="1"/>
  <c r="BG14" i="6" a="1"/>
  <c r="BZ17" i="6" a="1"/>
  <c r="Z15" i="6" a="1"/>
  <c r="BF18" i="6" a="1"/>
  <c r="AX20" i="6" a="1"/>
  <c r="E15" i="6" a="1"/>
  <c r="L18" i="6" a="1"/>
  <c r="I17" i="6" a="1"/>
  <c r="BM19" i="6" a="1"/>
  <c r="AN9" i="6" a="1"/>
  <c r="AY16" i="6" a="1"/>
  <c r="AE11" i="6" a="1"/>
  <c r="D19" i="6" a="1"/>
  <c r="BP20" i="6" a="1"/>
  <c r="L15" i="6" a="1"/>
  <c r="P18" i="6" a="1"/>
  <c r="BQ13" i="6" a="1"/>
  <c r="AV17" i="6" a="1"/>
  <c r="AX15" i="6" a="1"/>
  <c r="BV18" i="6" a="1"/>
  <c r="AY15" i="6" a="1"/>
  <c r="F17" i="6" a="1"/>
  <c r="BE12" i="6" a="1"/>
  <c r="J18" i="6" a="1"/>
  <c r="AI19" i="6" a="1"/>
  <c r="BZ22" i="6" a="1"/>
  <c r="BD22" i="6" a="1"/>
  <c r="E16" i="6" a="1"/>
  <c r="BX21" i="6" a="1"/>
  <c r="Z25" i="6" a="1"/>
  <c r="BX26" i="6" a="1"/>
  <c r="M20" i="6" a="1"/>
  <c r="Z23" i="6" a="1"/>
  <c r="BC18" i="6" a="1"/>
  <c r="AT22" i="6" a="1"/>
  <c r="BG25" i="6" a="1"/>
  <c r="AE27" i="6" a="1"/>
  <c r="BG22" i="6" a="1"/>
  <c r="BQ16" i="6" a="1"/>
  <c r="B22" i="6" a="1"/>
  <c r="J25" i="6" a="1"/>
  <c r="S16" i="6" a="1"/>
  <c r="AN23" i="6" a="1"/>
  <c r="BJ19" i="6" a="1"/>
  <c r="R23" i="6" a="1"/>
  <c r="BI25" i="6" a="1"/>
  <c r="O22" i="6" a="1"/>
  <c r="BU17" i="6" a="1"/>
  <c r="AY22" i="6" a="1"/>
  <c r="AL25" i="6" a="1"/>
  <c r="AZ15" i="6" a="1"/>
  <c r="AK21" i="6" a="1"/>
  <c r="BH24" i="6" a="1"/>
  <c r="H22" i="6" a="1"/>
  <c r="BE11" i="6" a="1"/>
  <c r="B29" i="6" a="1"/>
  <c r="C25" i="6" a="1"/>
  <c r="AE29" i="6" a="1"/>
  <c r="BB31" i="6" a="1"/>
  <c r="Z33" i="6" a="1"/>
  <c r="AC27" i="6" a="1"/>
  <c r="K23" i="6" a="1"/>
  <c r="E29" i="6" a="1"/>
  <c r="AM31" i="6" a="1"/>
  <c r="K33" i="6" a="1"/>
  <c r="AV27" i="6" a="1"/>
  <c r="BX30" i="6" a="1"/>
  <c r="AP28" i="6" a="1"/>
  <c r="AN31" i="6" a="1"/>
  <c r="V23" i="6" a="1"/>
  <c r="AJ29" i="6" a="1"/>
  <c r="AH26" i="6" a="1"/>
  <c r="BY29" i="6" a="1"/>
  <c r="C32" i="6" a="1"/>
  <c r="BR20" i="6" a="1"/>
  <c r="I29" i="6" a="1"/>
  <c r="M24" i="6" a="1"/>
  <c r="BV28" i="6" a="1"/>
  <c r="BN31" i="6" a="1"/>
  <c r="BA22" i="6" a="1"/>
  <c r="K29" i="6" a="1"/>
  <c r="BK26" i="6" a="1"/>
  <c r="O30" i="6" a="1"/>
  <c r="E32" i="6" a="1"/>
  <c r="BU24" i="6" a="1"/>
  <c r="AD34" i="6" a="1"/>
  <c r="AV37" i="6" a="1"/>
  <c r="T39" i="6" a="1"/>
  <c r="BV17" i="5" a="1"/>
  <c r="R15" i="5" a="1"/>
  <c r="BO13" i="5" a="1"/>
  <c r="AJ11" i="5" a="1"/>
  <c r="V10" i="5" a="1"/>
  <c r="F9" i="5" a="1"/>
  <c r="BQ7" i="5" a="1"/>
  <c r="AT7" i="6" a="1"/>
  <c r="BC6" i="6" a="1"/>
  <c r="BS5" i="6" a="1"/>
  <c r="AD8" i="6" a="1"/>
  <c r="AR14" i="6" a="1"/>
  <c r="BU12" i="6" a="1"/>
  <c r="J12" i="6" a="1"/>
  <c r="AK14" i="6" a="1"/>
  <c r="I16" i="6" a="1"/>
  <c r="AM10" i="6" a="1"/>
  <c r="AA10" i="6" a="1"/>
  <c r="BX12" i="6" a="1"/>
  <c r="BR14" i="6" a="1"/>
  <c r="U7" i="6" a="1"/>
  <c r="AM11" i="6" a="1"/>
  <c r="AB11" i="6" a="1"/>
  <c r="AP6" i="6" a="1"/>
  <c r="O11" i="6" a="1"/>
  <c r="R10" i="6" a="1"/>
  <c r="BN12" i="6" a="1"/>
  <c r="BL14" i="6" a="1"/>
  <c r="AL9" i="6" a="1"/>
  <c r="BA13" i="6" a="1"/>
  <c r="AD11" i="6" a="1"/>
  <c r="BS13" i="6" a="1"/>
  <c r="AH11" i="6" a="1"/>
  <c r="BU13" i="6" a="1"/>
  <c r="D15" i="6" a="1"/>
  <c r="W18" i="6" a="1"/>
  <c r="AP15" i="6" a="1"/>
  <c r="BQ18" i="6" a="1"/>
  <c r="BF20" i="6" a="1"/>
  <c r="AA15" i="6" a="1"/>
  <c r="AI18" i="6" a="1"/>
  <c r="V17" i="6" a="1"/>
  <c r="BU19" i="6" a="1"/>
  <c r="AH10" i="6" a="1"/>
  <c r="BK16" i="6" a="1"/>
  <c r="R12" i="6" a="1"/>
  <c r="N19" i="6" a="1"/>
  <c r="BX20" i="6" a="1"/>
  <c r="AC15" i="6" a="1"/>
  <c r="AM18" i="6" a="1"/>
  <c r="W14" i="6" a="1"/>
  <c r="BH17" i="6" a="1"/>
  <c r="BN15" i="6" a="1"/>
  <c r="G19" i="6" a="1"/>
  <c r="BO15" i="6" a="1"/>
  <c r="AC17" i="6" a="1"/>
  <c r="AQ13" i="6" a="1"/>
  <c r="V18" i="6" a="1"/>
  <c r="BR19" i="6" a="1"/>
  <c r="W23" i="6" a="1"/>
  <c r="CA22" i="6" a="1"/>
  <c r="BD16" i="6" a="1"/>
  <c r="U22" i="6" a="1"/>
  <c r="AH25" i="6" a="1"/>
  <c r="F27" i="6" a="1"/>
  <c r="AC20" i="6" a="1"/>
  <c r="AW23" i="6" a="1"/>
  <c r="J19" i="6" a="1"/>
  <c r="BQ22" i="6" a="1"/>
  <c r="BO25" i="6" a="1"/>
  <c r="AM27" i="6" a="1"/>
  <c r="BR22" i="6" a="1"/>
  <c r="AA17" i="6" a="1"/>
  <c r="Y22" i="6" a="1"/>
  <c r="T25" i="6" a="1"/>
  <c r="AB17" i="6" a="1"/>
  <c r="BK23" i="6" a="1"/>
  <c r="BZ19" i="6" a="1"/>
  <c r="AO23" i="6" a="1"/>
  <c r="BQ25" i="6" a="1"/>
  <c r="AA22" i="6" a="1"/>
  <c r="AF18" i="6" a="1"/>
  <c r="BJ22" i="6" a="1"/>
  <c r="AT25" i="6" a="1"/>
  <c r="AE16" i="6" a="1"/>
  <c r="BI21" i="6" a="1"/>
  <c r="D25" i="6" a="1"/>
  <c r="AE22" i="6" a="1"/>
  <c r="W20" i="6" a="1"/>
  <c r="P29" i="6" a="1"/>
  <c r="AM25" i="6" a="1"/>
  <c r="AT29" i="6" a="1"/>
  <c r="BJ31" i="6" a="1"/>
  <c r="BE14" i="6" a="1"/>
  <c r="AT27" i="6" a="1"/>
  <c r="BR23" i="6" a="1"/>
  <c r="S29" i="6" a="1"/>
  <c r="AU31" i="6" a="1"/>
  <c r="S33" i="6" a="1"/>
  <c r="BJ27" i="6" a="1"/>
  <c r="BB20" i="6" a="1"/>
  <c r="BD28" i="6" a="1"/>
  <c r="AV31" i="6" a="1"/>
  <c r="B24" i="6" a="1"/>
  <c r="AX29" i="6" a="1"/>
  <c r="BE26" i="6" a="1"/>
  <c r="L30" i="6" a="1"/>
  <c r="K32" i="6" a="1"/>
  <c r="BJ21" i="6" a="1"/>
  <c r="W29" i="6" a="1"/>
  <c r="BG24" i="6" a="1"/>
  <c r="J29" i="6" a="1"/>
  <c r="BV31" i="6" a="1"/>
  <c r="AR23" i="6" a="1"/>
  <c r="Y29" i="6" a="1"/>
  <c r="C27" i="6" a="1"/>
  <c r="AA30" i="6" a="1"/>
  <c r="M32" i="6" a="1"/>
  <c r="AG25" i="6" a="1"/>
  <c r="BD34" i="6" a="1"/>
  <c r="BD37" i="6" a="1"/>
  <c r="AB39" i="6" a="1"/>
  <c r="BM22" i="5" a="1"/>
  <c r="P15" i="5" a="1"/>
  <c r="BL13" i="5" a="1"/>
  <c r="AX12" i="5" a="1"/>
  <c r="AH11" i="5" a="1"/>
  <c r="S10" i="5" a="1"/>
  <c r="AZ6" i="5" a="1"/>
  <c r="AK5" i="5" a="1"/>
  <c r="BR7" i="6" a="1"/>
  <c r="BS6" i="6" a="1"/>
  <c r="Q6" i="6" a="1"/>
  <c r="M9" i="6" a="1"/>
  <c r="BH14" i="6" a="1"/>
  <c r="U13" i="6" a="1"/>
  <c r="W12" i="6" a="1"/>
  <c r="AS14" i="6" a="1"/>
  <c r="P5" i="6" a="1"/>
  <c r="BM10" i="6" a="1"/>
  <c r="AN10" i="6" a="1"/>
  <c r="J13" i="6" a="1"/>
  <c r="BZ14" i="6" a="1"/>
  <c r="BA7" i="6" a="1"/>
  <c r="BM11" i="6" a="1"/>
  <c r="AN11" i="6" a="1"/>
  <c r="BV6" i="6" a="1"/>
  <c r="AO11" i="6" a="1"/>
  <c r="AD10" i="6" a="1"/>
  <c r="CA12" i="6" a="1"/>
  <c r="BT14" i="6" a="1"/>
  <c r="BB9" i="6" a="1"/>
  <c r="AT8" i="6" a="1"/>
  <c r="AR11" i="6" a="1"/>
  <c r="CA13" i="6" a="1"/>
  <c r="AT11" i="6" a="1"/>
  <c r="C14" i="6" a="1"/>
  <c r="Y15" i="6" a="1"/>
  <c r="AH18" i="6" a="1"/>
  <c r="BF15" i="6" a="1"/>
  <c r="B19" i="6" a="1"/>
  <c r="BN20" i="6" a="1"/>
  <c r="AQ15" i="6" a="1"/>
  <c r="AV18" i="6" a="1"/>
  <c r="AS17" i="6" a="1"/>
  <c r="C20" i="6" a="1"/>
  <c r="Q12" i="6" a="1"/>
  <c r="BY16" i="6" a="1"/>
  <c r="E13" i="6" a="1"/>
  <c r="AH19" i="6" a="1"/>
  <c r="F21" i="6" a="1"/>
  <c r="AS15" i="6" a="1"/>
  <c r="AX18" i="6" a="1"/>
  <c r="BU14" i="6" a="1"/>
  <c r="E18" i="6" a="1"/>
  <c r="C16" i="6" a="1"/>
  <c r="Q19" i="6" a="1"/>
  <c r="D16" i="6" a="1"/>
  <c r="AN17" i="6" a="1"/>
  <c r="AH14" i="6" a="1"/>
  <c r="AS18" i="6" a="1"/>
  <c r="H20" i="6" a="1"/>
  <c r="AJ23" i="6" a="1"/>
  <c r="M23" i="6" a="1"/>
  <c r="P17" i="6" a="1"/>
  <c r="AH22" i="6" a="1"/>
  <c r="AP25" i="6" a="1"/>
  <c r="N27" i="6" a="1"/>
  <c r="AS20" i="6" a="1"/>
  <c r="BI23" i="6" a="1"/>
  <c r="BG19" i="6" a="1"/>
  <c r="D23" i="6" a="1"/>
  <c r="BW25" i="6" a="1"/>
  <c r="H9" i="6" a="1"/>
  <c r="O23" i="6" a="1"/>
  <c r="BK17" i="6" a="1"/>
  <c r="AJ22" i="6" a="1"/>
  <c r="AB25" i="6" a="1"/>
  <c r="BL17" i="6" a="1"/>
  <c r="BX23" i="6" a="1"/>
  <c r="P20" i="6" a="1"/>
  <c r="BA23" i="6" a="1"/>
  <c r="BY25" i="6" a="1"/>
  <c r="AL22" i="6" a="1"/>
  <c r="AT19" i="6" a="1"/>
  <c r="G23" i="6" a="1"/>
  <c r="BB25" i="6" a="1"/>
  <c r="C17" i="6" a="1"/>
  <c r="BU21" i="6" a="1"/>
  <c r="O25" i="6" a="1"/>
  <c r="AQ22" i="6" a="1"/>
  <c r="AI21" i="6" a="1"/>
  <c r="AS29" i="6" a="1"/>
  <c r="BS25" i="6" a="1"/>
  <c r="BG29" i="6" a="1"/>
  <c r="BR31" i="6" a="1"/>
  <c r="AA19" i="6" a="1"/>
  <c r="BH27" i="6" a="1"/>
  <c r="AM24" i="6" a="1"/>
  <c r="AG29" i="6" a="1"/>
  <c r="BC31" i="6" a="1"/>
  <c r="AA33" i="6" a="1"/>
  <c r="BX27" i="6" a="1"/>
  <c r="AX21" i="6" a="1"/>
  <c r="BR28" i="6" a="1"/>
  <c r="BD31" i="6" a="1"/>
  <c r="AV25" i="6" a="1"/>
  <c r="BK29" i="6" a="1"/>
  <c r="BZ26" i="6" a="1"/>
  <c r="AI30" i="6" a="1"/>
  <c r="S32" i="6" a="1"/>
  <c r="AF23" i="6" a="1"/>
  <c r="AL29" i="6" a="1"/>
  <c r="W25" i="6" a="1"/>
  <c r="X29" i="6" a="1"/>
  <c r="D32" i="6" a="1"/>
  <c r="BI24" i="6" a="1"/>
  <c r="AM29" i="6" a="1"/>
  <c r="U27" i="6" a="1"/>
  <c r="AP17" i="5" a="1"/>
  <c r="AN12" i="5" a="1"/>
  <c r="Y11" i="5" a="1"/>
  <c r="I10" i="5" a="1"/>
  <c r="BU8" i="5" a="1"/>
  <c r="AP6" i="5" a="1"/>
  <c r="AB5" i="5" a="1"/>
  <c r="R9" i="6" a="1"/>
  <c r="Q7" i="6" a="1"/>
  <c r="BM6" i="6" a="1"/>
  <c r="BI9" i="6" a="1"/>
  <c r="BP14" i="6" a="1"/>
  <c r="AE8" i="6" a="1"/>
  <c r="AJ12" i="6" a="1"/>
  <c r="BA14" i="6" a="1"/>
  <c r="AV5" i="6" a="1"/>
  <c r="BY10" i="6" a="1"/>
  <c r="AZ10" i="6" a="1"/>
  <c r="X13" i="6" a="1"/>
  <c r="H15" i="6" a="1"/>
  <c r="G8" i="6" a="1"/>
  <c r="M12" i="6" a="1"/>
  <c r="BA11" i="6" a="1"/>
  <c r="AB7" i="6" a="1"/>
  <c r="BO11" i="6" a="1"/>
  <c r="AQ10" i="6" a="1"/>
  <c r="N13" i="6" a="1"/>
  <c r="B15" i="6" a="1"/>
  <c r="BQ9" i="6" a="1"/>
  <c r="BP8" i="6" a="1"/>
  <c r="BD11" i="6" a="1"/>
  <c r="I14" i="6" a="1"/>
  <c r="BH11" i="6" a="1"/>
  <c r="K14" i="6" a="1"/>
  <c r="AO15" i="6" a="1"/>
  <c r="AT18" i="6" a="1"/>
  <c r="BV15" i="6" a="1"/>
  <c r="U19" i="6" a="1"/>
  <c r="BV20" i="6" a="1"/>
  <c r="BG15" i="6" a="1"/>
  <c r="BR18" i="6" a="1"/>
  <c r="BD17" i="6" a="1"/>
  <c r="K20" i="6" a="1"/>
  <c r="D13" i="6" a="1"/>
  <c r="J17" i="6" a="1"/>
  <c r="Z16" i="6" a="1"/>
  <c r="AP19" i="6" a="1"/>
  <c r="N21" i="6" a="1"/>
  <c r="BI15" i="6" a="1"/>
  <c r="BJ18" i="6" a="1"/>
  <c r="M15" i="6" a="1"/>
  <c r="Q18" i="6" a="1"/>
  <c r="P16" i="6" a="1"/>
  <c r="AJ19" i="6" a="1"/>
  <c r="Q16" i="6" a="1"/>
  <c r="AZ17" i="6" a="1"/>
  <c r="V15" i="6" a="1"/>
  <c r="BE18" i="6" a="1"/>
  <c r="X20" i="6" a="1"/>
  <c r="BG23" i="6" a="1"/>
  <c r="X23" i="6" a="1"/>
  <c r="BA17" i="6" a="1"/>
  <c r="BE22" i="6" a="1"/>
  <c r="AX25" i="6" a="1"/>
  <c r="V27" i="6" a="1"/>
  <c r="BI20" i="6" a="1"/>
  <c r="BT23" i="6" a="1"/>
  <c r="BX19" i="6" a="1"/>
  <c r="AA23" i="6" a="1"/>
  <c r="E26" i="6" a="1"/>
  <c r="AD15" i="6" a="1"/>
  <c r="AB23" i="6" a="1"/>
  <c r="U18" i="6" a="1"/>
  <c r="AV22" i="6" a="1"/>
  <c r="AJ25" i="6" a="1"/>
  <c r="AA18" i="6" a="1"/>
  <c r="U24" i="6" a="1"/>
  <c r="AF20" i="6" a="1"/>
  <c r="BL23" i="6" a="1"/>
  <c r="G26" i="6" a="1"/>
  <c r="BI22" i="6" a="1"/>
  <c r="BK19" i="6" a="1"/>
  <c r="T23" i="6" a="1"/>
  <c r="BJ25" i="6" a="1"/>
  <c r="AM17" i="6" a="1"/>
  <c r="F22" i="6" a="1"/>
  <c r="AR12" i="6" a="1"/>
  <c r="BB22" i="6" a="1"/>
  <c r="R22" i="6" a="1"/>
  <c r="BS29" i="6" a="1"/>
  <c r="Y26" i="6" a="1"/>
  <c r="BT29" i="6" a="1"/>
  <c r="BZ31" i="6" a="1"/>
  <c r="AL20" i="6" a="1"/>
  <c r="K28" i="6" a="1"/>
  <c r="AO25" i="6" a="1"/>
  <c r="AU29" i="6" a="1"/>
  <c r="BK31" i="6" a="1"/>
  <c r="BA15" i="6" a="1"/>
  <c r="AA28" i="6" a="1"/>
  <c r="AN22" i="6" a="1"/>
  <c r="U29" i="6" a="1"/>
  <c r="BL31" i="6" a="1"/>
  <c r="B26" i="6" a="1"/>
  <c r="BX29" i="6" a="1"/>
  <c r="R27" i="6" a="1"/>
  <c r="AT30" i="6" a="1"/>
  <c r="AA32" i="6" a="1"/>
  <c r="L24" i="6" a="1"/>
  <c r="AZ29" i="6" a="1"/>
  <c r="BC25" i="6" a="1"/>
  <c r="BA29" i="6" a="1"/>
  <c r="L32" i="6" a="1"/>
  <c r="X25" i="6" a="1"/>
  <c r="BB29" i="6" a="1"/>
  <c r="AN27" i="6" a="1"/>
  <c r="AW30" i="6" a="1"/>
  <c r="AC32" i="6" a="1"/>
  <c r="BX17" i="6" a="1"/>
  <c r="P35" i="6" a="1"/>
  <c r="BT37" i="6" a="1"/>
  <c r="AR39" i="6" a="1"/>
  <c r="CA14" i="5" a="1"/>
  <c r="BA13" i="5" a="1"/>
  <c r="AK12" i="5" a="1"/>
  <c r="W11" i="5" a="1"/>
  <c r="BR8" i="5" a="1"/>
  <c r="BD7" i="5" a="1"/>
  <c r="AN6" i="5" a="1"/>
  <c r="Y5" i="5" a="1"/>
  <c r="AP9" i="6" a="1"/>
  <c r="AA8" i="6" a="1"/>
  <c r="C7" i="6" a="1"/>
  <c r="K10" i="6" a="1"/>
  <c r="F15" i="6" a="1"/>
  <c r="BC8" i="6" a="1"/>
  <c r="AV12" i="6" a="1"/>
  <c r="BI14" i="6" a="1"/>
  <c r="B6" i="6" a="1"/>
  <c r="Y11" i="6" a="1"/>
  <c r="BN10" i="6" a="1"/>
  <c r="AJ13" i="6" a="1"/>
  <c r="P15" i="6" a="1"/>
  <c r="AL8" i="6" a="1"/>
  <c r="Y12" i="6" a="1"/>
  <c r="BN11" i="6" a="1"/>
  <c r="BH7" i="6" a="1"/>
  <c r="CA11" i="6" a="1"/>
  <c r="BD10" i="6" a="1"/>
  <c r="Z13" i="6" a="1"/>
  <c r="J15" i="6" a="1"/>
  <c r="D10" i="6" a="1"/>
  <c r="G9" i="6" a="1"/>
  <c r="BQ11" i="6" a="1"/>
  <c r="Q14" i="6" a="1"/>
  <c r="BT11" i="6" a="1"/>
  <c r="S14" i="6" a="1"/>
  <c r="BE15" i="6" a="1"/>
  <c r="BP18" i="6" a="1"/>
  <c r="J16" i="6" a="1"/>
  <c r="AF19" i="6" a="1"/>
  <c r="D21" i="6" a="1"/>
  <c r="BW15" i="6" a="1"/>
  <c r="L19" i="6" a="1"/>
  <c r="BP17" i="6" a="1"/>
  <c r="AA20" i="6" a="1"/>
  <c r="BI13" i="6" a="1"/>
  <c r="AG17" i="6" a="1"/>
  <c r="AZ16" i="6" a="1"/>
  <c r="AX19" i="6" a="1"/>
  <c r="V21" i="6" a="1"/>
  <c r="BY15" i="6" a="1"/>
  <c r="O19" i="6" a="1"/>
  <c r="AG15" i="6" a="1"/>
  <c r="AB18" i="6" a="1"/>
  <c r="AP16" i="6" a="1"/>
  <c r="AR19" i="6" a="1"/>
  <c r="AD16" i="6" a="1"/>
  <c r="BW17" i="6" a="1"/>
  <c r="AL15" i="6" a="1"/>
  <c r="BO18" i="6" a="1"/>
  <c r="AN20" i="6" a="1"/>
  <c r="D7" i="6" a="1"/>
  <c r="AU23" i="6" a="1"/>
  <c r="BA18" i="6" a="1"/>
  <c r="BP22" i="6" a="1"/>
  <c r="BF25" i="6" a="1"/>
  <c r="AD27" i="6" a="1"/>
  <c r="BY20" i="6" a="1"/>
  <c r="Q24" i="6" a="1"/>
  <c r="N20" i="6" a="1"/>
  <c r="AL23" i="6" a="1"/>
  <c r="M26" i="6" a="1"/>
  <c r="BN16" i="6" a="1"/>
  <c r="AY23" i="6" a="1"/>
  <c r="BK18" i="6" a="1"/>
  <c r="BS22" i="6" a="1"/>
  <c r="AR25" i="6" a="1"/>
  <c r="R19" i="6" a="1"/>
  <c r="AF24" i="6" a="1"/>
  <c r="AV20" i="6" a="1"/>
  <c r="I24" i="6" a="1"/>
  <c r="O26" i="6" a="1"/>
  <c r="BV22" i="6" a="1"/>
  <c r="CA19" i="6" a="1"/>
  <c r="AQ23" i="6" a="1"/>
  <c r="BR25" i="6" a="1"/>
  <c r="BV17" i="6" a="1"/>
  <c r="AC22" i="6" a="1"/>
  <c r="BW14" i="6" a="1"/>
  <c r="BY22" i="6" a="1"/>
  <c r="BO23" i="6" a="1"/>
  <c r="F30" i="6" a="1"/>
  <c r="AW26" i="6" a="1"/>
  <c r="G30" i="6" a="1"/>
  <c r="H32" i="6" a="1"/>
  <c r="AM21" i="6" a="1"/>
  <c r="Y28" i="6" a="1"/>
  <c r="BU25" i="6" a="1"/>
  <c r="BI29" i="6" a="1"/>
  <c r="BS31" i="6" a="1"/>
  <c r="AC19" i="6" a="1"/>
  <c r="AO28" i="6" a="1"/>
  <c r="U23" i="6" a="1"/>
  <c r="AI29" i="6" a="1"/>
  <c r="BT31" i="6" a="1"/>
  <c r="AG26" i="6" a="1"/>
  <c r="K30" i="6" a="1"/>
  <c r="AI27" i="6" a="1"/>
  <c r="BE30" i="6" a="1"/>
  <c r="AI32" i="6" a="1"/>
  <c r="BF24" i="6" a="1"/>
  <c r="BM29" i="6" a="1"/>
  <c r="I26" i="6" a="1"/>
  <c r="BN29" i="6" a="1"/>
  <c r="T32" i="6" a="1"/>
  <c r="BD25" i="6" a="1"/>
  <c r="CA29" i="6" a="1"/>
  <c r="BB27" i="6" a="1"/>
  <c r="BG30" i="6" a="1"/>
  <c r="AK32" i="6" a="1"/>
  <c r="R26" i="6" a="1"/>
  <c r="AP35" i="6" a="1"/>
  <c r="B38" i="6" a="1"/>
  <c r="AZ39" i="6" a="1"/>
  <c r="BS20" i="5" a="1"/>
  <c r="J17" i="5" a="1"/>
  <c r="BN14" i="5" a="1"/>
  <c r="AR13" i="5" a="1"/>
  <c r="AB12" i="5" a="1"/>
  <c r="M11" i="5" a="1"/>
  <c r="AT7" i="5" a="1"/>
  <c r="AE6" i="5" a="1"/>
  <c r="O5" i="5" a="1"/>
  <c r="E6" i="6" a="1"/>
  <c r="AQ8" i="6" a="1"/>
  <c r="AA7" i="6" a="1"/>
  <c r="X10" i="6" a="1"/>
  <c r="I5" i="6" a="1"/>
  <c r="O9" i="6" a="1"/>
  <c r="BJ12" i="6" a="1"/>
  <c r="BQ14" i="6" a="1"/>
  <c r="AH6" i="6" a="1"/>
  <c r="AY11" i="6" a="1"/>
  <c r="BZ10" i="6" a="1"/>
  <c r="AW13" i="6" a="1"/>
  <c r="X15" i="6" a="1"/>
  <c r="BI8" i="6" a="1"/>
  <c r="AY12" i="6" a="1"/>
  <c r="BZ11" i="6" a="1"/>
  <c r="N8" i="6" a="1"/>
  <c r="AA12" i="6" a="1"/>
  <c r="BP10" i="6" a="1"/>
  <c r="AN13" i="6" a="1"/>
  <c r="R15" i="6" a="1"/>
  <c r="AE10" i="6" a="1"/>
  <c r="W9" i="6" a="1"/>
  <c r="D12" i="6" a="1"/>
  <c r="Y14" i="6" a="1"/>
  <c r="G12" i="6" a="1"/>
  <c r="AA14" i="6" a="1"/>
  <c r="BU15" i="6" a="1"/>
  <c r="K19" i="6" a="1"/>
  <c r="AJ16" i="6" a="1"/>
  <c r="AN19" i="6" a="1"/>
  <c r="L21" i="6" a="1"/>
  <c r="K16" i="6" a="1"/>
  <c r="V19" i="6" a="1"/>
  <c r="M18" i="6" a="1"/>
  <c r="AI20" i="6" a="1"/>
  <c r="O14" i="6" a="1"/>
  <c r="AT17" i="6" a="1"/>
  <c r="BL16" i="6" a="1"/>
  <c r="BF19" i="6" a="1"/>
  <c r="AD21" i="6" a="1"/>
  <c r="N16" i="6" a="1"/>
  <c r="Y19" i="6" a="1"/>
  <c r="AW15" i="6" a="1"/>
  <c r="AY18" i="6" a="1"/>
  <c r="BP16" i="6" a="1"/>
  <c r="AZ19" i="6" a="1"/>
  <c r="AQ16" i="6" a="1"/>
  <c r="I18" i="6" a="1"/>
  <c r="BB15" i="6" a="1"/>
  <c r="CA18" i="6" a="1"/>
  <c r="BD20" i="6" a="1"/>
  <c r="BD12" i="6" a="1"/>
  <c r="BH23" i="6" a="1"/>
  <c r="AK19" i="6" a="1"/>
  <c r="B23" i="6" a="1"/>
  <c r="BN25" i="6" a="1"/>
  <c r="BQ8" i="6" a="1"/>
  <c r="O21" i="6" a="1"/>
  <c r="AD24" i="6" a="1"/>
  <c r="AD20" i="6" a="1"/>
  <c r="AX23" i="6" a="1"/>
  <c r="U26" i="6" a="1"/>
  <c r="Z17" i="6" a="1"/>
  <c r="BJ23" i="6" a="1"/>
  <c r="AQ19" i="6" a="1"/>
  <c r="E23" i="6" a="1"/>
  <c r="AZ25" i="6" a="1"/>
  <c r="AG21" i="6" a="1"/>
  <c r="AR24" i="6" a="1"/>
  <c r="BL20" i="6" a="1"/>
  <c r="V24" i="6" a="1"/>
  <c r="W26" i="6" a="1"/>
  <c r="S23" i="6" a="1"/>
  <c r="Q20" i="6" a="1"/>
  <c r="BB23" i="6" a="1"/>
  <c r="BZ25" i="6" a="1"/>
  <c r="AG18" i="6" a="1"/>
  <c r="AP22" i="6" a="1"/>
  <c r="BP15" i="6" a="1"/>
  <c r="L23" i="6" a="1"/>
  <c r="AI24" i="6" a="1"/>
  <c r="S30" i="6" a="1"/>
  <c r="BS26" i="6" a="1"/>
  <c r="T30" i="6" a="1"/>
  <c r="P32" i="6" a="1"/>
  <c r="AB22" i="6" a="1"/>
  <c r="AM28" i="6" a="1"/>
  <c r="AA26" i="6" a="1"/>
  <c r="BV29" i="6" a="1"/>
  <c r="CA31" i="6" a="1"/>
  <c r="BA20" i="6" a="1"/>
  <c r="BC28" i="6" a="1"/>
  <c r="AU25" i="6" a="1"/>
  <c r="AW29" i="6" a="1"/>
  <c r="B32" i="6" a="1"/>
  <c r="BW26" i="6" a="1"/>
  <c r="X30" i="6" a="1"/>
  <c r="BM27" i="6" a="1"/>
  <c r="BO30" i="6" a="1"/>
  <c r="AQ32" i="6" a="1"/>
  <c r="AI26" i="6" a="1"/>
  <c r="BZ29" i="6" a="1"/>
  <c r="AM26" i="6" a="1"/>
  <c r="M30" i="6" a="1"/>
  <c r="AB32" i="6" a="1"/>
  <c r="J26" i="6" a="1"/>
  <c r="N30" i="6" a="1"/>
  <c r="BP27" i="6" a="1"/>
  <c r="BR30" i="6" a="1"/>
  <c r="AS32" i="6" a="1"/>
  <c r="BL14" i="5" a="1"/>
  <c r="AO13" i="5" a="1"/>
  <c r="BV9" i="5" a="1"/>
  <c r="BG8" i="5" a="1"/>
  <c r="AQ7" i="5" a="1"/>
  <c r="AC6" i="5" a="1"/>
  <c r="AC6" i="6" a="1"/>
  <c r="BO8" i="6" a="1"/>
  <c r="AQ7" i="6" a="1"/>
  <c r="AX10" i="6" a="1"/>
  <c r="AA6" i="6" a="1"/>
  <c r="AE9" i="6" a="1"/>
  <c r="I13" i="6" a="1"/>
  <c r="BY14" i="6" a="1"/>
  <c r="BN6" i="6" a="1"/>
  <c r="BK11" i="6" a="1"/>
  <c r="M11" i="6" a="1"/>
  <c r="BH13" i="6" a="1"/>
  <c r="AF15" i="6" a="1"/>
  <c r="CA8" i="6" a="1"/>
  <c r="BY12" i="6" a="1"/>
  <c r="N12" i="6" a="1"/>
  <c r="AM8" i="6" a="1"/>
  <c r="BA12" i="6" a="1"/>
  <c r="D11" i="6" a="1"/>
  <c r="AZ13" i="6" a="1"/>
  <c r="Y5" i="6" a="1"/>
  <c r="BE10" i="6" a="1"/>
  <c r="AM9" i="6" a="1"/>
  <c r="P12" i="6" a="1"/>
  <c r="AZ8" i="6" a="1"/>
  <c r="T12" i="6" a="1"/>
  <c r="AI14" i="6" a="1"/>
  <c r="H16" i="6" a="1"/>
  <c r="AE19" i="6" a="1"/>
  <c r="AV16" i="6" a="1"/>
  <c r="AV19" i="6" a="1"/>
  <c r="T21" i="6" a="1"/>
  <c r="W16" i="6" a="1"/>
  <c r="BL5" i="6" a="1"/>
  <c r="Y18" i="6" a="1"/>
  <c r="AQ20" i="6" a="1"/>
  <c r="AP14" i="6" a="1"/>
  <c r="BQ17" i="6" a="1"/>
  <c r="K17" i="6" a="1"/>
  <c r="BN19" i="6" a="1"/>
  <c r="AL21" i="6" a="1"/>
  <c r="AA16" i="6" a="1"/>
  <c r="W8" i="6" a="1"/>
  <c r="BM15" i="6" a="1"/>
  <c r="F19" i="6" a="1"/>
  <c r="B17" i="6" a="1"/>
  <c r="BH19" i="6" a="1"/>
  <c r="BC16" i="6" a="1"/>
  <c r="T18" i="6" a="1"/>
  <c r="BR15" i="6" a="1"/>
  <c r="T19" i="6" a="1"/>
  <c r="BT20" i="6" a="1"/>
  <c r="BZ15" i="6" a="1"/>
  <c r="E24" i="6" a="1"/>
  <c r="BS19" i="6" a="1"/>
  <c r="Y23" i="6" a="1"/>
  <c r="BV25" i="6" a="1"/>
  <c r="AL13" i="6" a="1"/>
  <c r="AB21" i="6" a="1"/>
  <c r="BA24" i="6" a="1"/>
  <c r="AT20" i="6" a="1"/>
  <c r="BU23" i="6" a="1"/>
  <c r="AC26" i="6" a="1"/>
  <c r="S18" i="6" a="1"/>
  <c r="BV23" i="6" a="1"/>
  <c r="BI19" i="6" a="1"/>
  <c r="P23" i="6" a="1"/>
  <c r="BH25" i="6" a="1"/>
  <c r="AS21" i="6" a="1"/>
  <c r="BO24" i="6" a="1"/>
  <c r="B21" i="6" a="1"/>
  <c r="AS24" i="6" a="1"/>
  <c r="AE14" i="6" a="1"/>
  <c r="AD23" i="6" a="1"/>
  <c r="AG20" i="6" a="1"/>
  <c r="BN23" i="6" a="1"/>
  <c r="H26" i="6" a="1"/>
  <c r="BU18" i="6" a="1"/>
  <c r="BM22" i="6" a="1"/>
  <c r="AS16" i="6" a="1"/>
  <c r="AI23" i="6" a="1"/>
  <c r="BR26" i="6" a="1"/>
  <c r="AE30" i="6" a="1"/>
  <c r="AB27" i="6" a="1"/>
  <c r="AF30" i="6" a="1"/>
  <c r="X32" i="6" a="1"/>
  <c r="I23" i="6" a="1"/>
  <c r="BA28" i="6" a="1"/>
  <c r="AY26" i="6" a="1"/>
  <c r="U30" i="6" a="1"/>
  <c r="I32" i="6" a="1"/>
  <c r="AW21" i="6" a="1"/>
  <c r="BQ28" i="6" a="1"/>
  <c r="CA25" i="6" a="1"/>
  <c r="BW29" i="6" a="1"/>
  <c r="J32" i="6" a="1"/>
  <c r="Q27" i="6" a="1"/>
  <c r="AS30" i="6" a="1"/>
  <c r="CA27" i="6" a="1"/>
  <c r="BZ30" i="6" a="1"/>
  <c r="AY32" i="6" a="1"/>
  <c r="BF26" i="6" a="1"/>
  <c r="Y30" i="6" a="1"/>
  <c r="BG26" i="6" a="1"/>
  <c r="AV30" i="6" a="1"/>
  <c r="AJ32" i="6" a="1"/>
  <c r="BJ26" i="6" a="1"/>
  <c r="Z30" i="6" a="1"/>
  <c r="S28" i="6" a="1"/>
  <c r="C31" i="6" a="1"/>
  <c r="BA32" i="6" a="1"/>
  <c r="G28" i="6" a="1"/>
  <c r="B36" i="6" a="1"/>
  <c r="R38" i="6" a="1"/>
  <c r="BH16" i="5" a="1"/>
  <c r="BB14" i="5" a="1"/>
  <c r="AE13" i="5" a="1"/>
  <c r="Q12" i="5" a="1"/>
  <c r="BL9" i="5" a="1"/>
  <c r="AX8" i="5" a="1"/>
  <c r="AH7" i="5" a="1"/>
  <c r="S6" i="5" a="1"/>
  <c r="BC7" i="6" a="1"/>
  <c r="BZ5" i="6" a="1"/>
  <c r="BO7" i="6" a="1"/>
  <c r="BW10" i="6" a="1"/>
  <c r="AS7" i="6" a="1"/>
  <c r="AU9" i="6" a="1"/>
  <c r="V13" i="6" a="1"/>
  <c r="G15" i="6" a="1"/>
  <c r="T7" i="6" a="1"/>
  <c r="K12" i="6" a="1"/>
  <c r="Z11" i="6" a="1"/>
  <c r="BP13" i="6" a="1"/>
  <c r="AN15" i="6" a="1"/>
  <c r="Q9" i="6" a="1"/>
  <c r="K13" i="6" a="1"/>
  <c r="Z12" i="6" a="1"/>
  <c r="C9" i="6" a="1"/>
  <c r="BM12" i="6" a="1"/>
  <c r="P11" i="6" a="1"/>
  <c r="BJ13" i="6" a="1"/>
  <c r="BE5" i="6" a="1"/>
  <c r="BQ10" i="6" a="1"/>
  <c r="BC9" i="6" a="1"/>
  <c r="AD12" i="6" a="1"/>
  <c r="BS8" i="6" a="1"/>
  <c r="AF12" i="6" a="1"/>
  <c r="AQ14" i="6" a="1"/>
  <c r="V16" i="6" a="1"/>
  <c r="AK7" i="6" a="1"/>
  <c r="BV16" i="6" a="1"/>
  <c r="BD19" i="6" a="1"/>
  <c r="AG5" i="6" a="1"/>
  <c r="AK16" i="6" a="1"/>
  <c r="Y9" i="6" a="1"/>
  <c r="AJ18" i="6" a="1"/>
  <c r="AY20" i="6" a="1"/>
  <c r="BN14" i="6" a="1"/>
  <c r="B18" i="6" a="1"/>
  <c r="W17" i="6" a="1"/>
  <c r="BV19" i="6" a="1"/>
  <c r="R6" i="6" a="1"/>
  <c r="AM16" i="6" a="1"/>
  <c r="BD9" i="6" a="1"/>
  <c r="B16" i="6" a="1"/>
  <c r="Z19" i="6" a="1"/>
  <c r="Y17" i="6" a="1"/>
  <c r="BS9" i="6" a="1"/>
  <c r="G10" i="6" a="1"/>
  <c r="AQ18" i="6" a="1"/>
  <c r="G16" i="6" a="1"/>
  <c r="AY6" i="6" a="1"/>
  <c r="J21" i="6" a="1"/>
  <c r="AY17" i="6" a="1"/>
  <c r="P24" i="6" a="1"/>
  <c r="I20" i="6" a="1"/>
  <c r="AK23" i="6" a="1"/>
  <c r="D26" i="6" a="1"/>
  <c r="T15" i="6" a="1"/>
  <c r="AP21" i="6" a="1"/>
  <c r="BL24" i="6" a="1"/>
  <c r="BJ20" i="6" a="1"/>
  <c r="G24" i="6" a="1"/>
  <c r="AK26" i="6" a="1"/>
  <c r="P19" i="6" a="1"/>
  <c r="S24" i="6" a="1"/>
  <c r="BY19" i="6" a="1"/>
  <c r="AM23" i="6" a="1"/>
  <c r="BP25" i="6" a="1"/>
  <c r="BE21" i="6" a="1"/>
  <c r="H10" i="6" a="1"/>
  <c r="R21" i="6" a="1"/>
  <c r="BD24" i="6" a="1"/>
  <c r="AT15" i="6" a="1"/>
  <c r="AP23" i="6" a="1"/>
  <c r="AW20" i="6" a="1"/>
  <c r="K24" i="6" a="1"/>
  <c r="P26" i="6" a="1"/>
  <c r="BF11" i="6" a="1"/>
  <c r="BX22" i="6" a="1"/>
  <c r="M17" i="6" a="1"/>
  <c r="AT23" i="6" a="1"/>
  <c r="J27" i="6" a="1"/>
  <c r="AZ30" i="6" a="1"/>
  <c r="AS27" i="6" a="1"/>
  <c r="AP30" i="6" a="1"/>
  <c r="AF32" i="6" a="1"/>
  <c r="BQ23" i="6" a="1"/>
  <c r="BP28" i="6" a="1"/>
  <c r="L27" i="6" a="1"/>
  <c r="AG30" i="6" a="1"/>
  <c r="Q32" i="6" a="1"/>
  <c r="AD22" i="6" a="1"/>
  <c r="F29" i="6" a="1"/>
  <c r="BC26" i="6" a="1"/>
  <c r="J30" i="6" a="1"/>
  <c r="R32" i="6" a="1"/>
  <c r="AX27" i="6" a="1"/>
  <c r="BY30" i="6" a="1"/>
  <c r="O28" i="6" a="1"/>
  <c r="I31" i="6" a="1"/>
  <c r="BG32" i="6" a="1"/>
  <c r="CA26" i="6" a="1"/>
  <c r="AJ30" i="6" a="1"/>
  <c r="B27" i="6" a="1"/>
  <c r="BF30" i="6" a="1"/>
  <c r="AR32" i="6" a="1"/>
  <c r="T27" i="6" a="1"/>
  <c r="AK30" i="6" a="1"/>
  <c r="AG28" i="6" a="1"/>
  <c r="K31" i="6" a="1"/>
  <c r="BI32" i="6" a="1"/>
  <c r="BL28" i="6" a="1"/>
  <c r="AB36" i="6" a="1"/>
  <c r="Z38" i="6" a="1"/>
  <c r="L20" i="5" a="1"/>
  <c r="BD16" i="5" a="1"/>
  <c r="AW14" i="5" a="1"/>
  <c r="N12" i="5" a="1"/>
  <c r="BZ10" i="5" a="1"/>
  <c r="BJ9" i="5" a="1"/>
  <c r="AU8" i="5" a="1"/>
  <c r="B5" i="5" a="1"/>
  <c r="CA7" i="6" a="1"/>
  <c r="P6" i="6" a="1"/>
  <c r="AN5" i="6" a="1"/>
  <c r="AJ11" i="6" a="1"/>
  <c r="N9" i="6" a="1"/>
  <c r="BK9" i="6" a="1"/>
  <c r="AH13" i="6" a="1"/>
  <c r="O15" i="6" a="1"/>
  <c r="AZ7" i="6" a="1"/>
  <c r="AK12" i="6" a="1"/>
  <c r="AL11" i="6" a="1"/>
  <c r="BX13" i="6" a="1"/>
  <c r="AV15" i="6" a="1"/>
  <c r="AG9" i="6" a="1"/>
  <c r="AK13" i="6" a="1"/>
  <c r="AM12" i="6" a="1"/>
  <c r="S9" i="6" a="1"/>
  <c r="M13" i="6" a="1"/>
  <c r="AC11" i="6" a="1"/>
  <c r="BR13" i="6" a="1"/>
  <c r="K6" i="6" a="1"/>
  <c r="Q11" i="6" a="1"/>
  <c r="BR9" i="6" a="1"/>
  <c r="AP12" i="6" a="1"/>
  <c r="BU9" i="6" a="1"/>
  <c r="AT12" i="6" a="1"/>
  <c r="AY14" i="6" a="1"/>
  <c r="AI16" i="6" a="1"/>
  <c r="X9" i="6" a="1"/>
  <c r="H17" i="6" a="1"/>
  <c r="BL19" i="6" a="1"/>
  <c r="BP7" i="6" a="1"/>
  <c r="AW16" i="6" a="1"/>
  <c r="AG10" i="6" a="1"/>
  <c r="BG18" i="6" a="1"/>
  <c r="BG20" i="6" a="1"/>
  <c r="K15" i="6" a="1"/>
  <c r="N18" i="6" a="1"/>
  <c r="AH17" i="6" a="1"/>
  <c r="D20" i="6" a="1"/>
  <c r="AO9" i="6" a="1"/>
  <c r="BA16" i="6" a="1"/>
  <c r="AT10" i="6" a="1"/>
  <c r="O16" i="6" a="1"/>
  <c r="AX6" i="6" a="1"/>
  <c r="AL17" i="6" a="1"/>
  <c r="BG10" i="6" a="1"/>
  <c r="BT10" i="6" a="1"/>
  <c r="BD18" i="6" a="1"/>
  <c r="AH16" i="6" a="1"/>
  <c r="AS12" i="6" a="1"/>
  <c r="Z21" i="6" a="1"/>
  <c r="H19" i="6" a="1"/>
  <c r="AB24" i="6" a="1"/>
  <c r="Y20" i="6" a="1"/>
  <c r="AV23" i="6" a="1"/>
  <c r="L26" i="6" a="1"/>
  <c r="BE16" i="6" a="1"/>
  <c r="BB21" i="6" a="1"/>
  <c r="BX24" i="6" a="1"/>
  <c r="BZ20" i="6" a="1"/>
  <c r="R24" i="6" a="1"/>
  <c r="AS26" i="6" a="1"/>
  <c r="AM19" i="6" a="1"/>
  <c r="AE24" i="6" a="1"/>
  <c r="O20" i="6" a="1"/>
  <c r="AZ23" i="6" a="1"/>
  <c r="BX25" i="6" a="1"/>
  <c r="BP21" i="6" a="1"/>
  <c r="AK15" i="6" a="1"/>
  <c r="AT21" i="6" a="1"/>
  <c r="BP24" i="6" a="1"/>
  <c r="AB16" i="6" a="1"/>
  <c r="BM23" i="6" a="1"/>
  <c r="BM20" i="6" a="1"/>
  <c r="W24" i="6" a="1"/>
  <c r="X26" i="6" a="1"/>
  <c r="BF14" i="6" a="1"/>
  <c r="J23" i="6" a="1"/>
  <c r="AW17" i="6" a="1"/>
  <c r="BF23" i="6" a="1"/>
  <c r="AA27" i="6" a="1"/>
  <c r="BK30" i="6" a="1"/>
  <c r="BG27" i="6" a="1"/>
  <c r="BL30" i="6" a="1"/>
  <c r="AN32" i="6" a="1"/>
  <c r="AL24" i="6" a="1"/>
  <c r="D29" i="6" a="1"/>
  <c r="AF27" i="6" a="1"/>
  <c r="AQ30" i="6" a="1"/>
  <c r="Y32" i="6" a="1"/>
  <c r="BZ23" i="6" a="1"/>
  <c r="T29" i="6" a="1"/>
  <c r="BV26" i="6" a="1"/>
  <c r="W30" i="6" a="1"/>
  <c r="Z32" i="6" a="1"/>
  <c r="BL27" i="6" a="1"/>
  <c r="AR16" i="6" a="1"/>
  <c r="AC28" i="6" a="1"/>
  <c r="Q31" i="6" a="1"/>
  <c r="BO32" i="6" a="1"/>
  <c r="AJ27" i="6" a="1"/>
  <c r="AU30" i="6" a="1"/>
  <c r="S27" i="6" a="1"/>
  <c r="B31" i="6" a="1"/>
  <c r="AZ32" i="6" a="1"/>
  <c r="AL27" i="6" a="1"/>
  <c r="BQ30" i="6" a="1"/>
  <c r="AU28" i="6" a="1"/>
  <c r="S31" i="6" a="1"/>
  <c r="BQ32" i="6" a="1"/>
  <c r="AQ29" i="6" a="1"/>
  <c r="AN36" i="6" a="1"/>
  <c r="AH38" i="6" a="1"/>
  <c r="AJ14" i="5" a="1"/>
  <c r="R13" i="5" a="1"/>
  <c r="C12" i="5" a="1"/>
  <c r="BM10" i="5" a="1"/>
  <c r="AY9" i="5" a="1"/>
  <c r="T7" i="5" a="1"/>
  <c r="F6" i="5" a="1"/>
  <c r="T4" i="5" a="1"/>
  <c r="BH5" i="6" a="1"/>
  <c r="Z7" i="6" a="1"/>
  <c r="AR7" i="6" a="1"/>
  <c r="AH12" i="6" a="1"/>
  <c r="BJ9" i="6" a="1"/>
  <c r="L10" i="6" a="1"/>
  <c r="BG13" i="6" a="1"/>
  <c r="AE15" i="6" a="1"/>
  <c r="BZ8" i="6" a="1"/>
  <c r="BW12" i="6" a="1"/>
  <c r="BL11" i="6" a="1"/>
  <c r="N14" i="6" a="1"/>
  <c r="BL15" i="6" a="1"/>
  <c r="BM9" i="6" a="1"/>
  <c r="P10" i="6" a="1"/>
  <c r="BL12" i="6" a="1"/>
  <c r="AY9" i="6" a="1"/>
  <c r="AY13" i="6" a="1"/>
  <c r="BB11" i="6" a="1"/>
  <c r="H14" i="6" a="1"/>
  <c r="BW6" i="6" a="1"/>
  <c r="BC11" i="6" a="1"/>
  <c r="S10" i="6" a="1"/>
  <c r="BP12" i="6" a="1"/>
  <c r="V10" i="6" a="1"/>
  <c r="BS12" i="6" a="1"/>
  <c r="I9" i="6" a="1"/>
  <c r="BI16" i="6" a="1"/>
  <c r="G11" i="6" a="1"/>
  <c r="AQ17" i="6" a="1"/>
  <c r="B20" i="6" a="1"/>
  <c r="S11" i="6" a="1"/>
  <c r="BW16" i="6" a="1"/>
  <c r="C13" i="6" a="1"/>
  <c r="C19" i="6" a="1"/>
  <c r="BW20" i="6" a="1"/>
  <c r="AR15" i="6" a="1"/>
  <c r="AW18" i="6" a="1"/>
  <c r="BR17" i="6" a="1"/>
  <c r="T20" i="6" a="1"/>
  <c r="AF11" i="6" a="1"/>
  <c r="BZ16" i="6" a="1"/>
  <c r="Q13" i="6" a="1"/>
  <c r="AO16" i="6" a="1"/>
  <c r="BE9" i="6" a="1"/>
  <c r="BT17" i="6" a="1"/>
  <c r="AD13" i="6" a="1"/>
  <c r="AG14" i="6" a="1"/>
  <c r="BY18" i="6" a="1"/>
  <c r="BT16" i="6" a="1"/>
  <c r="BQ15" i="6" a="1"/>
  <c r="BL21" i="6" a="1"/>
  <c r="AO21" i="6" a="1"/>
  <c r="BK24" i="6" a="1"/>
  <c r="BE20" i="6" a="1"/>
  <c r="F24" i="6" a="1"/>
  <c r="AB26" i="6" a="1"/>
  <c r="BG17" i="6" a="1"/>
  <c r="K22" i="6" a="1"/>
  <c r="BR8" i="6" a="1"/>
  <c r="AE21" i="6" a="1"/>
  <c r="BB24" i="6" a="1"/>
  <c r="BI26" i="6" a="1"/>
  <c r="AQ21" i="6" a="1"/>
  <c r="BM24" i="6" a="1"/>
  <c r="AU20" i="6" a="1"/>
  <c r="H24" i="6" a="1"/>
  <c r="N26" i="6" a="1"/>
  <c r="Z22" i="6" a="1"/>
  <c r="BR16" i="6" a="1"/>
  <c r="C22" i="6" a="1"/>
  <c r="K25" i="6" a="1"/>
  <c r="AJ17" i="6" a="1"/>
  <c r="J24" i="6" a="1"/>
  <c r="S21" i="6" a="1"/>
  <c r="BE24" i="6" a="1"/>
  <c r="AN26" i="6" a="1"/>
  <c r="AN16" i="6" a="1"/>
  <c r="AS23" i="6" a="1"/>
  <c r="BZ18" i="6" a="1"/>
  <c r="O24" i="6" a="1"/>
  <c r="BU27" i="6" a="1"/>
  <c r="AK20" i="6" a="1"/>
  <c r="J28" i="6" a="1"/>
  <c r="F31" i="6" a="1"/>
  <c r="BD32" i="6" a="1"/>
  <c r="AN25" i="6" a="1"/>
  <c r="AF29" i="6" a="1"/>
  <c r="BI27" i="6" a="1"/>
  <c r="BM30" i="6" a="1"/>
  <c r="AO32" i="6" a="1"/>
  <c r="N25" i="6" a="1"/>
  <c r="AV29" i="6" a="1"/>
  <c r="AH27" i="6" a="1"/>
  <c r="BD30" i="6" a="1"/>
  <c r="AP32" i="6" a="1"/>
  <c r="N28" i="6" a="1"/>
  <c r="BH21" i="6" a="1"/>
  <c r="BF28" i="6" a="1"/>
  <c r="AG31" i="6" a="1"/>
  <c r="D16" i="5" a="1"/>
  <c r="W14" i="5" a="1"/>
  <c r="F13" i="5" a="1"/>
  <c r="BQ11" i="5" a="1"/>
  <c r="X8" i="5" a="1"/>
  <c r="I7" i="5" a="1"/>
  <c r="BS5" i="5" a="1"/>
  <c r="BQ4" i="5" a="1"/>
  <c r="AF7" i="6" a="1"/>
  <c r="BN7" i="6" a="1"/>
  <c r="AA9" i="6" a="1"/>
  <c r="BT12" i="6" a="1"/>
  <c r="BK10" i="6" a="1"/>
  <c r="BX10" i="6" a="1"/>
  <c r="BW13" i="6" a="1"/>
  <c r="AU15" i="6" a="1"/>
  <c r="AF9" i="6" a="1"/>
  <c r="AI13" i="6" a="1"/>
  <c r="L12" i="6" a="1"/>
  <c r="AD14" i="6" a="1"/>
  <c r="Q5" i="6" a="1"/>
  <c r="O10" i="6" a="1"/>
  <c r="AP10" i="6" a="1"/>
  <c r="L13" i="6" a="1"/>
  <c r="C10" i="6" a="1"/>
  <c r="E9" i="6" a="1"/>
  <c r="B12" i="6" a="1"/>
  <c r="X14" i="6" a="1"/>
  <c r="BI7" i="6" a="1"/>
  <c r="AC12" i="6" a="1"/>
  <c r="AR10" i="6" a="1"/>
  <c r="P13" i="6" a="1"/>
  <c r="AV10" i="6" a="1"/>
  <c r="R13" i="6" a="1"/>
  <c r="BS11" i="6" a="1"/>
  <c r="S17" i="6" a="1"/>
  <c r="BR12" i="6" a="1"/>
  <c r="BN17" i="6" a="1"/>
  <c r="R20" i="6" a="1"/>
  <c r="BD13" i="6" a="1"/>
  <c r="AF17" i="6" a="1"/>
  <c r="L16" i="6" a="1"/>
  <c r="AG19" i="6" a="1"/>
  <c r="M21" i="6" a="1"/>
  <c r="BX15" i="6" a="1"/>
  <c r="M19" i="6" a="1"/>
  <c r="Z18" i="6" a="1"/>
  <c r="AJ20" i="6" a="1"/>
  <c r="BL13" i="6" a="1"/>
  <c r="AI17" i="6" a="1"/>
  <c r="BS14" i="6" a="1"/>
  <c r="BO16" i="6" a="1"/>
  <c r="AC13" i="6" a="1"/>
  <c r="AC18" i="6" a="1"/>
  <c r="Z14" i="6" a="1"/>
  <c r="F16" i="6" a="1"/>
  <c r="AL19" i="6" a="1"/>
  <c r="R17" i="6" a="1"/>
  <c r="O17" i="6" a="1"/>
  <c r="T22" i="6" a="1"/>
  <c r="BW21" i="6" a="1"/>
  <c r="G25" i="6" a="1"/>
  <c r="K21" i="6" a="1"/>
  <c r="AN24" i="6" a="1"/>
  <c r="AR26" i="6" a="1"/>
  <c r="BB18" i="6" a="1"/>
  <c r="AS22" i="6" a="1"/>
  <c r="U15" i="6" a="1"/>
  <c r="BN21" i="6" a="1"/>
  <c r="AA25" i="6" a="1"/>
  <c r="BY26" i="6" a="1"/>
  <c r="CA21" i="6" a="1"/>
  <c r="S25" i="6" a="1"/>
  <c r="CA20" i="6" a="1"/>
  <c r="AQ24" i="6" a="1"/>
  <c r="AD26" i="6" a="1"/>
  <c r="BH22" i="6" a="1"/>
  <c r="BS17" i="6" a="1"/>
  <c r="AK22" i="6" a="1"/>
  <c r="AC25" i="6" a="1"/>
  <c r="AH21" i="6" a="1"/>
  <c r="AT24" i="6" a="1"/>
  <c r="BS21" i="6" a="1"/>
  <c r="B25" i="6" a="1"/>
  <c r="BD26" i="6" a="1"/>
  <c r="D18" i="6" a="1"/>
  <c r="CA23" i="6" a="1"/>
  <c r="BA19" i="6" a="1"/>
  <c r="AW24" i="6" a="1"/>
  <c r="W28" i="6" a="1"/>
  <c r="S22" i="6" a="1"/>
  <c r="AL28" i="6" a="1"/>
  <c r="V31" i="6" a="1"/>
  <c r="BT32" i="6" a="1"/>
  <c r="Z26" i="6" a="1"/>
  <c r="BU29" i="6" a="1"/>
  <c r="L28" i="6" a="1"/>
  <c r="G31" i="6" a="1"/>
  <c r="BE32" i="6" a="1"/>
  <c r="BB26" i="6" a="1"/>
  <c r="I30" i="6" a="1"/>
  <c r="BK27" i="6" a="1"/>
  <c r="H31" i="6" a="1"/>
  <c r="AU19" i="6" a="1"/>
  <c r="BE28" i="6" a="1"/>
  <c r="D24" i="6" a="1"/>
  <c r="H29" i="6" a="1"/>
  <c r="AW31" i="6" a="1"/>
  <c r="U33" i="6" a="1"/>
  <c r="P28" i="6" a="1"/>
  <c r="BS20" i="6" a="1"/>
  <c r="Q28" i="6" a="1"/>
  <c r="AH31" i="6" a="1"/>
  <c r="F33" i="6" a="1"/>
  <c r="R28" i="6" a="1"/>
  <c r="Y25" i="6" a="1"/>
  <c r="Z29" i="6" a="1"/>
  <c r="AY31" i="6" a="1"/>
  <c r="Y21" i="6" a="1"/>
  <c r="L33" i="6" a="1"/>
  <c r="P37" i="6" a="1"/>
  <c r="BN38" i="6" a="1"/>
  <c r="BC19" i="5" a="1"/>
  <c r="W7" i="5" a="1"/>
  <c r="BY9" i="6" a="1"/>
  <c r="AW9" i="6" a="1"/>
  <c r="AQ11" i="6" a="1"/>
  <c r="T17" i="6" a="1"/>
  <c r="AK18" i="6" a="1"/>
  <c r="BI17" i="6" a="1"/>
  <c r="AY24" i="6" a="1"/>
  <c r="AO24" i="6" a="1"/>
  <c r="U16" i="6" a="1"/>
  <c r="BJ15" i="6" a="1"/>
  <c r="AV32" i="6" a="1"/>
  <c r="P27" i="6" a="1"/>
  <c r="M33" i="6" a="1"/>
  <c r="BA27" i="6" a="1"/>
  <c r="V20" i="6" a="1"/>
  <c r="AJ39" i="6" a="1"/>
  <c r="G18" i="6" a="1"/>
  <c r="BS33" i="6" a="1"/>
  <c r="AO36" i="6" a="1"/>
  <c r="M36" i="6" a="1"/>
  <c r="AF34" i="6" a="1"/>
  <c r="AW37" i="6" a="1"/>
  <c r="BY39" i="6" a="1"/>
  <c r="BH31" i="6" a="1"/>
  <c r="AE35" i="6" a="1"/>
  <c r="BK25" i="6" a="1"/>
  <c r="BZ28" i="6" a="1"/>
  <c r="BD36" i="6" a="1"/>
  <c r="AR38" i="6" a="1"/>
  <c r="Y39" i="6" a="1"/>
  <c r="CA28" i="6" a="1"/>
  <c r="AH34" i="6" a="1"/>
  <c r="O39" i="6" a="1"/>
  <c r="I21" i="6" a="1"/>
  <c r="AH35" i="6" a="1"/>
  <c r="E38" i="6" a="1"/>
  <c r="BD39" i="6" a="1"/>
  <c r="N29" i="6" a="1"/>
  <c r="AW34" i="6" a="1"/>
  <c r="AL38" i="6" a="1"/>
  <c r="X21" i="6" a="1"/>
  <c r="BV35" i="6" a="1"/>
  <c r="V38" i="6" a="1"/>
  <c r="AE25" i="6" a="1"/>
  <c r="AK34" i="6" a="1"/>
  <c r="G38" i="6" a="1"/>
  <c r="BM38" i="6" a="1"/>
  <c r="BX34" i="6" a="1"/>
  <c r="BQ37" i="6" a="1"/>
  <c r="BW22" i="6" a="1"/>
  <c r="AN33" i="6" a="1"/>
  <c r="K36" i="6" a="1"/>
  <c r="I38" i="6" a="1"/>
  <c r="BQ33" i="6" a="1"/>
  <c r="AM36" i="6" a="1"/>
  <c r="AA4" i="6" a="1"/>
  <c r="AP4" i="6" a="1"/>
  <c r="O4" i="6" a="1"/>
  <c r="AT4" i="6" a="1"/>
  <c r="G4" i="6" a="1"/>
  <c r="BM4" i="6" a="1"/>
  <c r="BW36" i="6" a="1"/>
  <c r="Q4" i="6" a="1"/>
  <c r="R4" i="6" a="1"/>
  <c r="L38" i="6" a="1"/>
  <c r="BX31" i="6" a="1"/>
  <c r="BY32" i="6" a="1"/>
  <c r="BH34" i="6" a="1"/>
  <c r="BI36" i="6" a="1"/>
  <c r="X4" i="6" a="1"/>
  <c r="BT15" i="6" a="1"/>
  <c r="BU39" i="6" a="1"/>
  <c r="BI37" i="6" a="1"/>
  <c r="N19" i="5" a="1"/>
  <c r="AY10" i="6" a="1"/>
  <c r="B10" i="6" a="1"/>
  <c r="C12" i="6" a="1"/>
  <c r="BC17" i="6" a="1"/>
  <c r="BH18" i="6" a="1"/>
  <c r="F18" i="6" a="1"/>
  <c r="BV24" i="6" a="1"/>
  <c r="I25" i="6" a="1"/>
  <c r="AD17" i="6" a="1"/>
  <c r="E17" i="6" a="1"/>
  <c r="BL32" i="6" a="1"/>
  <c r="AW27" i="6" a="1"/>
  <c r="AY27" i="6" a="1"/>
  <c r="BO27" i="6" a="1"/>
  <c r="BM25" i="6" a="1"/>
  <c r="BH39" i="6" a="1"/>
  <c r="BC23" i="6" a="1"/>
  <c r="E34" i="6" a="1"/>
  <c r="BB36" i="6" a="1"/>
  <c r="AN35" i="6" a="1"/>
  <c r="AR34" i="6" a="1"/>
  <c r="BE37" i="6" a="1"/>
  <c r="BZ37" i="6" a="1"/>
  <c r="N32" i="6" a="1"/>
  <c r="AR35" i="6" a="1"/>
  <c r="N34" i="6" a="1"/>
  <c r="BE29" i="6" a="1"/>
  <c r="B37" i="6" a="1"/>
  <c r="AZ38" i="6" a="1"/>
  <c r="AL35" i="6" a="1"/>
  <c r="BF29" i="6" a="1"/>
  <c r="AU34" i="6" a="1"/>
  <c r="AM39" i="6" a="1"/>
  <c r="BS24" i="6" a="1"/>
  <c r="AT35" i="6" a="1"/>
  <c r="M38" i="6" a="1"/>
  <c r="BE39" i="6" a="1"/>
  <c r="BQ29" i="6" a="1"/>
  <c r="BI34" i="6" a="1"/>
  <c r="BB38" i="6" a="1"/>
  <c r="BN26" i="6" a="1"/>
  <c r="H36" i="6" a="1"/>
  <c r="AD38" i="6" a="1"/>
  <c r="BO26" i="6" a="1"/>
  <c r="AX34" i="6" a="1"/>
  <c r="AE38" i="6" a="1"/>
  <c r="E22" i="6" a="1"/>
  <c r="X35" i="6" a="1"/>
  <c r="BY37" i="6" a="1"/>
  <c r="AU37" i="6" a="1"/>
  <c r="BA33" i="6" a="1"/>
  <c r="W36" i="6" a="1"/>
  <c r="C39" i="6" a="1"/>
  <c r="C34" i="6" a="1"/>
  <c r="BA36" i="6" a="1"/>
  <c r="AI4" i="6" a="1"/>
  <c r="D4" i="6" a="1"/>
  <c r="CA4" i="6" a="1"/>
  <c r="BR4" i="6" a="1"/>
  <c r="BS4" i="6" a="1"/>
  <c r="BG4" i="6" a="1"/>
  <c r="Z34" i="6" a="1"/>
  <c r="BO4" i="6" a="1"/>
  <c r="AG4" i="6" a="1"/>
  <c r="J4" i="6" a="1"/>
  <c r="BY28" i="6" a="1"/>
  <c r="BO35" i="6" a="1"/>
  <c r="BF33" i="6" a="1"/>
  <c r="BL39" i="6" a="1"/>
  <c r="BO37" i="6" a="1"/>
  <c r="K34" i="6" a="1"/>
  <c r="K4" i="6" a="1"/>
  <c r="BO33" i="6" a="1"/>
  <c r="AA39" i="6" a="1"/>
  <c r="BJ4" i="6" a="1"/>
  <c r="AV13" i="6" a="1"/>
  <c r="BJ8" i="6" a="1"/>
  <c r="E10" i="6" a="1"/>
  <c r="BT19" i="6" a="1"/>
  <c r="BE17" i="6" a="1"/>
  <c r="AQ12" i="6" a="1"/>
  <c r="AO20" i="6" a="1"/>
  <c r="BA26" i="6" a="1"/>
  <c r="BQ21" i="6" a="1"/>
  <c r="AG23" i="6" a="1"/>
  <c r="E25" i="6" a="1"/>
  <c r="AH30" i="6" a="1"/>
  <c r="BN27" i="6" a="1"/>
  <c r="D28" i="6" a="1"/>
  <c r="Z27" i="6" a="1"/>
  <c r="BP39" i="6" a="1"/>
  <c r="S26" i="6" a="1"/>
  <c r="R34" i="6" a="1"/>
  <c r="BO36" i="6" a="1"/>
  <c r="G37" i="6" a="1"/>
  <c r="BR34" i="6" a="1"/>
  <c r="BM37" i="6" a="1"/>
  <c r="Z39" i="6" a="1"/>
  <c r="AT32" i="6" a="1"/>
  <c r="BE35" i="6" a="1"/>
  <c r="F37" i="6" a="1"/>
  <c r="AC30" i="6" a="1"/>
  <c r="J37" i="6" a="1"/>
  <c r="BH38" i="6" a="1"/>
  <c r="AT37" i="6" a="1"/>
  <c r="AD30" i="6" a="1"/>
  <c r="BG34" i="6" a="1"/>
  <c r="BC39" i="6" a="1"/>
  <c r="BC27" i="6" a="1"/>
  <c r="BT35" i="6" a="1"/>
  <c r="U38" i="6" a="1"/>
  <c r="BL22" i="6" a="1"/>
  <c r="AN30" i="6" a="1"/>
  <c r="BV34" i="6" a="1"/>
  <c r="X39" i="6" a="1"/>
  <c r="BE27" i="6" a="1"/>
  <c r="AH36" i="6" a="1"/>
  <c r="AT38" i="6" a="1"/>
  <c r="BF27" i="6" a="1"/>
  <c r="BK34" i="6" a="1"/>
  <c r="AU38" i="6" a="1"/>
  <c r="AF25" i="6" a="1"/>
  <c r="AX35" i="6" a="1"/>
  <c r="O38" i="6" a="1"/>
  <c r="S39" i="6" a="1"/>
  <c r="BM33" i="6" a="1"/>
  <c r="AK36" i="6" a="1"/>
  <c r="Q26" i="6" a="1"/>
  <c r="Q34" i="6" a="1"/>
  <c r="BM36" i="6" a="1"/>
  <c r="AQ4" i="6" a="1"/>
  <c r="T4" i="6" a="1"/>
  <c r="I4" i="6" a="1"/>
  <c r="AU4" i="6" a="1"/>
  <c r="BE4" i="6" a="1"/>
  <c r="E4" i="6" a="1"/>
  <c r="BK28" i="6" a="1"/>
  <c r="BN4" i="6" a="1"/>
  <c r="W4" i="6" a="1"/>
  <c r="BF35" i="6" a="1"/>
  <c r="AO33" i="6" a="1"/>
  <c r="AS33" i="6" a="1"/>
  <c r="BJ38" i="6" a="1"/>
  <c r="BS37" i="6" a="1"/>
  <c r="BK35" i="6" a="1"/>
  <c r="Y10" i="6" a="1"/>
  <c r="AJ38" i="6" a="1"/>
  <c r="G33" i="6" a="1"/>
  <c r="BV5" i="5" a="1"/>
  <c r="BO13" i="6" a="1"/>
  <c r="AB10" i="6" a="1"/>
  <c r="AF10" i="6" a="1"/>
  <c r="J20" i="6" a="1"/>
  <c r="O18" i="6" a="1"/>
  <c r="BT13" i="6" a="1"/>
  <c r="BU20" i="6" a="1"/>
  <c r="BQ26" i="6" a="1"/>
  <c r="N22" i="6" a="1"/>
  <c r="BD23" i="6" a="1"/>
  <c r="BT25" i="6" a="1"/>
  <c r="BN30" i="6" a="1"/>
  <c r="B28" i="6" a="1"/>
  <c r="E20" i="6" a="1"/>
  <c r="Q30" i="6" a="1"/>
  <c r="BX39" i="6" a="1"/>
  <c r="H28" i="6" a="1"/>
  <c r="AE34" i="6" a="1"/>
  <c r="BG38" i="6" a="1"/>
  <c r="Y38" i="6" a="1"/>
  <c r="R35" i="6" a="1"/>
  <c r="BU37" i="6" a="1"/>
  <c r="BJ32" i="6" a="1"/>
  <c r="P33" i="6" a="1"/>
  <c r="BQ35" i="6" a="1"/>
  <c r="H38" i="6" a="1"/>
  <c r="BS32" i="6" a="1"/>
  <c r="R37" i="6" a="1"/>
  <c r="BP38" i="6" a="1"/>
  <c r="AV38" i="6" a="1"/>
  <c r="BU30" i="6" a="1"/>
  <c r="BU34" i="6" a="1"/>
  <c r="BR38" i="6" a="1"/>
  <c r="AH28" i="6" a="1"/>
  <c r="T36" i="6" a="1"/>
  <c r="AC38" i="6" a="1"/>
  <c r="AD37" i="6" a="1"/>
  <c r="D31" i="6" a="1"/>
  <c r="I35" i="6" a="1"/>
  <c r="BT39" i="6" a="1"/>
  <c r="AJ28" i="6" a="1"/>
  <c r="BH36" i="6" a="1"/>
  <c r="BZ38" i="6" a="1"/>
  <c r="O29" i="6" a="1"/>
  <c r="BW34" i="6" a="1"/>
  <c r="BK38" i="6" a="1"/>
  <c r="D27" i="6" a="1"/>
  <c r="BJ35" i="6" a="1"/>
  <c r="W38" i="6" a="1"/>
  <c r="G22" i="6" a="1"/>
  <c r="CA33" i="6" a="1"/>
  <c r="AW36" i="6" a="1"/>
  <c r="Y27" i="6" a="1"/>
  <c r="AC34" i="6" a="1"/>
  <c r="N37" i="6" a="1"/>
  <c r="AY4" i="6" a="1"/>
  <c r="AB4" i="6" a="1"/>
  <c r="AX4" i="6" a="1"/>
  <c r="AF4" i="6" a="1"/>
  <c r="P4" i="6" a="1"/>
  <c r="AN38" i="6" a="1"/>
  <c r="AV4" i="6" a="1"/>
  <c r="BC34" i="6" a="1"/>
  <c r="AZ4" i="6" a="1"/>
  <c r="AW4" i="6" a="1"/>
  <c r="BZ4" i="6" a="1"/>
  <c r="U20" i="6" a="1"/>
  <c r="AT36" i="6" a="1"/>
  <c r="BM35" i="6" a="1"/>
  <c r="AS4" i="6" a="1"/>
  <c r="AF26" i="6" a="1"/>
  <c r="I34" i="6" a="1"/>
  <c r="BA37" i="6" a="1"/>
  <c r="BH15" i="6" a="1"/>
  <c r="BF38" i="6" a="1"/>
  <c r="V28" i="6" a="1"/>
  <c r="BW39" i="6" a="1"/>
  <c r="AE4" i="6" a="1"/>
  <c r="AM14" i="5" a="1"/>
  <c r="AG4" i="5" a="1"/>
  <c r="W15" i="6" a="1"/>
  <c r="AZ12" i="6" a="1"/>
  <c r="BC12" i="6" a="1"/>
  <c r="U10" i="6" a="1"/>
  <c r="L20" i="6" a="1"/>
  <c r="BG11" i="6" a="1"/>
  <c r="BS23" i="6" a="1"/>
  <c r="AF21" i="6" a="1"/>
  <c r="CA24" i="6" a="1"/>
  <c r="H18" i="6" a="1"/>
  <c r="R29" i="6" a="1"/>
  <c r="AH32" i="6" a="1"/>
  <c r="BP30" i="6" a="1"/>
  <c r="H21" i="6" a="1"/>
  <c r="BI30" i="6" a="1"/>
  <c r="BQ39" i="6" a="1"/>
  <c r="BM28" i="6" a="1"/>
  <c r="AQ34" i="6" a="1"/>
  <c r="BW38" i="6" a="1"/>
  <c r="AI39" i="6" a="1"/>
  <c r="AD35" i="6" a="1"/>
  <c r="C38" i="6" a="1"/>
  <c r="AA35" i="6" a="1"/>
  <c r="AG33" i="6" a="1"/>
  <c r="E36" i="6" a="1"/>
  <c r="R39" i="6" a="1"/>
  <c r="AH33" i="6" a="1"/>
  <c r="Z37" i="6" a="1"/>
  <c r="BX38" i="6" a="1"/>
  <c r="AX39" i="6" a="1"/>
  <c r="AC31" i="6" a="1"/>
  <c r="G35" i="6" a="1"/>
  <c r="AN39" i="6" a="1"/>
  <c r="M29" i="6" a="1"/>
  <c r="AF36" i="6" a="1"/>
  <c r="AK38" i="6" a="1"/>
  <c r="BN39" i="6" a="1"/>
  <c r="AJ31" i="6" a="1"/>
  <c r="U35" i="6" a="1"/>
  <c r="BB33" i="6" a="1"/>
  <c r="BR29" i="6" a="1"/>
  <c r="BT36" i="6" a="1"/>
  <c r="AV39" i="6" a="1"/>
  <c r="AO30" i="6" a="1"/>
  <c r="K35" i="6" a="1"/>
  <c r="CA38" i="6" a="1"/>
  <c r="BQ27" i="6" a="1"/>
  <c r="J36" i="6" a="1"/>
  <c r="AM38" i="6" a="1"/>
  <c r="E27" i="6" a="1"/>
  <c r="M34" i="6" a="1"/>
  <c r="BJ36" i="6" a="1"/>
  <c r="F28" i="6" a="1"/>
  <c r="AP34" i="6" a="1"/>
  <c r="AJ4" i="6" a="1"/>
  <c r="U4" i="6" a="1"/>
  <c r="BB4" i="6" a="1"/>
  <c r="G20" i="6" a="1"/>
  <c r="AK35" i="6" a="1"/>
  <c r="BK37" i="6" a="1"/>
  <c r="AT26" i="6" a="1"/>
  <c r="BS36" i="6" a="1"/>
  <c r="N36" i="6" a="1"/>
  <c r="BC21" i="6" a="1"/>
  <c r="BA39" i="6" a="1"/>
  <c r="P39" i="6" a="1"/>
  <c r="BL34" i="6" a="1"/>
  <c r="AD4" i="6" a="1"/>
  <c r="U4" i="5" a="1"/>
  <c r="AM15" i="6" a="1"/>
  <c r="BZ12" i="6" a="1"/>
  <c r="B13" i="6" a="1"/>
  <c r="F12" i="6" a="1"/>
  <c r="AB20" i="6" a="1"/>
  <c r="CA14" i="6" a="1"/>
  <c r="AC24" i="6" a="1"/>
  <c r="BD21" i="6" a="1"/>
  <c r="U25" i="6" a="1"/>
  <c r="AD19" i="6" a="1"/>
  <c r="BH29" i="6" a="1"/>
  <c r="AG16" i="6" a="1"/>
  <c r="CA30" i="6" a="1"/>
  <c r="BK22" i="6" a="1"/>
  <c r="BN32" i="6" a="1"/>
  <c r="BM39" i="6" a="1"/>
  <c r="AR29" i="6" a="1"/>
  <c r="BE34" i="6" a="1"/>
  <c r="M39" i="6" a="1"/>
  <c r="AN18" i="6" a="1"/>
  <c r="BD35" i="6" a="1"/>
  <c r="K38" i="6" a="1"/>
  <c r="BH30" i="6" a="1"/>
  <c r="AU33" i="6" a="1"/>
  <c r="Q36" i="6" a="1"/>
  <c r="AD29" i="6" a="1"/>
  <c r="BH33" i="6" a="1"/>
  <c r="AH37" i="6" a="1"/>
  <c r="F39" i="6" a="1"/>
  <c r="I27" i="6" a="1"/>
  <c r="BI31" i="6" a="1"/>
  <c r="T35" i="6" a="1"/>
  <c r="AW39" i="6" a="1"/>
  <c r="BP29" i="6" a="1"/>
  <c r="BF36" i="6" a="1"/>
  <c r="AS38" i="6" a="1"/>
  <c r="AE32" i="6" a="1"/>
  <c r="BP31" i="6" a="1"/>
  <c r="AI35" i="6" a="1"/>
  <c r="Z35" i="6" a="1"/>
  <c r="BB32" i="6" a="1"/>
  <c r="D37" i="6" a="1"/>
  <c r="BS27" i="6" a="1"/>
  <c r="E31" i="6" a="1"/>
  <c r="W35" i="6" a="1"/>
  <c r="Q39" i="6" a="1"/>
  <c r="AV28" i="6" a="1"/>
  <c r="AJ36" i="6" a="1"/>
  <c r="BC38" i="6" a="1"/>
  <c r="BR27" i="6" a="1"/>
  <c r="BF39" i="6" a="1"/>
  <c r="AE39" i="6" a="1"/>
  <c r="BL33" i="6" a="1"/>
  <c r="BD4" i="6" a="1"/>
  <c r="O36" i="6" a="1"/>
  <c r="V35" i="6" a="1"/>
  <c r="BJ29" i="6" a="1"/>
  <c r="AR36" i="6" a="1"/>
  <c r="Y34" i="6" a="1"/>
  <c r="AJ5" i="6" a="1"/>
  <c r="F8" i="6" a="1"/>
  <c r="AI9" i="6" a="1"/>
  <c r="J10" i="6" a="1"/>
  <c r="BJ16" i="6" a="1"/>
  <c r="AS10" i="6" a="1"/>
  <c r="BN18" i="6" a="1"/>
  <c r="T26" i="6" a="1"/>
  <c r="AP24" i="6" a="1"/>
  <c r="BS16" i="6" a="1"/>
  <c r="C24" i="6" a="1"/>
  <c r="AU27" i="6" a="1"/>
  <c r="BZ27" i="6" a="1"/>
  <c r="BP19" i="6" a="1"/>
  <c r="BI28" i="6" a="1"/>
  <c r="BP34" i="6" a="1"/>
  <c r="H27" i="6" a="1"/>
  <c r="R30" i="6" a="1"/>
  <c r="BQ34" i="6" a="1"/>
  <c r="AC39" i="6" a="1"/>
  <c r="AP26" i="6" a="1"/>
  <c r="D36" i="6" a="1"/>
  <c r="S38" i="6" a="1"/>
  <c r="CA37" i="6" a="1"/>
  <c r="BG33" i="6" a="1"/>
  <c r="AD36" i="6" a="1"/>
  <c r="B34" i="6" a="1"/>
  <c r="H34" i="6" a="1"/>
  <c r="AP37" i="6" a="1"/>
  <c r="N39" i="6" a="1"/>
  <c r="CA34" i="6" a="1"/>
  <c r="O32" i="6" a="1"/>
  <c r="AG35" i="6" a="1"/>
  <c r="AC29" i="6" a="1"/>
  <c r="AM30" i="6" a="1"/>
  <c r="C37" i="6" a="1"/>
  <c r="BA38" i="6" a="1"/>
  <c r="AA34" i="6" a="1"/>
  <c r="V32" i="6" a="1"/>
  <c r="AU35" i="6" a="1"/>
  <c r="AL37" i="6" a="1"/>
  <c r="W33" i="6" a="1"/>
  <c r="L37" i="6" a="1"/>
  <c r="BL35" i="6" a="1"/>
  <c r="AK31" i="6" a="1"/>
  <c r="AJ35" i="6" a="1"/>
  <c r="AO39" i="6" a="1"/>
  <c r="AA29" i="6" a="1"/>
  <c r="AV36" i="6" a="1"/>
  <c r="BS38" i="6" a="1"/>
  <c r="AW28" i="6" a="1"/>
  <c r="AM34" i="6" a="1"/>
  <c r="Y33" i="6" a="1"/>
  <c r="AP29" i="6" a="1"/>
  <c r="BO34" i="6" a="1"/>
  <c r="M31" i="6" a="1"/>
  <c r="BW4" i="6" a="1"/>
  <c r="BP4" i="6" a="1"/>
  <c r="AC4" i="6" a="1"/>
  <c r="F4" i="6" a="1"/>
  <c r="BF4" i="6" a="1"/>
  <c r="L36" i="6" a="1"/>
  <c r="O35" i="6" a="1"/>
  <c r="AH4" i="6" a="1"/>
  <c r="AL4" i="6" a="1"/>
  <c r="L4" i="6" a="1"/>
  <c r="E39" i="6" a="1"/>
  <c r="BW33" i="6" a="1"/>
  <c r="BN35" i="6" a="1"/>
  <c r="AY39" i="6" a="1"/>
  <c r="P21" i="6" a="1"/>
  <c r="BT30" i="6" a="1"/>
  <c r="W34" i="6" a="1"/>
  <c r="AQ33" i="6" a="1"/>
  <c r="AZ21" i="6" a="1"/>
  <c r="AO37" i="6" a="1"/>
  <c r="H35" i="6" a="1"/>
  <c r="AO34" i="6" a="1"/>
  <c r="H13" i="5" a="1"/>
  <c r="H7" i="6" a="1"/>
  <c r="P9" i="6" a="1"/>
  <c r="BN9" i="6" a="1"/>
  <c r="AI10" i="6" a="1"/>
  <c r="U17" i="6" a="1"/>
  <c r="S12" i="6" a="1"/>
  <c r="S19" i="6" a="1"/>
  <c r="AJ26" i="6" a="1"/>
  <c r="BY24" i="6" a="1"/>
  <c r="AE18" i="6" a="1"/>
  <c r="Z24" i="6" a="1"/>
  <c r="BW27" i="6" a="1"/>
  <c r="AQ28" i="6" a="1"/>
  <c r="AK27" i="6" a="1"/>
  <c r="BX28" i="6" a="1"/>
  <c r="BB35" i="6" a="1"/>
  <c r="AX36" i="6" a="1"/>
  <c r="BJ30" i="6" a="1"/>
  <c r="D35" i="6" a="1"/>
  <c r="AS39" i="6" a="1"/>
  <c r="AO27" i="6" a="1"/>
  <c r="P36" i="6" a="1"/>
  <c r="AA38" i="6" a="1"/>
  <c r="K39" i="6" a="1"/>
  <c r="BT33" i="6" a="1"/>
  <c r="AQ36" i="6" a="1"/>
  <c r="Y36" i="6" a="1"/>
  <c r="T34" i="6" a="1"/>
  <c r="AX37" i="6" a="1"/>
  <c r="V39" i="6" a="1"/>
  <c r="BJ28" i="6" a="1"/>
  <c r="AU32" i="6" a="1"/>
  <c r="AS35" i="6" a="1"/>
  <c r="BR37" i="6" a="1"/>
  <c r="AX32" i="6" a="1"/>
  <c r="K37" i="6" a="1"/>
  <c r="BI38" i="6" a="1"/>
  <c r="AZ35" i="6" a="1"/>
  <c r="BZ32" i="6" a="1"/>
  <c r="BH35" i="6" a="1"/>
  <c r="BD38" i="6" a="1"/>
  <c r="AL33" i="6" a="1"/>
  <c r="T37" i="6" a="1"/>
  <c r="P38" i="6" a="1"/>
  <c r="BQ31" i="6" a="1"/>
  <c r="AW35" i="6" a="1"/>
  <c r="AX28" i="6" a="1"/>
  <c r="C30" i="6" a="1"/>
  <c r="BV36" i="6" a="1"/>
  <c r="I39" i="6" a="1"/>
  <c r="AB29" i="6" a="1"/>
  <c r="AY34" i="6" a="1"/>
  <c r="AZ34" i="6" a="1"/>
  <c r="T31" i="6" a="1"/>
  <c r="C35" i="6" a="1"/>
  <c r="BN34" i="6" a="1"/>
  <c r="BT4" i="6" a="1"/>
  <c r="AM4" i="6" a="1"/>
  <c r="AK4" i="6" a="1"/>
  <c r="V4" i="6" a="1"/>
  <c r="H4" i="6" a="1"/>
  <c r="BM34" i="6" a="1"/>
  <c r="BK36" i="6" a="1"/>
  <c r="AN4" i="6" a="1"/>
  <c r="BQ4" i="6" a="1"/>
  <c r="B4" i="6" a="1"/>
  <c r="BR39" i="6" a="1"/>
  <c r="BZ33" i="6" a="1"/>
  <c r="BW32" i="6" a="1"/>
  <c r="AB38" i="6" a="1"/>
  <c r="BX37" i="6" a="1"/>
  <c r="BY4" i="6" a="1"/>
  <c r="N31" i="6" a="1"/>
  <c r="AP18" i="6" a="1"/>
  <c r="AB31" i="6" a="1"/>
  <c r="BR36" i="6" a="1"/>
  <c r="AV35" i="6" a="1"/>
  <c r="BD33" i="6" a="1"/>
  <c r="AN6" i="6" a="1"/>
  <c r="AW12" i="6" a="1"/>
  <c r="AM13" i="6" a="1"/>
  <c r="BF12" i="6" a="1"/>
  <c r="T11" i="6" a="1"/>
  <c r="BM16" i="6" a="1"/>
  <c r="BH16" i="6" a="1"/>
  <c r="Q17" i="6" a="1"/>
  <c r="AE20" i="6" a="1"/>
  <c r="BY23" i="6" a="1"/>
  <c r="AR27" i="6" a="1"/>
  <c r="BB30" i="6" a="1"/>
  <c r="BQ20" i="6" a="1"/>
  <c r="AZ27" i="6" a="1"/>
  <c r="L29" i="6" a="1"/>
  <c r="BN36" i="6" a="1"/>
  <c r="B39" i="6" a="1"/>
  <c r="U31" i="6" a="1"/>
  <c r="Q35" i="6" a="1"/>
  <c r="BI39" i="6" a="1"/>
  <c r="T28" i="6" a="1"/>
  <c r="AP36" i="6" a="1"/>
  <c r="AI38" i="6" a="1"/>
  <c r="F20" i="6" a="1"/>
  <c r="G34" i="6" a="1"/>
  <c r="BC36" i="6" a="1"/>
  <c r="P30" i="6" a="1"/>
  <c r="AT34" i="6" a="1"/>
  <c r="BF37" i="6" a="1"/>
  <c r="AD39" i="6" a="1"/>
  <c r="N35" i="6" a="1"/>
  <c r="BV32" i="6" a="1"/>
  <c r="BG35" i="6" a="1"/>
  <c r="J39" i="6" a="1"/>
  <c r="T33" i="6" a="1"/>
  <c r="S37" i="6" a="1"/>
  <c r="BQ38" i="6" a="1"/>
  <c r="AP33" i="6" a="1"/>
  <c r="V33" i="6" a="1"/>
  <c r="BU35" i="6" a="1"/>
  <c r="BV39" i="6" a="1"/>
  <c r="AX33" i="6" a="1"/>
  <c r="AB37" i="6" a="1"/>
  <c r="BT27" i="6" a="1"/>
  <c r="W32" i="6" a="1"/>
  <c r="BI35" i="6" a="1"/>
  <c r="X36" i="6" a="1"/>
  <c r="BC32" i="6" a="1"/>
  <c r="E37" i="6" a="1"/>
  <c r="AG39" i="6" a="1"/>
  <c r="D30" i="6" a="1"/>
  <c r="AZ31" i="6" a="1"/>
  <c r="BA4" i="6" a="1"/>
  <c r="AD33" i="6" a="1"/>
  <c r="I33" i="6" a="1"/>
  <c r="AY28" i="6" a="1"/>
  <c r="AW38" i="6" a="1"/>
  <c r="E33" i="6" a="1"/>
  <c r="U28" i="6" a="1"/>
  <c r="AI34" i="6" a="1"/>
  <c r="AA36" i="6" a="1"/>
  <c r="BT11" i="5" a="1"/>
  <c r="AX7" i="6" a="1"/>
  <c r="W13" i="6" a="1"/>
  <c r="BK8" i="6" a="1"/>
  <c r="F13" i="6" a="1"/>
  <c r="I15" i="6" a="1"/>
  <c r="L17" i="6" a="1"/>
  <c r="G17" i="6" a="1"/>
  <c r="R18" i="6" a="1"/>
  <c r="BK20" i="6" a="1"/>
  <c r="AG24" i="6" a="1"/>
  <c r="I28" i="6" a="1"/>
  <c r="BW30" i="6" a="1"/>
  <c r="AE23" i="6" a="1"/>
  <c r="C28" i="6" a="1"/>
  <c r="AL30" i="6" a="1"/>
  <c r="BZ36" i="6" a="1"/>
  <c r="AS31" i="6" a="1"/>
  <c r="BA31" i="6" a="1"/>
  <c r="AC35" i="6" a="1"/>
  <c r="AN34" i="6" a="1"/>
  <c r="BC29" i="6" a="1"/>
  <c r="BP36" i="6" a="1"/>
  <c r="AQ38" i="6" a="1"/>
  <c r="X24" i="6" a="1"/>
  <c r="S34" i="6" a="1"/>
  <c r="BQ36" i="6" a="1"/>
  <c r="BB34" i="6" a="1"/>
  <c r="BT34" i="6" a="1"/>
  <c r="BN37" i="6" a="1"/>
  <c r="AL39" i="6" a="1"/>
  <c r="O37" i="6" a="1"/>
  <c r="Q33" i="6" a="1"/>
  <c r="BS35" i="6" a="1"/>
  <c r="BL25" i="6" a="1"/>
  <c r="AJ33" i="6" a="1"/>
  <c r="AA37" i="6" a="1"/>
  <c r="BY38" i="6" a="1"/>
  <c r="BL36" i="6" a="1"/>
  <c r="AK33" i="6" a="1"/>
  <c r="G36" i="6" a="1"/>
  <c r="BY31" i="6" a="1"/>
  <c r="BX33" i="6" a="1"/>
  <c r="AJ37" i="6" a="1"/>
  <c r="BC33" i="6" a="1"/>
  <c r="CA32" i="6" a="1"/>
  <c r="BW35" i="6" a="1"/>
  <c r="BL38" i="6" a="1"/>
  <c r="D33" i="6" a="1"/>
  <c r="M37" i="6" a="1"/>
  <c r="BN33" i="6" a="1"/>
  <c r="AX30" i="6" a="1"/>
  <c r="BY34" i="6" a="1"/>
  <c r="BB37" i="6" a="1"/>
  <c r="F32" i="6" a="1"/>
  <c r="AB35" i="6" a="1"/>
  <c r="X27" i="6" a="1"/>
  <c r="AE36" i="6" a="1"/>
  <c r="BH37" i="6" a="1"/>
  <c r="BX4" i="6" a="1"/>
  <c r="BV30" i="6" a="1"/>
  <c r="Q38" i="6" a="1"/>
  <c r="BF32" i="6" a="1"/>
  <c r="AC7" i="6" a="1"/>
  <c r="BG39" i="6" a="1"/>
  <c r="AQ39" i="6" a="1"/>
  <c r="BC37" i="6" a="1"/>
  <c r="BP10" i="5" a="1"/>
  <c r="Z6" i="6" a="1"/>
  <c r="AZ11" i="6" a="1"/>
  <c r="AP11" i="6" a="1"/>
  <c r="AF5" i="6" a="1"/>
  <c r="BS18" i="6" a="1"/>
  <c r="AG11" i="6" a="1"/>
  <c r="C15" i="6" a="1"/>
  <c r="BY21" i="6" a="1"/>
  <c r="BW23" i="6" a="1"/>
  <c r="C21" i="6" a="1"/>
  <c r="BX18" i="6" a="1"/>
  <c r="AG32" i="6" a="1"/>
  <c r="AR28" i="6" a="1"/>
  <c r="J31" i="6" a="1"/>
  <c r="AA31" i="6" a="1"/>
  <c r="H37" i="6" a="1"/>
  <c r="AB33" i="6" a="1"/>
  <c r="G32" i="6" a="1"/>
  <c r="AQ35" i="6" a="1"/>
  <c r="BX36" i="6" a="1"/>
  <c r="AB30" i="6" a="1"/>
  <c r="CA36" i="6" a="1"/>
  <c r="AY38" i="6" a="1"/>
  <c r="AQ26" i="6" a="1"/>
  <c r="AG34" i="6" a="1"/>
  <c r="BB39" i="6" a="1"/>
  <c r="W37" i="6" a="1"/>
  <c r="F35" i="6" a="1"/>
  <c r="BV37" i="6" a="1"/>
  <c r="AT39" i="6" a="1"/>
  <c r="AG38" i="6" a="1"/>
  <c r="AI33" i="6" a="1"/>
  <c r="F36" i="6" a="1"/>
  <c r="H33" i="6" a="1"/>
  <c r="BJ33" i="6" a="1"/>
  <c r="AI37" i="6" a="1"/>
  <c r="G39" i="6" a="1"/>
  <c r="BE38" i="6" a="1"/>
  <c r="AW33" i="6" a="1"/>
  <c r="U36" i="6" a="1"/>
  <c r="BA34" i="6" a="1"/>
  <c r="X34" i="6" a="1"/>
  <c r="AR37" i="6" a="1"/>
  <c r="BY35" i="6" a="1"/>
  <c r="AM33" i="6" a="1"/>
  <c r="I36" i="6" a="1"/>
  <c r="E30" i="6" a="1"/>
  <c r="X33" i="6" a="1"/>
  <c r="U37" i="6" a="1"/>
  <c r="BZ34" i="6" a="1"/>
  <c r="L31" i="6" a="1"/>
  <c r="L35" i="6" a="1"/>
  <c r="BT38" i="6" a="1"/>
  <c r="AL32" i="6" a="1"/>
  <c r="AO35" i="6" a="1"/>
  <c r="AM37" i="6" a="1"/>
  <c r="AR4" i="6" a="1"/>
  <c r="BI33" i="6" a="1"/>
  <c r="AI36" i="6" a="1"/>
  <c r="AO4" i="6" a="1"/>
  <c r="BP32" i="6" a="1"/>
  <c r="BE36" i="6" a="1"/>
  <c r="AZ36" i="6" a="1"/>
  <c r="N4" i="6" a="1"/>
  <c r="AW22" i="6" a="1"/>
  <c r="AC36" i="6" a="1"/>
  <c r="U34" i="6" a="1"/>
  <c r="F38" i="6" a="1"/>
  <c r="S4" i="6" a="1"/>
  <c r="BD10" i="5" a="1"/>
  <c r="AC8" i="6" a="1"/>
  <c r="BY11" i="6" a="1"/>
  <c r="BP11" i="6" a="1"/>
  <c r="F11" i="6" a="1"/>
  <c r="W19" i="6" a="1"/>
  <c r="AW14" i="6" a="1"/>
  <c r="AT16" i="6" a="1"/>
  <c r="V22" i="6" a="1"/>
  <c r="T24" i="6" a="1"/>
  <c r="AV21" i="6" a="1"/>
  <c r="AJ21" i="6" a="1"/>
  <c r="AW32" i="6" a="1"/>
  <c r="BT28" i="6" a="1"/>
  <c r="R31" i="6" a="1"/>
  <c r="AI31" i="6" a="1"/>
  <c r="BL37" i="6" a="1"/>
  <c r="M35" i="6" a="1"/>
  <c r="AM32" i="6" a="1"/>
  <c r="BC35" i="6" a="1"/>
  <c r="BJ37" i="6" a="1"/>
  <c r="BS30" i="6" a="1"/>
  <c r="I37" i="6" a="1"/>
  <c r="BO38" i="6" a="1"/>
  <c r="AP27" i="6" a="1"/>
  <c r="AS34" i="6" a="1"/>
  <c r="BZ39" i="6" a="1"/>
  <c r="BU38" i="6" a="1"/>
  <c r="AF35" i="6" a="1"/>
  <c r="D38" i="6" a="1"/>
  <c r="BJ39" i="6" a="1"/>
  <c r="BO39" i="6" a="1"/>
  <c r="AV33" i="6" a="1"/>
  <c r="S36" i="6" a="1"/>
  <c r="AM35" i="6" a="1"/>
  <c r="BV33" i="6" a="1"/>
  <c r="AQ37" i="6" a="1"/>
  <c r="W39" i="6" a="1"/>
  <c r="W21" i="6" a="1"/>
  <c r="BK33" i="6" a="1"/>
  <c r="AG36" i="6" a="1"/>
  <c r="AL36" i="6" a="1"/>
  <c r="AJ34" i="6" a="1"/>
  <c r="AZ37" i="6" a="1"/>
  <c r="P34" i="6" a="1"/>
  <c r="AY33" i="6" a="1"/>
  <c r="V36" i="6" a="1"/>
  <c r="O34" i="6" a="1"/>
  <c r="AZ33" i="6" a="1"/>
  <c r="AC37" i="6" a="1"/>
  <c r="V37" i="6" a="1"/>
  <c r="AR31" i="6" a="1"/>
  <c r="Y35" i="6" a="1"/>
  <c r="BN22" i="6" a="1"/>
  <c r="BK32" i="6" a="1"/>
  <c r="BA35" i="6" a="1"/>
  <c r="AO38" i="6" a="1"/>
  <c r="BH4" i="6" a="1"/>
  <c r="M4" i="6" a="1"/>
  <c r="BL4" i="6" a="1"/>
  <c r="BK4" i="6" a="1"/>
  <c r="E28" i="6" a="1"/>
  <c r="BK39" i="6" a="1"/>
  <c r="AY37" i="6" a="1"/>
  <c r="BT24" i="6" a="1"/>
  <c r="BJ34" i="6" a="1"/>
  <c r="AK37" i="6" a="1"/>
  <c r="M22" i="6" a="1"/>
  <c r="AQ27" i="6" a="1"/>
  <c r="AY30" i="6" a="1"/>
  <c r="AV26" i="6" a="1"/>
  <c r="BE33" i="6" a="1"/>
  <c r="AF39" i="6" a="1"/>
  <c r="N38" i="6" a="1"/>
  <c r="BX35" i="6" a="1"/>
  <c r="BA9" i="5" a="1"/>
  <c r="BV11" i="6" a="1"/>
  <c r="F14" i="6" a="1"/>
  <c r="BZ13" i="6" a="1"/>
  <c r="AU16" i="6" a="1"/>
  <c r="BO20" i="6" a="1"/>
  <c r="AC16" i="6" a="1"/>
  <c r="AY21" i="6" a="1"/>
  <c r="R25" i="6" a="1"/>
  <c r="F26" i="6" a="1"/>
  <c r="AH24" i="6" a="1"/>
  <c r="BV27" i="6" a="1"/>
  <c r="AU24" i="6" a="1"/>
  <c r="Y31" i="6" a="1"/>
  <c r="Z31" i="6" a="1"/>
  <c r="AQ31" i="6" a="1"/>
  <c r="J38" i="6" a="1"/>
  <c r="O33" i="6" a="1"/>
  <c r="BP35" i="6" a="1"/>
  <c r="AF38" i="6" a="1"/>
  <c r="BR32" i="6" a="1"/>
  <c r="Q37" i="6" a="1"/>
  <c r="BF34" i="6" a="1"/>
  <c r="V34" i="6" a="1"/>
  <c r="BP33" i="6" a="1"/>
  <c r="X38" i="6" a="1"/>
  <c r="AH29" i="6" a="1"/>
  <c r="E35" i="6" a="1"/>
  <c r="BD27" i="6" a="1"/>
  <c r="AB34" i="6" a="1"/>
  <c r="E12" i="6" a="1"/>
  <c r="F34" i="6" a="1"/>
  <c r="AI28" i="6" a="1"/>
  <c r="BY36" i="6" a="1"/>
  <c r="AO9" i="5" a="1"/>
  <c r="BH12" i="6" a="1"/>
  <c r="V14" i="6" a="1"/>
  <c r="P14" i="6" a="1"/>
  <c r="BU16" i="6" a="1"/>
  <c r="E21" i="6" a="1"/>
  <c r="BB16" i="6" a="1"/>
  <c r="I22" i="6" a="1"/>
  <c r="AP13" i="6" a="1"/>
  <c r="V26" i="6" a="1"/>
  <c r="BR24" i="6" a="1"/>
  <c r="X28" i="6" a="1"/>
  <c r="AE26" i="6" a="1"/>
  <c r="AO31" i="6" a="1"/>
  <c r="BH32" i="6" a="1"/>
  <c r="U32" i="6" a="1"/>
  <c r="AP38" i="6" a="1"/>
  <c r="B35" i="6" a="1"/>
  <c r="AF33" i="6" a="1"/>
  <c r="C36" i="6" a="1"/>
  <c r="AH39" i="6" a="1"/>
  <c r="AT33" i="6" a="1"/>
  <c r="Y37" i="6" a="1"/>
  <c r="U39" i="6" a="1"/>
  <c r="BD29" i="6" a="1"/>
  <c r="BS34" i="6" a="1"/>
  <c r="H39" i="6" a="1"/>
  <c r="Y24" i="6" a="1"/>
  <c r="BR35" i="6" a="1"/>
  <c r="T38" i="6" a="1"/>
  <c r="BS39" i="6" a="1"/>
  <c r="AU26" i="6" a="1"/>
  <c r="BU33" i="6" a="1"/>
  <c r="AS36" i="6" a="1"/>
  <c r="Z36" i="6" a="1"/>
  <c r="AV34" i="6" a="1"/>
  <c r="BG37" i="6" a="1"/>
  <c r="AU39" i="6" a="1"/>
  <c r="BM26" i="6" a="1"/>
  <c r="J34" i="6" a="1"/>
  <c r="BG36" i="6" a="1"/>
  <c r="BZ35" i="6" a="1"/>
  <c r="J35" i="6" a="1"/>
  <c r="BP37" i="6" a="1"/>
  <c r="AE37" i="6" a="1"/>
  <c r="BY33" i="6" a="1"/>
  <c r="AU36" i="6" a="1"/>
  <c r="AO29" i="6" a="1"/>
  <c r="L34" i="6" a="1"/>
  <c r="AS37" i="6" a="1"/>
  <c r="AP39" i="6" a="1"/>
  <c r="AD32" i="6" a="1"/>
  <c r="AY35" i="6" a="1"/>
  <c r="AY36" i="6" a="1"/>
  <c r="AE33" i="6" a="1"/>
  <c r="CA35" i="6" a="1"/>
  <c r="C4" i="6" a="1"/>
  <c r="BC4" i="6" a="1"/>
  <c r="BI4" i="6" a="1"/>
  <c r="Z4" i="6" a="1"/>
  <c r="BU4" i="6" a="1"/>
  <c r="AK8" i="5" a="1"/>
  <c r="AT9" i="6" a="1"/>
  <c r="BD15" i="6" a="1"/>
  <c r="AQ6" i="6" a="1"/>
  <c r="T10" i="6" a="1"/>
  <c r="AB15" i="6" a="1"/>
  <c r="AU8" i="6" a="1"/>
  <c r="BB19" i="6" a="1"/>
  <c r="AX38" i="6" a="1"/>
  <c r="AG37" i="6" a="1"/>
  <c r="AK39" i="6" a="1"/>
  <c r="R36" i="6" a="1"/>
  <c r="CA39" i="6" a="1"/>
  <c r="AL34" i="6" a="1"/>
  <c r="BV4" i="6" a="1"/>
  <c r="AS11" i="6" a="1"/>
  <c r="BX32" i="6" a="1"/>
  <c r="S35" i="6" a="1"/>
  <c r="BW37" i="6" a="1"/>
  <c r="BU36" i="6" a="1"/>
  <c r="Y4" i="6" a="1"/>
  <c r="Y4" i="6" l="1"/>
  <c r="BU36" i="6"/>
  <c r="BW37" i="6"/>
  <c r="S35" i="6"/>
  <c r="BX32" i="6"/>
  <c r="AS11" i="6"/>
  <c r="BV4" i="6"/>
  <c r="AL34" i="6"/>
  <c r="CA39" i="6"/>
  <c r="R36" i="6"/>
  <c r="AK39" i="6"/>
  <c r="AG37" i="6"/>
  <c r="AX38" i="6"/>
  <c r="BB19" i="6"/>
  <c r="AU8" i="6"/>
  <c r="AB15" i="6"/>
  <c r="T10" i="6"/>
  <c r="AQ6" i="6"/>
  <c r="BD15" i="6"/>
  <c r="AT9" i="6"/>
  <c r="AK8" i="5"/>
  <c r="BU4" i="6"/>
  <c r="Z4" i="6"/>
  <c r="BI4" i="6"/>
  <c r="BC4" i="6"/>
  <c r="C4" i="6"/>
  <c r="CA35" i="6"/>
  <c r="AE33" i="6"/>
  <c r="AY36" i="6"/>
  <c r="AY35" i="6"/>
  <c r="AD32" i="6"/>
  <c r="AP39" i="6"/>
  <c r="AS37" i="6"/>
  <c r="L34" i="6"/>
  <c r="AO29" i="6"/>
  <c r="AU36" i="6"/>
  <c r="BY33" i="6"/>
  <c r="AE37" i="6"/>
  <c r="BP37" i="6"/>
  <c r="J35" i="6"/>
  <c r="BZ35" i="6"/>
  <c r="BG36" i="6"/>
  <c r="J34" i="6"/>
  <c r="BM26" i="6"/>
  <c r="AU39" i="6"/>
  <c r="BG37" i="6"/>
  <c r="AV34" i="6"/>
  <c r="Z36" i="6"/>
  <c r="AS36" i="6"/>
  <c r="BU33" i="6"/>
  <c r="AU26" i="6"/>
  <c r="BS39" i="6"/>
  <c r="T38" i="6"/>
  <c r="BR35" i="6"/>
  <c r="Y24" i="6"/>
  <c r="H39" i="6"/>
  <c r="BS34" i="6"/>
  <c r="BD29" i="6"/>
  <c r="U39" i="6"/>
  <c r="Y37" i="6"/>
  <c r="AT33" i="6"/>
  <c r="AH39" i="6"/>
  <c r="C36" i="6"/>
  <c r="AF33" i="6"/>
  <c r="B35" i="6"/>
  <c r="AP38" i="6"/>
  <c r="U32" i="6"/>
  <c r="BH32" i="6"/>
  <c r="AO31" i="6"/>
  <c r="AE26" i="6"/>
  <c r="X28" i="6"/>
  <c r="BR24" i="6"/>
  <c r="V26" i="6"/>
  <c r="AP13" i="6"/>
  <c r="I22" i="6"/>
  <c r="BB16" i="6"/>
  <c r="E21" i="6"/>
  <c r="BU16" i="6"/>
  <c r="P14" i="6"/>
  <c r="V14" i="6"/>
  <c r="BH12" i="6"/>
  <c r="AO9" i="5"/>
  <c r="BY36" i="6"/>
  <c r="AI28" i="6"/>
  <c r="F34" i="6"/>
  <c r="E12" i="6"/>
  <c r="AB34" i="6"/>
  <c r="BD27" i="6"/>
  <c r="E35" i="6"/>
  <c r="AH29" i="6"/>
  <c r="X38" i="6"/>
  <c r="BP33" i="6"/>
  <c r="V34" i="6"/>
  <c r="BF34" i="6"/>
  <c r="Q37" i="6"/>
  <c r="BR32" i="6"/>
  <c r="AF38" i="6"/>
  <c r="BP35" i="6"/>
  <c r="O33" i="6"/>
  <c r="J38" i="6"/>
  <c r="AQ31" i="6"/>
  <c r="Z31" i="6"/>
  <c r="Y31" i="6"/>
  <c r="AU24" i="6"/>
  <c r="BV27" i="6"/>
  <c r="AH24" i="6"/>
  <c r="F26" i="6"/>
  <c r="R25" i="6"/>
  <c r="AY21" i="6"/>
  <c r="AC16" i="6"/>
  <c r="BO20" i="6"/>
  <c r="AU16" i="6"/>
  <c r="BZ13" i="6"/>
  <c r="F14" i="6"/>
  <c r="BV11" i="6"/>
  <c r="BA9" i="5"/>
  <c r="BX35" i="6"/>
  <c r="N38" i="6"/>
  <c r="AF39" i="6"/>
  <c r="BE33" i="6"/>
  <c r="AV26" i="6"/>
  <c r="AY30" i="6"/>
  <c r="AQ27" i="6"/>
  <c r="M22" i="6"/>
  <c r="AK37" i="6"/>
  <c r="BJ34" i="6"/>
  <c r="BT24" i="6"/>
  <c r="AY37" i="6"/>
  <c r="BK39" i="6"/>
  <c r="E28" i="6"/>
  <c r="BK4" i="6"/>
  <c r="BL4" i="6"/>
  <c r="M4" i="6"/>
  <c r="BH4" i="6"/>
  <c r="AO38" i="6"/>
  <c r="BA35" i="6"/>
  <c r="BK32" i="6"/>
  <c r="BN22" i="6"/>
  <c r="Y35" i="6"/>
  <c r="AR31" i="6"/>
  <c r="V37" i="6"/>
  <c r="AC37" i="6"/>
  <c r="AZ33" i="6"/>
  <c r="O34" i="6"/>
  <c r="V36" i="6"/>
  <c r="AY33" i="6"/>
  <c r="P34" i="6"/>
  <c r="AZ37" i="6"/>
  <c r="AJ34" i="6"/>
  <c r="AL36" i="6"/>
  <c r="AG36" i="6"/>
  <c r="BK33" i="6"/>
  <c r="W21" i="6"/>
  <c r="W39" i="6"/>
  <c r="AQ37" i="6"/>
  <c r="BV33" i="6"/>
  <c r="AM35" i="6"/>
  <c r="S36" i="6"/>
  <c r="AV33" i="6"/>
  <c r="BO39" i="6"/>
  <c r="BJ39" i="6"/>
  <c r="D38" i="6"/>
  <c r="AF35" i="6"/>
  <c r="BU38" i="6"/>
  <c r="BZ39" i="6"/>
  <c r="AS34" i="6"/>
  <c r="AP27" i="6"/>
  <c r="BO38" i="6"/>
  <c r="I37" i="6"/>
  <c r="BS30" i="6"/>
  <c r="BJ37" i="6"/>
  <c r="BC35" i="6"/>
  <c r="AM32" i="6"/>
  <c r="M35" i="6"/>
  <c r="BL37" i="6"/>
  <c r="AI31" i="6"/>
  <c r="R31" i="6"/>
  <c r="BT28" i="6"/>
  <c r="AW32" i="6"/>
  <c r="AJ21" i="6"/>
  <c r="AV21" i="6"/>
  <c r="T24" i="6"/>
  <c r="V22" i="6"/>
  <c r="AT16" i="6"/>
  <c r="AW14" i="6"/>
  <c r="W19" i="6"/>
  <c r="F11" i="6"/>
  <c r="BP11" i="6"/>
  <c r="BY11" i="6"/>
  <c r="AC8" i="6"/>
  <c r="BD10" i="5"/>
  <c r="S4" i="6"/>
  <c r="F38" i="6"/>
  <c r="U34" i="6"/>
  <c r="AC36" i="6"/>
  <c r="AW22" i="6"/>
  <c r="N4" i="6"/>
  <c r="AZ36" i="6"/>
  <c r="BE36" i="6"/>
  <c r="BP32" i="6"/>
  <c r="AO4" i="6"/>
  <c r="AI36" i="6"/>
  <c r="BI33" i="6"/>
  <c r="AR4" i="6"/>
  <c r="AM37" i="6"/>
  <c r="AO35" i="6"/>
  <c r="AL32" i="6"/>
  <c r="BT38" i="6"/>
  <c r="L35" i="6"/>
  <c r="L31" i="6"/>
  <c r="BZ34" i="6"/>
  <c r="U37" i="6"/>
  <c r="X33" i="6"/>
  <c r="E30" i="6"/>
  <c r="I36" i="6"/>
  <c r="AM33" i="6"/>
  <c r="BY35" i="6"/>
  <c r="AR37" i="6"/>
  <c r="X34" i="6"/>
  <c r="BA34" i="6"/>
  <c r="U36" i="6"/>
  <c r="AW33" i="6"/>
  <c r="BE38" i="6"/>
  <c r="G39" i="6"/>
  <c r="AI37" i="6"/>
  <c r="BJ33" i="6"/>
  <c r="H33" i="6"/>
  <c r="F36" i="6"/>
  <c r="AI33" i="6"/>
  <c r="AG38" i="6"/>
  <c r="AT39" i="6"/>
  <c r="BV37" i="6"/>
  <c r="F35" i="6"/>
  <c r="W37" i="6"/>
  <c r="BB39" i="6"/>
  <c r="AG34" i="6"/>
  <c r="AQ26" i="6"/>
  <c r="AY38" i="6"/>
  <c r="CA36" i="6"/>
  <c r="AB30" i="6"/>
  <c r="BX36" i="6"/>
  <c r="AQ35" i="6"/>
  <c r="G32" i="6"/>
  <c r="AB33" i="6"/>
  <c r="H37" i="6"/>
  <c r="AA31" i="6"/>
  <c r="J31" i="6"/>
  <c r="AR28" i="6"/>
  <c r="AG32" i="6"/>
  <c r="BX18" i="6"/>
  <c r="C21" i="6"/>
  <c r="BW23" i="6"/>
  <c r="BY21" i="6"/>
  <c r="C15" i="6"/>
  <c r="AG11" i="6"/>
  <c r="BS18" i="6"/>
  <c r="AF5" i="6"/>
  <c r="AP11" i="6"/>
  <c r="AZ11" i="6"/>
  <c r="Z6" i="6"/>
  <c r="BP10" i="5"/>
  <c r="BC37" i="6"/>
  <c r="AQ39" i="6"/>
  <c r="BG39" i="6"/>
  <c r="AC7" i="6"/>
  <c r="BF32" i="6"/>
  <c r="Q38" i="6"/>
  <c r="BV30" i="6"/>
  <c r="BX4" i="6"/>
  <c r="BH37" i="6"/>
  <c r="AE36" i="6"/>
  <c r="X27" i="6"/>
  <c r="AB35" i="6"/>
  <c r="F32" i="6"/>
  <c r="BB37" i="6"/>
  <c r="BY34" i="6"/>
  <c r="AX30" i="6"/>
  <c r="BN33" i="6"/>
  <c r="M37" i="6"/>
  <c r="D33" i="6"/>
  <c r="BL38" i="6"/>
  <c r="BW35" i="6"/>
  <c r="CA32" i="6"/>
  <c r="BC33" i="6"/>
  <c r="AJ37" i="6"/>
  <c r="BX33" i="6"/>
  <c r="BY31" i="6"/>
  <c r="G36" i="6"/>
  <c r="AK33" i="6"/>
  <c r="BL36" i="6"/>
  <c r="BY38" i="6"/>
  <c r="AA37" i="6"/>
  <c r="AJ33" i="6"/>
  <c r="BL25" i="6"/>
  <c r="BS35" i="6"/>
  <c r="Q33" i="6"/>
  <c r="O37" i="6"/>
  <c r="AL39" i="6"/>
  <c r="BN37" i="6"/>
  <c r="BT34" i="6"/>
  <c r="BB34" i="6"/>
  <c r="BQ36" i="6"/>
  <c r="S34" i="6"/>
  <c r="X24" i="6"/>
  <c r="AQ38" i="6"/>
  <c r="BP36" i="6"/>
  <c r="BC29" i="6"/>
  <c r="AN34" i="6"/>
  <c r="AC35" i="6"/>
  <c r="BA31" i="6"/>
  <c r="AS31" i="6"/>
  <c r="BZ36" i="6"/>
  <c r="AL30" i="6"/>
  <c r="C28" i="6"/>
  <c r="AE23" i="6"/>
  <c r="BW30" i="6"/>
  <c r="I28" i="6"/>
  <c r="AG24" i="6"/>
  <c r="BK20" i="6"/>
  <c r="R18" i="6"/>
  <c r="G17" i="6"/>
  <c r="L17" i="6"/>
  <c r="I15" i="6"/>
  <c r="F13" i="6"/>
  <c r="BK8" i="6"/>
  <c r="W13" i="6"/>
  <c r="AX7" i="6"/>
  <c r="BT11" i="5"/>
  <c r="AA36" i="6"/>
  <c r="AI34" i="6"/>
  <c r="U28" i="6"/>
  <c r="E33" i="6"/>
  <c r="AW38" i="6"/>
  <c r="AY28" i="6"/>
  <c r="I33" i="6"/>
  <c r="AD33" i="6"/>
  <c r="BA4" i="6"/>
  <c r="AZ31" i="6"/>
  <c r="D30" i="6"/>
  <c r="AG39" i="6"/>
  <c r="E37" i="6"/>
  <c r="BC32" i="6"/>
  <c r="X36" i="6"/>
  <c r="BI35" i="6"/>
  <c r="W32" i="6"/>
  <c r="BT27" i="6"/>
  <c r="AB37" i="6"/>
  <c r="AX33" i="6"/>
  <c r="BV39" i="6"/>
  <c r="BU35" i="6"/>
  <c r="V33" i="6"/>
  <c r="AP33" i="6"/>
  <c r="BQ38" i="6"/>
  <c r="S37" i="6"/>
  <c r="T33" i="6"/>
  <c r="J39" i="6"/>
  <c r="BG35" i="6"/>
  <c r="BV32" i="6"/>
  <c r="N35" i="6"/>
  <c r="AD39" i="6"/>
  <c r="BF37" i="6"/>
  <c r="AT34" i="6"/>
  <c r="P30" i="6"/>
  <c r="BC36" i="6"/>
  <c r="G34" i="6"/>
  <c r="F20" i="6"/>
  <c r="AI38" i="6"/>
  <c r="AP36" i="6"/>
  <c r="T28" i="6"/>
  <c r="BI39" i="6"/>
  <c r="Q35" i="6"/>
  <c r="U31" i="6"/>
  <c r="B39" i="6"/>
  <c r="BN36" i="6"/>
  <c r="L29" i="6"/>
  <c r="AZ27" i="6"/>
  <c r="BQ20" i="6"/>
  <c r="BB30" i="6"/>
  <c r="AR27" i="6"/>
  <c r="BY23" i="6"/>
  <c r="AE20" i="6"/>
  <c r="Q17" i="6"/>
  <c r="BH16" i="6"/>
  <c r="BM16" i="6"/>
  <c r="T11" i="6"/>
  <c r="BF12" i="6"/>
  <c r="AM13" i="6"/>
  <c r="AW12" i="6"/>
  <c r="AN6" i="6"/>
  <c r="BD33" i="6"/>
  <c r="AV35" i="6"/>
  <c r="BR36" i="6"/>
  <c r="AB31" i="6"/>
  <c r="AP18" i="6"/>
  <c r="N31" i="6"/>
  <c r="BY4" i="6"/>
  <c r="BX37" i="6"/>
  <c r="AB38" i="6"/>
  <c r="BW32" i="6"/>
  <c r="BZ33" i="6"/>
  <c r="BR39" i="6"/>
  <c r="B4" i="6"/>
  <c r="BQ4" i="6"/>
  <c r="AN4" i="6"/>
  <c r="BK36" i="6"/>
  <c r="BM34" i="6"/>
  <c r="H4" i="6"/>
  <c r="V4" i="6"/>
  <c r="AK4" i="6"/>
  <c r="AM4" i="6"/>
  <c r="BT4" i="6"/>
  <c r="BN34" i="6"/>
  <c r="C35" i="6"/>
  <c r="T31" i="6"/>
  <c r="AZ34" i="6"/>
  <c r="AY34" i="6"/>
  <c r="AB29" i="6"/>
  <c r="I39" i="6"/>
  <c r="BV36" i="6"/>
  <c r="C30" i="6"/>
  <c r="AX28" i="6"/>
  <c r="AW35" i="6"/>
  <c r="BQ31" i="6"/>
  <c r="P38" i="6"/>
  <c r="T37" i="6"/>
  <c r="AL33" i="6"/>
  <c r="BD38" i="6"/>
  <c r="BH35" i="6"/>
  <c r="BZ32" i="6"/>
  <c r="AZ35" i="6"/>
  <c r="BI38" i="6"/>
  <c r="K37" i="6"/>
  <c r="AX32" i="6"/>
  <c r="BR37" i="6"/>
  <c r="AS35" i="6"/>
  <c r="AU32" i="6"/>
  <c r="BJ28" i="6"/>
  <c r="V39" i="6"/>
  <c r="AX37" i="6"/>
  <c r="T34" i="6"/>
  <c r="Y36" i="6"/>
  <c r="AQ36" i="6"/>
  <c r="BT33" i="6"/>
  <c r="K39" i="6"/>
  <c r="AA38" i="6"/>
  <c r="P36" i="6"/>
  <c r="AO27" i="6"/>
  <c r="AS39" i="6"/>
  <c r="D35" i="6"/>
  <c r="BJ30" i="6"/>
  <c r="AX36" i="6"/>
  <c r="BB35" i="6"/>
  <c r="BX28" i="6"/>
  <c r="AK27" i="6"/>
  <c r="AQ28" i="6"/>
  <c r="BW27" i="6"/>
  <c r="Z24" i="6"/>
  <c r="AE18" i="6"/>
  <c r="BY24" i="6"/>
  <c r="AJ26" i="6"/>
  <c r="S19" i="6"/>
  <c r="S12" i="6"/>
  <c r="U17" i="6"/>
  <c r="AI10" i="6"/>
  <c r="BN9" i="6"/>
  <c r="P9" i="6"/>
  <c r="H7" i="6"/>
  <c r="H13" i="5"/>
  <c r="AO34" i="6"/>
  <c r="H35" i="6"/>
  <c r="AO37" i="6"/>
  <c r="AZ21" i="6"/>
  <c r="AQ33" i="6"/>
  <c r="W34" i="6"/>
  <c r="BT30" i="6"/>
  <c r="P21" i="6"/>
  <c r="AY39" i="6"/>
  <c r="BN35" i="6"/>
  <c r="BW33" i="6"/>
  <c r="E39" i="6"/>
  <c r="L4" i="6"/>
  <c r="AL4" i="6"/>
  <c r="AH4" i="6"/>
  <c r="O35" i="6"/>
  <c r="L36" i="6"/>
  <c r="BF4" i="6"/>
  <c r="F4" i="6"/>
  <c r="AC4" i="6"/>
  <c r="BP4" i="6"/>
  <c r="BW4" i="6"/>
  <c r="M31" i="6"/>
  <c r="BO34" i="6"/>
  <c r="AP29" i="6"/>
  <c r="Y33" i="6"/>
  <c r="AM34" i="6"/>
  <c r="AW28" i="6"/>
  <c r="BS38" i="6"/>
  <c r="AV36" i="6"/>
  <c r="AA29" i="6"/>
  <c r="AO39" i="6"/>
  <c r="AJ35" i="6"/>
  <c r="AK31" i="6"/>
  <c r="BL35" i="6"/>
  <c r="L37" i="6"/>
  <c r="W33" i="6"/>
  <c r="AL37" i="6"/>
  <c r="AU35" i="6"/>
  <c r="V32" i="6"/>
  <c r="AA34" i="6"/>
  <c r="BA38" i="6"/>
  <c r="C37" i="6"/>
  <c r="AM30" i="6"/>
  <c r="AC29" i="6"/>
  <c r="AG35" i="6"/>
  <c r="O32" i="6"/>
  <c r="CA34" i="6"/>
  <c r="N39" i="6"/>
  <c r="AP37" i="6"/>
  <c r="H34" i="6"/>
  <c r="B34" i="6"/>
  <c r="AD36" i="6"/>
  <c r="BG33" i="6"/>
  <c r="CA37" i="6"/>
  <c r="S38" i="6"/>
  <c r="D36" i="6"/>
  <c r="AP26" i="6"/>
  <c r="AC39" i="6"/>
  <c r="BQ34" i="6"/>
  <c r="R30" i="6"/>
  <c r="H27" i="6"/>
  <c r="BP34" i="6"/>
  <c r="BI28" i="6"/>
  <c r="BP19" i="6"/>
  <c r="BZ27" i="6"/>
  <c r="AU27" i="6"/>
  <c r="C24" i="6"/>
  <c r="BS16" i="6"/>
  <c r="AP24" i="6"/>
  <c r="T26" i="6"/>
  <c r="BN18" i="6"/>
  <c r="AS10" i="6"/>
  <c r="BJ16" i="6"/>
  <c r="J10" i="6"/>
  <c r="AI9" i="6"/>
  <c r="F8" i="6"/>
  <c r="AJ5" i="6"/>
  <c r="Y34" i="6"/>
  <c r="AR36" i="6"/>
  <c r="BJ29" i="6"/>
  <c r="V35" i="6"/>
  <c r="O36" i="6"/>
  <c r="BD4" i="6"/>
  <c r="BL33" i="6"/>
  <c r="AE39" i="6"/>
  <c r="BF39" i="6"/>
  <c r="BR27" i="6"/>
  <c r="BC38" i="6"/>
  <c r="AJ36" i="6"/>
  <c r="AV28" i="6"/>
  <c r="Q39" i="6"/>
  <c r="W35" i="6"/>
  <c r="E31" i="6"/>
  <c r="BS27" i="6"/>
  <c r="D37" i="6"/>
  <c r="BB32" i="6"/>
  <c r="Z35" i="6"/>
  <c r="AI35" i="6"/>
  <c r="BP31" i="6"/>
  <c r="AE32" i="6"/>
  <c r="AS38" i="6"/>
  <c r="BF36" i="6"/>
  <c r="BP29" i="6"/>
  <c r="AW39" i="6"/>
  <c r="T35" i="6"/>
  <c r="BI31" i="6"/>
  <c r="I27" i="6"/>
  <c r="F39" i="6"/>
  <c r="AH37" i="6"/>
  <c r="BH33" i="6"/>
  <c r="AD29" i="6"/>
  <c r="Q36" i="6"/>
  <c r="AU33" i="6"/>
  <c r="BH30" i="6"/>
  <c r="K38" i="6"/>
  <c r="BD35" i="6"/>
  <c r="AN18" i="6"/>
  <c r="M39" i="6"/>
  <c r="BE34" i="6"/>
  <c r="AR29" i="6"/>
  <c r="BM39" i="6"/>
  <c r="BN32" i="6"/>
  <c r="BK22" i="6"/>
  <c r="CA30" i="6"/>
  <c r="AG16" i="6"/>
  <c r="BH29" i="6"/>
  <c r="AD19" i="6"/>
  <c r="U25" i="6"/>
  <c r="BD21" i="6"/>
  <c r="AC24" i="6"/>
  <c r="CA14" i="6"/>
  <c r="AB20" i="6"/>
  <c r="F12" i="6"/>
  <c r="B13" i="6"/>
  <c r="BZ12" i="6"/>
  <c r="AM15" i="6"/>
  <c r="U4" i="5"/>
  <c r="AD4" i="6"/>
  <c r="BL34" i="6"/>
  <c r="P39" i="6"/>
  <c r="BA39" i="6"/>
  <c r="BC21" i="6"/>
  <c r="N36" i="6"/>
  <c r="BS36" i="6"/>
  <c r="AT26" i="6"/>
  <c r="BK37" i="6"/>
  <c r="AK35" i="6"/>
  <c r="G20" i="6"/>
  <c r="BB4" i="6"/>
  <c r="U4" i="6"/>
  <c r="AJ4" i="6"/>
  <c r="AP34" i="6"/>
  <c r="F28" i="6"/>
  <c r="BJ36" i="6"/>
  <c r="M34" i="6"/>
  <c r="E27" i="6"/>
  <c r="AM38" i="6"/>
  <c r="J36" i="6"/>
  <c r="BQ27" i="6"/>
  <c r="CA38" i="6"/>
  <c r="K35" i="6"/>
  <c r="AO30" i="6"/>
  <c r="AV39" i="6"/>
  <c r="BT36" i="6"/>
  <c r="BR29" i="6"/>
  <c r="BB33" i="6"/>
  <c r="U35" i="6"/>
  <c r="AJ31" i="6"/>
  <c r="BN39" i="6"/>
  <c r="AK38" i="6"/>
  <c r="AF36" i="6"/>
  <c r="M29" i="6"/>
  <c r="AN39" i="6"/>
  <c r="G35" i="6"/>
  <c r="AC31" i="6"/>
  <c r="AX39" i="6"/>
  <c r="BX38" i="6"/>
  <c r="Z37" i="6"/>
  <c r="AH33" i="6"/>
  <c r="R39" i="6"/>
  <c r="E36" i="6"/>
  <c r="AG33" i="6"/>
  <c r="AA35" i="6"/>
  <c r="C38" i="6"/>
  <c r="AD35" i="6"/>
  <c r="AI39" i="6"/>
  <c r="BW38" i="6"/>
  <c r="AQ34" i="6"/>
  <c r="BM28" i="6"/>
  <c r="BQ39" i="6"/>
  <c r="BI30" i="6"/>
  <c r="H21" i="6"/>
  <c r="BP30" i="6"/>
  <c r="AH32" i="6"/>
  <c r="R29" i="6"/>
  <c r="H18" i="6"/>
  <c r="CA24" i="6"/>
  <c r="AF21" i="6"/>
  <c r="BS23" i="6"/>
  <c r="BG11" i="6"/>
  <c r="L20" i="6"/>
  <c r="U10" i="6"/>
  <c r="BC12" i="6"/>
  <c r="AZ12" i="6"/>
  <c r="W15" i="6"/>
  <c r="AG4" i="5"/>
  <c r="AM14" i="5"/>
  <c r="AE4" i="6"/>
  <c r="BW39" i="6"/>
  <c r="V28" i="6"/>
  <c r="BF38" i="6"/>
  <c r="BH15" i="6"/>
  <c r="BA37" i="6"/>
  <c r="I34" i="6"/>
  <c r="AF26" i="6"/>
  <c r="AS4" i="6"/>
  <c r="BM35" i="6"/>
  <c r="AT36" i="6"/>
  <c r="U20" i="6"/>
  <c r="BZ4" i="6"/>
  <c r="AW4" i="6"/>
  <c r="AZ4" i="6"/>
  <c r="BC34" i="6"/>
  <c r="AV4" i="6"/>
  <c r="AN38" i="6"/>
  <c r="P4" i="6"/>
  <c r="AF4" i="6"/>
  <c r="AX4" i="6"/>
  <c r="AB4" i="6"/>
  <c r="AY4" i="6"/>
  <c r="N37" i="6"/>
  <c r="AC34" i="6"/>
  <c r="Y27" i="6"/>
  <c r="AW36" i="6"/>
  <c r="CA33" i="6"/>
  <c r="G22" i="6"/>
  <c r="W38" i="6"/>
  <c r="BJ35" i="6"/>
  <c r="D27" i="6"/>
  <c r="BK38" i="6"/>
  <c r="BW34" i="6"/>
  <c r="O29" i="6"/>
  <c r="BZ38" i="6"/>
  <c r="BH36" i="6"/>
  <c r="AJ28" i="6"/>
  <c r="BT39" i="6"/>
  <c r="I35" i="6"/>
  <c r="D31" i="6"/>
  <c r="AD37" i="6"/>
  <c r="AC38" i="6"/>
  <c r="T36" i="6"/>
  <c r="AH28" i="6"/>
  <c r="BR38" i="6"/>
  <c r="BU34" i="6"/>
  <c r="BU30" i="6"/>
  <c r="AV38" i="6"/>
  <c r="BP38" i="6"/>
  <c r="R37" i="6"/>
  <c r="BS32" i="6"/>
  <c r="H38" i="6"/>
  <c r="BQ35" i="6"/>
  <c r="P33" i="6"/>
  <c r="BJ32" i="6"/>
  <c r="BU37" i="6"/>
  <c r="R35" i="6"/>
  <c r="Y38" i="6"/>
  <c r="BG38" i="6"/>
  <c r="AE34" i="6"/>
  <c r="H28" i="6"/>
  <c r="BX39" i="6"/>
  <c r="Q30" i="6"/>
  <c r="E20" i="6"/>
  <c r="B28" i="6"/>
  <c r="BN30" i="6"/>
  <c r="BT25" i="6"/>
  <c r="BD23" i="6"/>
  <c r="N22" i="6"/>
  <c r="BQ26" i="6"/>
  <c r="BU20" i="6"/>
  <c r="BT13" i="6"/>
  <c r="O18" i="6"/>
  <c r="J20" i="6"/>
  <c r="AF10" i="6"/>
  <c r="AB10" i="6"/>
  <c r="BO13" i="6"/>
  <c r="BV5" i="5"/>
  <c r="G33" i="6"/>
  <c r="AJ38" i="6"/>
  <c r="Y10" i="6"/>
  <c r="BK35" i="6"/>
  <c r="BS37" i="6"/>
  <c r="BJ38" i="6"/>
  <c r="AS33" i="6"/>
  <c r="AO33" i="6"/>
  <c r="BF35" i="6"/>
  <c r="W4" i="6"/>
  <c r="BN4" i="6"/>
  <c r="BK28" i="6"/>
  <c r="E4" i="6"/>
  <c r="BE4" i="6"/>
  <c r="AU4" i="6"/>
  <c r="I4" i="6"/>
  <c r="T4" i="6"/>
  <c r="AQ4" i="6"/>
  <c r="BM36" i="6"/>
  <c r="Q34" i="6"/>
  <c r="Q26" i="6"/>
  <c r="AK36" i="6"/>
  <c r="BM33" i="6"/>
  <c r="S39" i="6"/>
  <c r="O38" i="6"/>
  <c r="AX35" i="6"/>
  <c r="AF25" i="6"/>
  <c r="AU38" i="6"/>
  <c r="BK34" i="6"/>
  <c r="BF27" i="6"/>
  <c r="AT38" i="6"/>
  <c r="AH36" i="6"/>
  <c r="BE27" i="6"/>
  <c r="X39" i="6"/>
  <c r="BV34" i="6"/>
  <c r="AN30" i="6"/>
  <c r="BL22" i="6"/>
  <c r="U38" i="6"/>
  <c r="BT35" i="6"/>
  <c r="BC27" i="6"/>
  <c r="BC39" i="6"/>
  <c r="BG34" i="6"/>
  <c r="AD30" i="6"/>
  <c r="AT37" i="6"/>
  <c r="BH38" i="6"/>
  <c r="J37" i="6"/>
  <c r="AC30" i="6"/>
  <c r="F37" i="6"/>
  <c r="BE35" i="6"/>
  <c r="AT32" i="6"/>
  <c r="Z39" i="6"/>
  <c r="BM37" i="6"/>
  <c r="BR34" i="6"/>
  <c r="G37" i="6"/>
  <c r="BO36" i="6"/>
  <c r="R34" i="6"/>
  <c r="S26" i="6"/>
  <c r="BP39" i="6"/>
  <c r="Z27" i="6"/>
  <c r="D28" i="6"/>
  <c r="BN27" i="6"/>
  <c r="AH30" i="6"/>
  <c r="E25" i="6"/>
  <c r="AG23" i="6"/>
  <c r="BQ21" i="6"/>
  <c r="BA26" i="6"/>
  <c r="AO20" i="6"/>
  <c r="AQ12" i="6"/>
  <c r="BE17" i="6"/>
  <c r="BT19" i="6"/>
  <c r="E10" i="6"/>
  <c r="BJ8" i="6"/>
  <c r="AV13" i="6"/>
  <c r="BJ4" i="6"/>
  <c r="AA39" i="6"/>
  <c r="BO33" i="6"/>
  <c r="K4" i="6"/>
  <c r="K34" i="6"/>
  <c r="BO37" i="6"/>
  <c r="BL39" i="6"/>
  <c r="BF33" i="6"/>
  <c r="BO35" i="6"/>
  <c r="BY28" i="6"/>
  <c r="J4" i="6"/>
  <c r="AG4" i="6"/>
  <c r="BO4" i="6"/>
  <c r="Z34" i="6"/>
  <c r="BG4" i="6"/>
  <c r="BS4" i="6"/>
  <c r="BR4" i="6"/>
  <c r="CA4" i="6"/>
  <c r="D4" i="6"/>
  <c r="AI4" i="6"/>
  <c r="BA36" i="6"/>
  <c r="C34" i="6"/>
  <c r="C39" i="6"/>
  <c r="W36" i="6"/>
  <c r="BA33" i="6"/>
  <c r="AU37" i="6"/>
  <c r="BY37" i="6"/>
  <c r="X35" i="6"/>
  <c r="E22" i="6"/>
  <c r="AE38" i="6"/>
  <c r="AX34" i="6"/>
  <c r="BO26" i="6"/>
  <c r="AD38" i="6"/>
  <c r="H36" i="6"/>
  <c r="BN26" i="6"/>
  <c r="BB38" i="6"/>
  <c r="BI34" i="6"/>
  <c r="BQ29" i="6"/>
  <c r="BE39" i="6"/>
  <c r="M38" i="6"/>
  <c r="AT35" i="6"/>
  <c r="BS24" i="6"/>
  <c r="AM39" i="6"/>
  <c r="AU34" i="6"/>
  <c r="BF29" i="6"/>
  <c r="AL35" i="6"/>
  <c r="AZ38" i="6"/>
  <c r="B37" i="6"/>
  <c r="BE29" i="6"/>
  <c r="N34" i="6"/>
  <c r="AR35" i="6"/>
  <c r="N32" i="6"/>
  <c r="BZ37" i="6"/>
  <c r="BE37" i="6"/>
  <c r="AR34" i="6"/>
  <c r="AN35" i="6"/>
  <c r="BB36" i="6"/>
  <c r="E34" i="6"/>
  <c r="BC23" i="6"/>
  <c r="BH39" i="6"/>
  <c r="BM25" i="6"/>
  <c r="BO27" i="6"/>
  <c r="AY27" i="6"/>
  <c r="AW27" i="6"/>
  <c r="BL32" i="6"/>
  <c r="E17" i="6"/>
  <c r="AD17" i="6"/>
  <c r="I25" i="6"/>
  <c r="BV24" i="6"/>
  <c r="F18" i="6"/>
  <c r="BH18" i="6"/>
  <c r="BC17" i="6"/>
  <c r="C12" i="6"/>
  <c r="B10" i="6"/>
  <c r="AY10" i="6"/>
  <c r="N19" i="5"/>
  <c r="BI37" i="6"/>
  <c r="BU39" i="6"/>
  <c r="BT15" i="6"/>
  <c r="X4" i="6"/>
  <c r="BI36" i="6"/>
  <c r="BH34" i="6"/>
  <c r="BY32" i="6"/>
  <c r="BX31" i="6"/>
  <c r="L38" i="6"/>
  <c r="R4" i="6"/>
  <c r="Q4" i="6"/>
  <c r="BW36" i="6"/>
  <c r="BM4" i="6"/>
  <c r="G4" i="6"/>
  <c r="AT4" i="6"/>
  <c r="O4" i="6"/>
  <c r="AP4" i="6"/>
  <c r="AA4" i="6"/>
  <c r="AM36" i="6"/>
  <c r="BQ33" i="6"/>
  <c r="I38" i="6"/>
  <c r="K36" i="6"/>
  <c r="AN33" i="6"/>
  <c r="BW22" i="6"/>
  <c r="BQ37" i="6"/>
  <c r="BX34" i="6"/>
  <c r="BM38" i="6"/>
  <c r="G38" i="6"/>
  <c r="AK34" i="6"/>
  <c r="AE25" i="6"/>
  <c r="V38" i="6"/>
  <c r="BV35" i="6"/>
  <c r="X21" i="6"/>
  <c r="AL38" i="6"/>
  <c r="AW34" i="6"/>
  <c r="N29" i="6"/>
  <c r="BD39" i="6"/>
  <c r="E38" i="6"/>
  <c r="AH35" i="6"/>
  <c r="I21" i="6"/>
  <c r="O39" i="6"/>
  <c r="AH34" i="6"/>
  <c r="CA28" i="6"/>
  <c r="Y39" i="6"/>
  <c r="AR38" i="6"/>
  <c r="BD36" i="6"/>
  <c r="BZ28" i="6"/>
  <c r="BK25" i="6"/>
  <c r="AE35" i="6"/>
  <c r="BH31" i="6"/>
  <c r="BY39" i="6"/>
  <c r="AW37" i="6"/>
  <c r="AF34" i="6"/>
  <c r="M36" i="6"/>
  <c r="AO36" i="6"/>
  <c r="BS33" i="6"/>
  <c r="G18" i="6"/>
  <c r="AJ39" i="6"/>
  <c r="V20" i="6"/>
  <c r="BA27" i="6"/>
  <c r="M33" i="6"/>
  <c r="P27" i="6"/>
  <c r="AV32" i="6"/>
  <c r="BJ15" i="6"/>
  <c r="U16" i="6"/>
  <c r="AO24" i="6"/>
  <c r="AY24" i="6"/>
  <c r="BI17" i="6"/>
  <c r="AK18" i="6"/>
  <c r="T17" i="6"/>
  <c r="AQ11" i="6"/>
  <c r="AW9" i="6"/>
  <c r="BY9" i="6"/>
  <c r="W7" i="5"/>
  <c r="BC19" i="5"/>
  <c r="BN38" i="6"/>
  <c r="P37" i="6"/>
  <c r="L33" i="6"/>
  <c r="Y21" i="6"/>
  <c r="AY31" i="6"/>
  <c r="Z29" i="6"/>
  <c r="Y25" i="6"/>
  <c r="R28" i="6"/>
  <c r="F33" i="6"/>
  <c r="AH31" i="6"/>
  <c r="Q28" i="6"/>
  <c r="BS20" i="6"/>
  <c r="P28" i="6"/>
  <c r="U33" i="6"/>
  <c r="AW31" i="6"/>
  <c r="H29" i="6"/>
  <c r="D24" i="6"/>
  <c r="BE28" i="6"/>
  <c r="AU19" i="6"/>
  <c r="H31" i="6"/>
  <c r="BK27" i="6"/>
  <c r="I30" i="6"/>
  <c r="BB26" i="6"/>
  <c r="BE32" i="6"/>
  <c r="G31" i="6"/>
  <c r="L28" i="6"/>
  <c r="BU29" i="6"/>
  <c r="Z26" i="6"/>
  <c r="BT32" i="6"/>
  <c r="V31" i="6"/>
  <c r="AL28" i="6"/>
  <c r="S22" i="6"/>
  <c r="W28" i="6"/>
  <c r="AW24" i="6"/>
  <c r="BA19" i="6"/>
  <c r="CA23" i="6"/>
  <c r="D18" i="6"/>
  <c r="BD26" i="6"/>
  <c r="B25" i="6"/>
  <c r="BS21" i="6"/>
  <c r="AT24" i="6"/>
  <c r="AH21" i="6"/>
  <c r="AC25" i="6"/>
  <c r="AK22" i="6"/>
  <c r="BS17" i="6"/>
  <c r="BH22" i="6"/>
  <c r="AD26" i="6"/>
  <c r="AQ24" i="6"/>
  <c r="CA20" i="6"/>
  <c r="S25" i="6"/>
  <c r="CA21" i="6"/>
  <c r="BY26" i="6"/>
  <c r="AA25" i="6"/>
  <c r="BN21" i="6"/>
  <c r="U15" i="6"/>
  <c r="AS22" i="6"/>
  <c r="BB18" i="6"/>
  <c r="AR26" i="6"/>
  <c r="AN24" i="6"/>
  <c r="K21" i="6"/>
  <c r="G25" i="6"/>
  <c r="BW21" i="6"/>
  <c r="T22" i="6"/>
  <c r="O17" i="6"/>
  <c r="R17" i="6"/>
  <c r="AL19" i="6"/>
  <c r="F16" i="6"/>
  <c r="Z14" i="6"/>
  <c r="AC18" i="6"/>
  <c r="AC13" i="6"/>
  <c r="BO16" i="6"/>
  <c r="BS14" i="6"/>
  <c r="AI17" i="6"/>
  <c r="BL13" i="6"/>
  <c r="AJ20" i="6"/>
  <c r="Z18" i="6"/>
  <c r="M19" i="6"/>
  <c r="BX15" i="6"/>
  <c r="M21" i="6"/>
  <c r="AG19" i="6"/>
  <c r="L16" i="6"/>
  <c r="AF17" i="6"/>
  <c r="BD13" i="6"/>
  <c r="R20" i="6"/>
  <c r="BN17" i="6"/>
  <c r="BR12" i="6"/>
  <c r="S17" i="6"/>
  <c r="BS11" i="6"/>
  <c r="R13" i="6"/>
  <c r="AV10" i="6"/>
  <c r="P13" i="6"/>
  <c r="AR10" i="6"/>
  <c r="AC12" i="6"/>
  <c r="BI7" i="6"/>
  <c r="X14" i="6"/>
  <c r="B12" i="6"/>
  <c r="E9" i="6"/>
  <c r="C10" i="6"/>
  <c r="L13" i="6"/>
  <c r="AP10" i="6"/>
  <c r="O10" i="6"/>
  <c r="Q5" i="6"/>
  <c r="AD14" i="6"/>
  <c r="L12" i="6"/>
  <c r="AI13" i="6"/>
  <c r="AF9" i="6"/>
  <c r="AU15" i="6"/>
  <c r="BW13" i="6"/>
  <c r="BX10" i="6"/>
  <c r="BK10" i="6"/>
  <c r="BT12" i="6"/>
  <c r="AA9" i="6"/>
  <c r="BN7" i="6"/>
  <c r="AF7" i="6"/>
  <c r="BQ4" i="5"/>
  <c r="BS5" i="5"/>
  <c r="I7" i="5"/>
  <c r="X8" i="5"/>
  <c r="BQ11" i="5"/>
  <c r="F13" i="5"/>
  <c r="W14" i="5"/>
  <c r="D16" i="5"/>
  <c r="AG31" i="6"/>
  <c r="BF28" i="6"/>
  <c r="BH21" i="6"/>
  <c r="N28" i="6"/>
  <c r="AP32" i="6"/>
  <c r="BD30" i="6"/>
  <c r="AH27" i="6"/>
  <c r="AV29" i="6"/>
  <c r="N25" i="6"/>
  <c r="AO32" i="6"/>
  <c r="BM30" i="6"/>
  <c r="BI27" i="6"/>
  <c r="AF29" i="6"/>
  <c r="AN25" i="6"/>
  <c r="BD32" i="6"/>
  <c r="F31" i="6"/>
  <c r="J28" i="6"/>
  <c r="AK20" i="6"/>
  <c r="BU27" i="6"/>
  <c r="O24" i="6"/>
  <c r="BZ18" i="6"/>
  <c r="AS23" i="6"/>
  <c r="AN16" i="6"/>
  <c r="AN26" i="6"/>
  <c r="BE24" i="6"/>
  <c r="S21" i="6"/>
  <c r="J24" i="6"/>
  <c r="AJ17" i="6"/>
  <c r="K25" i="6"/>
  <c r="C22" i="6"/>
  <c r="BR16" i="6"/>
  <c r="Z22" i="6"/>
  <c r="N26" i="6"/>
  <c r="H24" i="6"/>
  <c r="AU20" i="6"/>
  <c r="BM24" i="6"/>
  <c r="AQ21" i="6"/>
  <c r="BI26" i="6"/>
  <c r="BB24" i="6"/>
  <c r="AE21" i="6"/>
  <c r="BR8" i="6"/>
  <c r="K22" i="6"/>
  <c r="BG17" i="6"/>
  <c r="AB26" i="6"/>
  <c r="F24" i="6"/>
  <c r="BE20" i="6"/>
  <c r="BK24" i="6"/>
  <c r="AO21" i="6"/>
  <c r="BL21" i="6"/>
  <c r="BQ15" i="6"/>
  <c r="BT16" i="6"/>
  <c r="BY18" i="6"/>
  <c r="AG14" i="6"/>
  <c r="AD13" i="6"/>
  <c r="BT17" i="6"/>
  <c r="BE9" i="6"/>
  <c r="AO16" i="6"/>
  <c r="Q13" i="6"/>
  <c r="BZ16" i="6"/>
  <c r="AF11" i="6"/>
  <c r="T20" i="6"/>
  <c r="BR17" i="6"/>
  <c r="AW18" i="6"/>
  <c r="AR15" i="6"/>
  <c r="BW20" i="6"/>
  <c r="C19" i="6"/>
  <c r="C13" i="6"/>
  <c r="BW16" i="6"/>
  <c r="S11" i="6"/>
  <c r="B20" i="6"/>
  <c r="AQ17" i="6"/>
  <c r="G11" i="6"/>
  <c r="BI16" i="6"/>
  <c r="I9" i="6"/>
  <c r="BS12" i="6"/>
  <c r="V10" i="6"/>
  <c r="BP12" i="6"/>
  <c r="S10" i="6"/>
  <c r="BC11" i="6"/>
  <c r="BW6" i="6"/>
  <c r="H14" i="6"/>
  <c r="BB11" i="6"/>
  <c r="AY13" i="6"/>
  <c r="AY9" i="6"/>
  <c r="BL12" i="6"/>
  <c r="P10" i="6"/>
  <c r="BM9" i="6"/>
  <c r="BL15" i="6"/>
  <c r="N14" i="6"/>
  <c r="BL11" i="6"/>
  <c r="BW12" i="6"/>
  <c r="BZ8" i="6"/>
  <c r="AE15" i="6"/>
  <c r="BG13" i="6"/>
  <c r="L10" i="6"/>
  <c r="BJ9" i="6"/>
  <c r="AH12" i="6"/>
  <c r="AR7" i="6"/>
  <c r="Z7" i="6"/>
  <c r="BH5" i="6"/>
  <c r="T4" i="5"/>
  <c r="F6" i="5"/>
  <c r="T7" i="5"/>
  <c r="AY9" i="5"/>
  <c r="BM10" i="5"/>
  <c r="C12" i="5"/>
  <c r="R13" i="5"/>
  <c r="AJ14" i="5"/>
  <c r="AH38" i="6"/>
  <c r="AN36" i="6"/>
  <c r="AQ29" i="6"/>
  <c r="BQ32" i="6"/>
  <c r="S31" i="6"/>
  <c r="AU28" i="6"/>
  <c r="BQ30" i="6"/>
  <c r="AL27" i="6"/>
  <c r="AZ32" i="6"/>
  <c r="B31" i="6"/>
  <c r="S27" i="6"/>
  <c r="AU30" i="6"/>
  <c r="AJ27" i="6"/>
  <c r="BO32" i="6"/>
  <c r="Q31" i="6"/>
  <c r="AC28" i="6"/>
  <c r="AR16" i="6"/>
  <c r="BL27" i="6"/>
  <c r="Z32" i="6"/>
  <c r="W30" i="6"/>
  <c r="BV26" i="6"/>
  <c r="T29" i="6"/>
  <c r="BZ23" i="6"/>
  <c r="Y32" i="6"/>
  <c r="AQ30" i="6"/>
  <c r="AF27" i="6"/>
  <c r="D29" i="6"/>
  <c r="AL24" i="6"/>
  <c r="AN32" i="6"/>
  <c r="BL30" i="6"/>
  <c r="BG27" i="6"/>
  <c r="BK30" i="6"/>
  <c r="AA27" i="6"/>
  <c r="BF23" i="6"/>
  <c r="AW17" i="6"/>
  <c r="J23" i="6"/>
  <c r="BF14" i="6"/>
  <c r="X26" i="6"/>
  <c r="W24" i="6"/>
  <c r="BM20" i="6"/>
  <c r="BM23" i="6"/>
  <c r="AB16" i="6"/>
  <c r="BP24" i="6"/>
  <c r="AT21" i="6"/>
  <c r="AK15" i="6"/>
  <c r="BP21" i="6"/>
  <c r="BX25" i="6"/>
  <c r="AZ23" i="6"/>
  <c r="O20" i="6"/>
  <c r="AE24" i="6"/>
  <c r="AM19" i="6"/>
  <c r="AS26" i="6"/>
  <c r="R24" i="6"/>
  <c r="BZ20" i="6"/>
  <c r="BX24" i="6"/>
  <c r="BB21" i="6"/>
  <c r="BE16" i="6"/>
  <c r="L26" i="6"/>
  <c r="AV23" i="6"/>
  <c r="Y20" i="6"/>
  <c r="AB24" i="6"/>
  <c r="H19" i="6"/>
  <c r="Z21" i="6"/>
  <c r="AS12" i="6"/>
  <c r="AH16" i="6"/>
  <c r="BD18" i="6"/>
  <c r="BT10" i="6"/>
  <c r="BG10" i="6"/>
  <c r="AL17" i="6"/>
  <c r="AX6" i="6"/>
  <c r="O16" i="6"/>
  <c r="AT10" i="6"/>
  <c r="BA16" i="6"/>
  <c r="AO9" i="6"/>
  <c r="D20" i="6"/>
  <c r="AH17" i="6"/>
  <c r="N18" i="6"/>
  <c r="K15" i="6"/>
  <c r="BG20" i="6"/>
  <c r="BG18" i="6"/>
  <c r="AG10" i="6"/>
  <c r="AW16" i="6"/>
  <c r="BP7" i="6"/>
  <c r="BL19" i="6"/>
  <c r="H17" i="6"/>
  <c r="X9" i="6"/>
  <c r="AI16" i="6"/>
  <c r="AY14" i="6"/>
  <c r="AT12" i="6"/>
  <c r="BU9" i="6"/>
  <c r="AP12" i="6"/>
  <c r="BR9" i="6"/>
  <c r="Q11" i="6"/>
  <c r="K6" i="6"/>
  <c r="BR13" i="6"/>
  <c r="AC11" i="6"/>
  <c r="M13" i="6"/>
  <c r="S9" i="6"/>
  <c r="AM12" i="6"/>
  <c r="AK13" i="6"/>
  <c r="AG9" i="6"/>
  <c r="AV15" i="6"/>
  <c r="BX13" i="6"/>
  <c r="AL11" i="6"/>
  <c r="AK12" i="6"/>
  <c r="AZ7" i="6"/>
  <c r="O15" i="6"/>
  <c r="AH13" i="6"/>
  <c r="BK9" i="6"/>
  <c r="N9" i="6"/>
  <c r="AJ11" i="6"/>
  <c r="AN5" i="6"/>
  <c r="P6" i="6"/>
  <c r="CA7" i="6"/>
  <c r="B5" i="5"/>
  <c r="AU8" i="5"/>
  <c r="BJ9" i="5"/>
  <c r="BZ10" i="5"/>
  <c r="N12" i="5"/>
  <c r="AW14" i="5"/>
  <c r="BD16" i="5"/>
  <c r="L20" i="5"/>
  <c r="Z38" i="6"/>
  <c r="AB36" i="6"/>
  <c r="BL28" i="6"/>
  <c r="BI32" i="6"/>
  <c r="K31" i="6"/>
  <c r="AG28" i="6"/>
  <c r="AK30" i="6"/>
  <c r="T27" i="6"/>
  <c r="AR32" i="6"/>
  <c r="BF30" i="6"/>
  <c r="B27" i="6"/>
  <c r="AJ30" i="6"/>
  <c r="CA26" i="6"/>
  <c r="BG32" i="6"/>
  <c r="I31" i="6"/>
  <c r="O28" i="6"/>
  <c r="BY30" i="6"/>
  <c r="AX27" i="6"/>
  <c r="R32" i="6"/>
  <c r="J30" i="6"/>
  <c r="BC26" i="6"/>
  <c r="F29" i="6"/>
  <c r="AD22" i="6"/>
  <c r="Q32" i="6"/>
  <c r="AG30" i="6"/>
  <c r="L27" i="6"/>
  <c r="BP28" i="6"/>
  <c r="BQ23" i="6"/>
  <c r="AF32" i="6"/>
  <c r="AP30" i="6"/>
  <c r="AS27" i="6"/>
  <c r="AZ30" i="6"/>
  <c r="J27" i="6"/>
  <c r="AT23" i="6"/>
  <c r="M17" i="6"/>
  <c r="BX22" i="6"/>
  <c r="BF11" i="6"/>
  <c r="P26" i="6"/>
  <c r="K24" i="6"/>
  <c r="AW20" i="6"/>
  <c r="AP23" i="6"/>
  <c r="AT15" i="6"/>
  <c r="BD24" i="6"/>
  <c r="R21" i="6"/>
  <c r="H10" i="6"/>
  <c r="BE21" i="6"/>
  <c r="BP25" i="6"/>
  <c r="AM23" i="6"/>
  <c r="BY19" i="6"/>
  <c r="S24" i="6"/>
  <c r="P19" i="6"/>
  <c r="AK26" i="6"/>
  <c r="G24" i="6"/>
  <c r="BJ20" i="6"/>
  <c r="BL24" i="6"/>
  <c r="AP21" i="6"/>
  <c r="T15" i="6"/>
  <c r="D26" i="6"/>
  <c r="AK23" i="6"/>
  <c r="I20" i="6"/>
  <c r="P24" i="6"/>
  <c r="AY17" i="6"/>
  <c r="J21" i="6"/>
  <c r="AY6" i="6"/>
  <c r="G16" i="6"/>
  <c r="AQ18" i="6"/>
  <c r="G10" i="6"/>
  <c r="BS9" i="6"/>
  <c r="Y17" i="6"/>
  <c r="Z19" i="6"/>
  <c r="B16" i="6"/>
  <c r="BD9" i="6"/>
  <c r="AM16" i="6"/>
  <c r="R6" i="6"/>
  <c r="BV19" i="6"/>
  <c r="W17" i="6"/>
  <c r="B18" i="6"/>
  <c r="BN14" i="6"/>
  <c r="AY20" i="6"/>
  <c r="AJ18" i="6"/>
  <c r="Y9" i="6"/>
  <c r="AK16" i="6"/>
  <c r="AG5" i="6"/>
  <c r="BD19" i="6"/>
  <c r="BV16" i="6"/>
  <c r="AK7" i="6"/>
  <c r="V16" i="6"/>
  <c r="AQ14" i="6"/>
  <c r="AF12" i="6"/>
  <c r="BS8" i="6"/>
  <c r="AD12" i="6"/>
  <c r="BC9" i="6"/>
  <c r="BQ10" i="6"/>
  <c r="BE5" i="6"/>
  <c r="BJ13" i="6"/>
  <c r="P11" i="6"/>
  <c r="BM12" i="6"/>
  <c r="C9" i="6"/>
  <c r="Z12" i="6"/>
  <c r="K13" i="6"/>
  <c r="Q9" i="6"/>
  <c r="AN15" i="6"/>
  <c r="BP13" i="6"/>
  <c r="Z11" i="6"/>
  <c r="K12" i="6"/>
  <c r="T7" i="6"/>
  <c r="G15" i="6"/>
  <c r="V13" i="6"/>
  <c r="AU9" i="6"/>
  <c r="AS7" i="6"/>
  <c r="BW10" i="6"/>
  <c r="BO7" i="6"/>
  <c r="BZ5" i="6"/>
  <c r="BC7" i="6"/>
  <c r="S6" i="5"/>
  <c r="AH7" i="5"/>
  <c r="AX8" i="5"/>
  <c r="BL9" i="5"/>
  <c r="Q12" i="5"/>
  <c r="AE13" i="5"/>
  <c r="BB14" i="5"/>
  <c r="BH16" i="5"/>
  <c r="R38" i="6"/>
  <c r="B36" i="6"/>
  <c r="G28" i="6"/>
  <c r="BA32" i="6"/>
  <c r="C31" i="6"/>
  <c r="S28" i="6"/>
  <c r="Z30" i="6"/>
  <c r="BJ26" i="6"/>
  <c r="AJ32" i="6"/>
  <c r="AV30" i="6"/>
  <c r="BG26" i="6"/>
  <c r="Y30" i="6"/>
  <c r="BF26" i="6"/>
  <c r="AY32" i="6"/>
  <c r="BZ30" i="6"/>
  <c r="CA27" i="6"/>
  <c r="AS30" i="6"/>
  <c r="Q27" i="6"/>
  <c r="J32" i="6"/>
  <c r="BW29" i="6"/>
  <c r="CA25" i="6"/>
  <c r="BQ28" i="6"/>
  <c r="AW21" i="6"/>
  <c r="I32" i="6"/>
  <c r="U30" i="6"/>
  <c r="AY26" i="6"/>
  <c r="BA28" i="6"/>
  <c r="I23" i="6"/>
  <c r="X32" i="6"/>
  <c r="AF30" i="6"/>
  <c r="AB27" i="6"/>
  <c r="AE30" i="6"/>
  <c r="BR26" i="6"/>
  <c r="AI23" i="6"/>
  <c r="AS16" i="6"/>
  <c r="BM22" i="6"/>
  <c r="BU18" i="6"/>
  <c r="H26" i="6"/>
  <c r="BN23" i="6"/>
  <c r="AG20" i="6"/>
  <c r="AD23" i="6"/>
  <c r="AE14" i="6"/>
  <c r="AS24" i="6"/>
  <c r="B21" i="6"/>
  <c r="BO24" i="6"/>
  <c r="AS21" i="6"/>
  <c r="BH25" i="6"/>
  <c r="P23" i="6"/>
  <c r="BI19" i="6"/>
  <c r="BV23" i="6"/>
  <c r="S18" i="6"/>
  <c r="AC26" i="6"/>
  <c r="BU23" i="6"/>
  <c r="AT20" i="6"/>
  <c r="BA24" i="6"/>
  <c r="AB21" i="6"/>
  <c r="AL13" i="6"/>
  <c r="BV25" i="6"/>
  <c r="Y23" i="6"/>
  <c r="BS19" i="6"/>
  <c r="E24" i="6"/>
  <c r="BZ15" i="6"/>
  <c r="BT20" i="6"/>
  <c r="T19" i="6"/>
  <c r="BR15" i="6"/>
  <c r="T18" i="6"/>
  <c r="BC16" i="6"/>
  <c r="BH19" i="6"/>
  <c r="B17" i="6"/>
  <c r="F19" i="6"/>
  <c r="BM15" i="6"/>
  <c r="W8" i="6"/>
  <c r="AA16" i="6"/>
  <c r="AL21" i="6"/>
  <c r="BN19" i="6"/>
  <c r="K17" i="6"/>
  <c r="BQ17" i="6"/>
  <c r="AP14" i="6"/>
  <c r="AQ20" i="6"/>
  <c r="Y18" i="6"/>
  <c r="BL5" i="6"/>
  <c r="W16" i="6"/>
  <c r="T21" i="6"/>
  <c r="AV19" i="6"/>
  <c r="AV16" i="6"/>
  <c r="AE19" i="6"/>
  <c r="H16" i="6"/>
  <c r="AI14" i="6"/>
  <c r="T12" i="6"/>
  <c r="AZ8" i="6"/>
  <c r="P12" i="6"/>
  <c r="AM9" i="6"/>
  <c r="BE10" i="6"/>
  <c r="Y5" i="6"/>
  <c r="AZ13" i="6"/>
  <c r="D11" i="6"/>
  <c r="BA12" i="6"/>
  <c r="AM8" i="6"/>
  <c r="N12" i="6"/>
  <c r="BY12" i="6"/>
  <c r="CA8" i="6"/>
  <c r="AF15" i="6"/>
  <c r="BH13" i="6"/>
  <c r="M11" i="6"/>
  <c r="BK11" i="6"/>
  <c r="BN6" i="6"/>
  <c r="BY14" i="6"/>
  <c r="I13" i="6"/>
  <c r="AE9" i="6"/>
  <c r="AA6" i="6"/>
  <c r="AX10" i="6"/>
  <c r="AQ7" i="6"/>
  <c r="BO8" i="6"/>
  <c r="AC6" i="6"/>
  <c r="AC6" i="5"/>
  <c r="AQ7" i="5"/>
  <c r="BG8" i="5"/>
  <c r="BV9" i="5"/>
  <c r="AO13" i="5"/>
  <c r="BL14" i="5"/>
  <c r="AS32" i="6"/>
  <c r="BR30" i="6"/>
  <c r="BP27" i="6"/>
  <c r="N30" i="6"/>
  <c r="J26" i="6"/>
  <c r="AB32" i="6"/>
  <c r="M30" i="6"/>
  <c r="AM26" i="6"/>
  <c r="BZ29" i="6"/>
  <c r="AI26" i="6"/>
  <c r="AQ32" i="6"/>
  <c r="BO30" i="6"/>
  <c r="BM27" i="6"/>
  <c r="X30" i="6"/>
  <c r="BW26" i="6"/>
  <c r="B32" i="6"/>
  <c r="AW29" i="6"/>
  <c r="AU25" i="6"/>
  <c r="BC28" i="6"/>
  <c r="BA20" i="6"/>
  <c r="CA31" i="6"/>
  <c r="BV29" i="6"/>
  <c r="AA26" i="6"/>
  <c r="AM28" i="6"/>
  <c r="AB22" i="6"/>
  <c r="P32" i="6"/>
  <c r="T30" i="6"/>
  <c r="BS26" i="6"/>
  <c r="S30" i="6"/>
  <c r="AI24" i="6"/>
  <c r="L23" i="6"/>
  <c r="BP15" i="6"/>
  <c r="AP22" i="6"/>
  <c r="AG18" i="6"/>
  <c r="BZ25" i="6"/>
  <c r="BB23" i="6"/>
  <c r="Q20" i="6"/>
  <c r="S23" i="6"/>
  <c r="W26" i="6"/>
  <c r="V24" i="6"/>
  <c r="BL20" i="6"/>
  <c r="AR24" i="6"/>
  <c r="AG21" i="6"/>
  <c r="AZ25" i="6"/>
  <c r="E23" i="6"/>
  <c r="AQ19" i="6"/>
  <c r="BJ23" i="6"/>
  <c r="Z17" i="6"/>
  <c r="U26" i="6"/>
  <c r="AX23" i="6"/>
  <c r="AD20" i="6"/>
  <c r="AD24" i="6"/>
  <c r="O21" i="6"/>
  <c r="BQ8" i="6"/>
  <c r="BN25" i="6"/>
  <c r="B23" i="6"/>
  <c r="AK19" i="6"/>
  <c r="BH23" i="6"/>
  <c r="BD12" i="6"/>
  <c r="BD20" i="6"/>
  <c r="CA18" i="6"/>
  <c r="BB15" i="6"/>
  <c r="I18" i="6"/>
  <c r="AQ16" i="6"/>
  <c r="AZ19" i="6"/>
  <c r="BP16" i="6"/>
  <c r="AY18" i="6"/>
  <c r="AW15" i="6"/>
  <c r="Y19" i="6"/>
  <c r="N16" i="6"/>
  <c r="AD21" i="6"/>
  <c r="BF19" i="6"/>
  <c r="BL16" i="6"/>
  <c r="AT17" i="6"/>
  <c r="O14" i="6"/>
  <c r="AI20" i="6"/>
  <c r="M18" i="6"/>
  <c r="V19" i="6"/>
  <c r="K16" i="6"/>
  <c r="L21" i="6"/>
  <c r="AN19" i="6"/>
  <c r="AJ16" i="6"/>
  <c r="K19" i="6"/>
  <c r="BU15" i="6"/>
  <c r="AA14" i="6"/>
  <c r="G12" i="6"/>
  <c r="Y14" i="6"/>
  <c r="D12" i="6"/>
  <c r="W9" i="6"/>
  <c r="AE10" i="6"/>
  <c r="R15" i="6"/>
  <c r="AN13" i="6"/>
  <c r="BP10" i="6"/>
  <c r="AA12" i="6"/>
  <c r="N8" i="6"/>
  <c r="BZ11" i="6"/>
  <c r="AY12" i="6"/>
  <c r="BI8" i="6"/>
  <c r="X15" i="6"/>
  <c r="AW13" i="6"/>
  <c r="BZ10" i="6"/>
  <c r="AY11" i="6"/>
  <c r="AH6" i="6"/>
  <c r="BQ14" i="6"/>
  <c r="BJ12" i="6"/>
  <c r="O9" i="6"/>
  <c r="I5" i="6"/>
  <c r="X10" i="6"/>
  <c r="AA7" i="6"/>
  <c r="AQ8" i="6"/>
  <c r="E6" i="6"/>
  <c r="O5" i="5"/>
  <c r="AE6" i="5"/>
  <c r="AT7" i="5"/>
  <c r="M11" i="5"/>
  <c r="AB12" i="5"/>
  <c r="AR13" i="5"/>
  <c r="BN14" i="5"/>
  <c r="J17" i="5"/>
  <c r="BS20" i="5"/>
  <c r="AZ39" i="6"/>
  <c r="B38" i="6"/>
  <c r="AP35" i="6"/>
  <c r="R26" i="6"/>
  <c r="AK32" i="6"/>
  <c r="BG30" i="6"/>
  <c r="BB27" i="6"/>
  <c r="CA29" i="6"/>
  <c r="BD25" i="6"/>
  <c r="T32" i="6"/>
  <c r="BN29" i="6"/>
  <c r="I26" i="6"/>
  <c r="BM29" i="6"/>
  <c r="BF24" i="6"/>
  <c r="AI32" i="6"/>
  <c r="BE30" i="6"/>
  <c r="AI27" i="6"/>
  <c r="K30" i="6"/>
  <c r="AG26" i="6"/>
  <c r="BT31" i="6"/>
  <c r="AI29" i="6"/>
  <c r="U23" i="6"/>
  <c r="AO28" i="6"/>
  <c r="AC19" i="6"/>
  <c r="BS31" i="6"/>
  <c r="BI29" i="6"/>
  <c r="BU25" i="6"/>
  <c r="Y28" i="6"/>
  <c r="AM21" i="6"/>
  <c r="H32" i="6"/>
  <c r="G30" i="6"/>
  <c r="AW26" i="6"/>
  <c r="F30" i="6"/>
  <c r="BO23" i="6"/>
  <c r="BY22" i="6"/>
  <c r="BW14" i="6"/>
  <c r="AC22" i="6"/>
  <c r="BV17" i="6"/>
  <c r="BR25" i="6"/>
  <c r="AQ23" i="6"/>
  <c r="CA19" i="6"/>
  <c r="BV22" i="6"/>
  <c r="O26" i="6"/>
  <c r="I24" i="6"/>
  <c r="AV20" i="6"/>
  <c r="AF24" i="6"/>
  <c r="R19" i="6"/>
  <c r="AR25" i="6"/>
  <c r="BS22" i="6"/>
  <c r="BK18" i="6"/>
  <c r="AY23" i="6"/>
  <c r="BN16" i="6"/>
  <c r="M26" i="6"/>
  <c r="AL23" i="6"/>
  <c r="N20" i="6"/>
  <c r="Q24" i="6"/>
  <c r="BY20" i="6"/>
  <c r="AD27" i="6"/>
  <c r="BF25" i="6"/>
  <c r="BP22" i="6"/>
  <c r="BA18" i="6"/>
  <c r="AU23" i="6"/>
  <c r="D7" i="6"/>
  <c r="AN20" i="6"/>
  <c r="BO18" i="6"/>
  <c r="AL15" i="6"/>
  <c r="BW17" i="6"/>
  <c r="AD16" i="6"/>
  <c r="AR19" i="6"/>
  <c r="AP16" i="6"/>
  <c r="AB18" i="6"/>
  <c r="AG15" i="6"/>
  <c r="O19" i="6"/>
  <c r="BY15" i="6"/>
  <c r="V21" i="6"/>
  <c r="AX19" i="6"/>
  <c r="AZ16" i="6"/>
  <c r="AG17" i="6"/>
  <c r="BI13" i="6"/>
  <c r="AA20" i="6"/>
  <c r="BP17" i="6"/>
  <c r="L19" i="6"/>
  <c r="BW15" i="6"/>
  <c r="D21" i="6"/>
  <c r="AF19" i="6"/>
  <c r="J16" i="6"/>
  <c r="BP18" i="6"/>
  <c r="BE15" i="6"/>
  <c r="S14" i="6"/>
  <c r="BT11" i="6"/>
  <c r="Q14" i="6"/>
  <c r="BQ11" i="6"/>
  <c r="G9" i="6"/>
  <c r="D10" i="6"/>
  <c r="J15" i="6"/>
  <c r="Z13" i="6"/>
  <c r="BD10" i="6"/>
  <c r="CA11" i="6"/>
  <c r="BH7" i="6"/>
  <c r="BN11" i="6"/>
  <c r="Y12" i="6"/>
  <c r="AL8" i="6"/>
  <c r="P15" i="6"/>
  <c r="AJ13" i="6"/>
  <c r="BN10" i="6"/>
  <c r="Y11" i="6"/>
  <c r="B6" i="6"/>
  <c r="BI14" i="6"/>
  <c r="AV12" i="6"/>
  <c r="BC8" i="6"/>
  <c r="F15" i="6"/>
  <c r="K10" i="6"/>
  <c r="C7" i="6"/>
  <c r="AA8" i="6"/>
  <c r="AP9" i="6"/>
  <c r="Y5" i="5"/>
  <c r="AN6" i="5"/>
  <c r="BD7" i="5"/>
  <c r="BR8" i="5"/>
  <c r="W11" i="5"/>
  <c r="AK12" i="5"/>
  <c r="BA13" i="5"/>
  <c r="CA14" i="5"/>
  <c r="AR39" i="6"/>
  <c r="BT37" i="6"/>
  <c r="P35" i="6"/>
  <c r="BX17" i="6"/>
  <c r="AC32" i="6"/>
  <c r="AW30" i="6"/>
  <c r="AN27" i="6"/>
  <c r="BB29" i="6"/>
  <c r="X25" i="6"/>
  <c r="L32" i="6"/>
  <c r="BA29" i="6"/>
  <c r="BC25" i="6"/>
  <c r="AZ29" i="6"/>
  <c r="L24" i="6"/>
  <c r="AA32" i="6"/>
  <c r="AT30" i="6"/>
  <c r="R27" i="6"/>
  <c r="BX29" i="6"/>
  <c r="B26" i="6"/>
  <c r="BL31" i="6"/>
  <c r="U29" i="6"/>
  <c r="AN22" i="6"/>
  <c r="AA28" i="6"/>
  <c r="BA15" i="6"/>
  <c r="BK31" i="6"/>
  <c r="AU29" i="6"/>
  <c r="AO25" i="6"/>
  <c r="K28" i="6"/>
  <c r="AL20" i="6"/>
  <c r="BZ31" i="6"/>
  <c r="BT29" i="6"/>
  <c r="Y26" i="6"/>
  <c r="BS29" i="6"/>
  <c r="R22" i="6"/>
  <c r="BB22" i="6"/>
  <c r="AR12" i="6"/>
  <c r="F22" i="6"/>
  <c r="AM17" i="6"/>
  <c r="BJ25" i="6"/>
  <c r="T23" i="6"/>
  <c r="BK19" i="6"/>
  <c r="BI22" i="6"/>
  <c r="G26" i="6"/>
  <c r="BL23" i="6"/>
  <c r="AF20" i="6"/>
  <c r="U24" i="6"/>
  <c r="AA18" i="6"/>
  <c r="AJ25" i="6"/>
  <c r="AV22" i="6"/>
  <c r="U18" i="6"/>
  <c r="AB23" i="6"/>
  <c r="AD15" i="6"/>
  <c r="E26" i="6"/>
  <c r="AA23" i="6"/>
  <c r="BX19" i="6"/>
  <c r="BT23" i="6"/>
  <c r="BI20" i="6"/>
  <c r="V27" i="6"/>
  <c r="AX25" i="6"/>
  <c r="BE22" i="6"/>
  <c r="BA17" i="6"/>
  <c r="X23" i="6"/>
  <c r="BG23" i="6"/>
  <c r="X20" i="6"/>
  <c r="BE18" i="6"/>
  <c r="V15" i="6"/>
  <c r="AZ17" i="6"/>
  <c r="Q16" i="6"/>
  <c r="AJ19" i="6"/>
  <c r="P16" i="6"/>
  <c r="Q18" i="6"/>
  <c r="M15" i="6"/>
  <c r="BJ18" i="6"/>
  <c r="BI15" i="6"/>
  <c r="N21" i="6"/>
  <c r="AP19" i="6"/>
  <c r="Z16" i="6"/>
  <c r="J17" i="6"/>
  <c r="D13" i="6"/>
  <c r="K20" i="6"/>
  <c r="BD17" i="6"/>
  <c r="BR18" i="6"/>
  <c r="BG15" i="6"/>
  <c r="BV20" i="6"/>
  <c r="U19" i="6"/>
  <c r="BV15" i="6"/>
  <c r="AT18" i="6"/>
  <c r="AO15" i="6"/>
  <c r="K14" i="6"/>
  <c r="BH11" i="6"/>
  <c r="I14" i="6"/>
  <c r="BD11" i="6"/>
  <c r="BP8" i="6"/>
  <c r="BQ9" i="6"/>
  <c r="B15" i="6"/>
  <c r="N13" i="6"/>
  <c r="AQ10" i="6"/>
  <c r="BO11" i="6"/>
  <c r="AB7" i="6"/>
  <c r="BA11" i="6"/>
  <c r="M12" i="6"/>
  <c r="G8" i="6"/>
  <c r="H15" i="6"/>
  <c r="X13" i="6"/>
  <c r="AZ10" i="6"/>
  <c r="BY10" i="6"/>
  <c r="AV5" i="6"/>
  <c r="BA14" i="6"/>
  <c r="AJ12" i="6"/>
  <c r="AE8" i="6"/>
  <c r="BP14" i="6"/>
  <c r="BI9" i="6"/>
  <c r="BM6" i="6"/>
  <c r="Q7" i="6"/>
  <c r="R9" i="6"/>
  <c r="AB5" i="5"/>
  <c r="AP6" i="5"/>
  <c r="BU8" i="5"/>
  <c r="I10" i="5"/>
  <c r="Y11" i="5"/>
  <c r="AN12" i="5"/>
  <c r="AP17" i="5"/>
  <c r="U27" i="6"/>
  <c r="AM29" i="6"/>
  <c r="BI24" i="6"/>
  <c r="D32" i="6"/>
  <c r="X29" i="6"/>
  <c r="W25" i="6"/>
  <c r="AL29" i="6"/>
  <c r="AF23" i="6"/>
  <c r="S32" i="6"/>
  <c r="AI30" i="6"/>
  <c r="BZ26" i="6"/>
  <c r="BK29" i="6"/>
  <c r="AV25" i="6"/>
  <c r="BD31" i="6"/>
  <c r="BR28" i="6"/>
  <c r="AX21" i="6"/>
  <c r="BX27" i="6"/>
  <c r="AA33" i="6"/>
  <c r="BC31" i="6"/>
  <c r="AG29" i="6"/>
  <c r="AM24" i="6"/>
  <c r="BH27" i="6"/>
  <c r="AA19" i="6"/>
  <c r="BR31" i="6"/>
  <c r="BG29" i="6"/>
  <c r="BS25" i="6"/>
  <c r="AS29" i="6"/>
  <c r="AI21" i="6"/>
  <c r="AQ22" i="6"/>
  <c r="O25" i="6"/>
  <c r="BU21" i="6"/>
  <c r="C17" i="6"/>
  <c r="BB25" i="6"/>
  <c r="G23" i="6"/>
  <c r="AT19" i="6"/>
  <c r="AL22" i="6"/>
  <c r="BY25" i="6"/>
  <c r="BA23" i="6"/>
  <c r="P20" i="6"/>
  <c r="BX23" i="6"/>
  <c r="BL17" i="6"/>
  <c r="AB25" i="6"/>
  <c r="AJ22" i="6"/>
  <c r="BK17" i="6"/>
  <c r="O23" i="6"/>
  <c r="H9" i="6"/>
  <c r="BW25" i="6"/>
  <c r="D23" i="6"/>
  <c r="BG19" i="6"/>
  <c r="BI23" i="6"/>
  <c r="AS20" i="6"/>
  <c r="N27" i="6"/>
  <c r="AP25" i="6"/>
  <c r="AH22" i="6"/>
  <c r="P17" i="6"/>
  <c r="M23" i="6"/>
  <c r="AJ23" i="6"/>
  <c r="H20" i="6"/>
  <c r="AS18" i="6"/>
  <c r="AH14" i="6"/>
  <c r="AN17" i="6"/>
  <c r="D16" i="6"/>
  <c r="Q19" i="6"/>
  <c r="C16" i="6"/>
  <c r="E18" i="6"/>
  <c r="BU14" i="6"/>
  <c r="AX18" i="6"/>
  <c r="AS15" i="6"/>
  <c r="F21" i="6"/>
  <c r="AH19" i="6"/>
  <c r="E13" i="6"/>
  <c r="BY16" i="6"/>
  <c r="Q12" i="6"/>
  <c r="C20" i="6"/>
  <c r="AS17" i="6"/>
  <c r="AV18" i="6"/>
  <c r="AQ15" i="6"/>
  <c r="BN20" i="6"/>
  <c r="B19" i="6"/>
  <c r="BF15" i="6"/>
  <c r="AH18" i="6"/>
  <c r="Y15" i="6"/>
  <c r="C14" i="6"/>
  <c r="AT11" i="6"/>
  <c r="CA13" i="6"/>
  <c r="AR11" i="6"/>
  <c r="AT8" i="6"/>
  <c r="BB9" i="6"/>
  <c r="BT14" i="6"/>
  <c r="CA12" i="6"/>
  <c r="AD10" i="6"/>
  <c r="AO11" i="6"/>
  <c r="BV6" i="6"/>
  <c r="AN11" i="6"/>
  <c r="BM11" i="6"/>
  <c r="BA7" i="6"/>
  <c r="BZ14" i="6"/>
  <c r="J13" i="6"/>
  <c r="AN10" i="6"/>
  <c r="BM10" i="6"/>
  <c r="P5" i="6"/>
  <c r="AS14" i="6"/>
  <c r="W12" i="6"/>
  <c r="U13" i="6"/>
  <c r="BH14" i="6"/>
  <c r="M9" i="6"/>
  <c r="Q6" i="6"/>
  <c r="BS6" i="6"/>
  <c r="BR7" i="6"/>
  <c r="AK5" i="5"/>
  <c r="AZ6" i="5"/>
  <c r="S10" i="5"/>
  <c r="AH11" i="5"/>
  <c r="AX12" i="5"/>
  <c r="BL13" i="5"/>
  <c r="P15" i="5"/>
  <c r="BM22" i="5"/>
  <c r="AB39" i="6"/>
  <c r="BD37" i="6"/>
  <c r="BD34" i="6"/>
  <c r="AG25" i="6"/>
  <c r="M32" i="6"/>
  <c r="AA30" i="6"/>
  <c r="C27" i="6"/>
  <c r="Y29" i="6"/>
  <c r="AR23" i="6"/>
  <c r="BV31" i="6"/>
  <c r="J29" i="6"/>
  <c r="BG24" i="6"/>
  <c r="W29" i="6"/>
  <c r="BJ21" i="6"/>
  <c r="K32" i="6"/>
  <c r="L30" i="6"/>
  <c r="BE26" i="6"/>
  <c r="AX29" i="6"/>
  <c r="B24" i="6"/>
  <c r="AV31" i="6"/>
  <c r="BD28" i="6"/>
  <c r="BB20" i="6"/>
  <c r="BJ27" i="6"/>
  <c r="S33" i="6"/>
  <c r="AU31" i="6"/>
  <c r="S29" i="6"/>
  <c r="BR23" i="6"/>
  <c r="AT27" i="6"/>
  <c r="BE14" i="6"/>
  <c r="BJ31" i="6"/>
  <c r="AT29" i="6"/>
  <c r="AM25" i="6"/>
  <c r="P29" i="6"/>
  <c r="W20" i="6"/>
  <c r="AE22" i="6"/>
  <c r="D25" i="6"/>
  <c r="BI21" i="6"/>
  <c r="AE16" i="6"/>
  <c r="AT25" i="6"/>
  <c r="BJ22" i="6"/>
  <c r="AF18" i="6"/>
  <c r="AA22" i="6"/>
  <c r="BQ25" i="6"/>
  <c r="AO23" i="6"/>
  <c r="BZ19" i="6"/>
  <c r="BK23" i="6"/>
  <c r="AB17" i="6"/>
  <c r="T25" i="6"/>
  <c r="Y22" i="6"/>
  <c r="AA17" i="6"/>
  <c r="BR22" i="6"/>
  <c r="AM27" i="6"/>
  <c r="BO25" i="6"/>
  <c r="BQ22" i="6"/>
  <c r="J19" i="6"/>
  <c r="AW23" i="6"/>
  <c r="AC20" i="6"/>
  <c r="F27" i="6"/>
  <c r="AH25" i="6"/>
  <c r="U22" i="6"/>
  <c r="BD16" i="6"/>
  <c r="CA22" i="6"/>
  <c r="W23" i="6"/>
  <c r="BR19" i="6"/>
  <c r="V18" i="6"/>
  <c r="AQ13" i="6"/>
  <c r="AC17" i="6"/>
  <c r="BO15" i="6"/>
  <c r="G19" i="6"/>
  <c r="BN15" i="6"/>
  <c r="BH17" i="6"/>
  <c r="W14" i="6"/>
  <c r="AM18" i="6"/>
  <c r="AC15" i="6"/>
  <c r="BX20" i="6"/>
  <c r="N19" i="6"/>
  <c r="R12" i="6"/>
  <c r="BK16" i="6"/>
  <c r="AH10" i="6"/>
  <c r="BU19" i="6"/>
  <c r="V17" i="6"/>
  <c r="AI18" i="6"/>
  <c r="AA15" i="6"/>
  <c r="BF20" i="6"/>
  <c r="BQ18" i="6"/>
  <c r="AP15" i="6"/>
  <c r="W18" i="6"/>
  <c r="D15" i="6"/>
  <c r="BU13" i="6"/>
  <c r="AH11" i="6"/>
  <c r="BS13" i="6"/>
  <c r="AD11" i="6"/>
  <c r="BA13" i="6"/>
  <c r="AL9" i="6"/>
  <c r="BL14" i="6"/>
  <c r="BN12" i="6"/>
  <c r="R10" i="6"/>
  <c r="O11" i="6"/>
  <c r="AP6" i="6"/>
  <c r="AB11" i="6"/>
  <c r="AM11" i="6"/>
  <c r="U7" i="6"/>
  <c r="BR14" i="6"/>
  <c r="BX12" i="6"/>
  <c r="AA10" i="6"/>
  <c r="AM10" i="6"/>
  <c r="I16" i="6"/>
  <c r="AK14" i="6"/>
  <c r="J12" i="6"/>
  <c r="BU12" i="6"/>
  <c r="AR14" i="6"/>
  <c r="AD8" i="6"/>
  <c r="BS5" i="6"/>
  <c r="BC6" i="6"/>
  <c r="AT7" i="6"/>
  <c r="BQ7" i="5"/>
  <c r="F9" i="5"/>
  <c r="V10" i="5"/>
  <c r="AJ11" i="5"/>
  <c r="BO13" i="5"/>
  <c r="R15" i="5"/>
  <c r="BV17" i="5"/>
  <c r="T39" i="6"/>
  <c r="AV37" i="6"/>
  <c r="AD34" i="6"/>
  <c r="BU24" i="6"/>
  <c r="E32" i="6"/>
  <c r="O30" i="6"/>
  <c r="BK26" i="6"/>
  <c r="K29" i="6"/>
  <c r="BA22" i="6"/>
  <c r="BN31" i="6"/>
  <c r="BV28" i="6"/>
  <c r="M24" i="6"/>
  <c r="I29" i="6"/>
  <c r="BR20" i="6"/>
  <c r="C32" i="6"/>
  <c r="BY29" i="6"/>
  <c r="AH26" i="6"/>
  <c r="AJ29" i="6"/>
  <c r="V23" i="6"/>
  <c r="AN31" i="6"/>
  <c r="AP28" i="6"/>
  <c r="BX30" i="6"/>
  <c r="AV27" i="6"/>
  <c r="K33" i="6"/>
  <c r="AM31" i="6"/>
  <c r="E29" i="6"/>
  <c r="K23" i="6"/>
  <c r="AC27" i="6"/>
  <c r="Z33" i="6"/>
  <c r="BB31" i="6"/>
  <c r="AE29" i="6"/>
  <c r="C25" i="6"/>
  <c r="B29" i="6"/>
  <c r="BE11" i="6"/>
  <c r="H22" i="6"/>
  <c r="BH24" i="6"/>
  <c r="AK21" i="6"/>
  <c r="AZ15" i="6"/>
  <c r="AL25" i="6"/>
  <c r="AY22" i="6"/>
  <c r="BU17" i="6"/>
  <c r="O22" i="6"/>
  <c r="BI25" i="6"/>
  <c r="R23" i="6"/>
  <c r="BJ19" i="6"/>
  <c r="AN23" i="6"/>
  <c r="S16" i="6"/>
  <c r="J25" i="6"/>
  <c r="B22" i="6"/>
  <c r="BQ16" i="6"/>
  <c r="BG22" i="6"/>
  <c r="AE27" i="6"/>
  <c r="BG25" i="6"/>
  <c r="AT22" i="6"/>
  <c r="BC18" i="6"/>
  <c r="Z23" i="6"/>
  <c r="M20" i="6"/>
  <c r="BX26" i="6"/>
  <c r="Z25" i="6"/>
  <c r="BX21" i="6"/>
  <c r="E16" i="6"/>
  <c r="BD22" i="6"/>
  <c r="BZ22" i="6"/>
  <c r="AI19" i="6"/>
  <c r="J18" i="6"/>
  <c r="BE12" i="6"/>
  <c r="F17" i="6"/>
  <c r="AY15" i="6"/>
  <c r="BV18" i="6"/>
  <c r="AX15" i="6"/>
  <c r="AV17" i="6"/>
  <c r="BQ13" i="6"/>
  <c r="P18" i="6"/>
  <c r="L15" i="6"/>
  <c r="BP20" i="6"/>
  <c r="D19" i="6"/>
  <c r="AE11" i="6"/>
  <c r="AY16" i="6"/>
  <c r="AN9" i="6"/>
  <c r="BM19" i="6"/>
  <c r="I17" i="6"/>
  <c r="L18" i="6"/>
  <c r="E15" i="6"/>
  <c r="AX20" i="6"/>
  <c r="BF18" i="6"/>
  <c r="Z15" i="6"/>
  <c r="BZ17" i="6"/>
  <c r="BG14" i="6"/>
  <c r="BM13" i="6"/>
  <c r="U11" i="6"/>
  <c r="BK13" i="6"/>
  <c r="R11" i="6"/>
  <c r="AA13" i="6"/>
  <c r="V9" i="6"/>
  <c r="BD14" i="6"/>
  <c r="BB12" i="6"/>
  <c r="BO9" i="6"/>
  <c r="C11" i="6"/>
  <c r="J6" i="6"/>
  <c r="N11" i="6"/>
  <c r="AA11" i="6"/>
  <c r="BO6" i="6"/>
  <c r="BJ14" i="6"/>
  <c r="BK12" i="6"/>
  <c r="N10" i="6"/>
  <c r="M10" i="6"/>
  <c r="CA15" i="6"/>
  <c r="AC14" i="6"/>
  <c r="BX11" i="6"/>
  <c r="AI12" i="6"/>
  <c r="T14" i="6"/>
  <c r="G13" i="6"/>
  <c r="BC5" i="6"/>
  <c r="AS5" i="6"/>
  <c r="L6" i="6"/>
  <c r="AV5" i="5"/>
  <c r="CA7" i="5"/>
  <c r="O9" i="5"/>
  <c r="AE10" i="5"/>
  <c r="AT11" i="5"/>
  <c r="AH15" i="5"/>
  <c r="L39" i="6"/>
  <c r="AN37" i="6"/>
  <c r="D34" i="6"/>
  <c r="AA24" i="6"/>
  <c r="BW31" i="6"/>
  <c r="B30" i="6"/>
  <c r="AO26" i="6"/>
  <c r="BW28" i="6"/>
  <c r="G21" i="6"/>
  <c r="BF31" i="6"/>
  <c r="BH28" i="6"/>
  <c r="AH23" i="6"/>
  <c r="BU28" i="6"/>
  <c r="BO19" i="6"/>
  <c r="BU31" i="6"/>
  <c r="BL29" i="6"/>
  <c r="C26" i="6"/>
  <c r="V29" i="6"/>
  <c r="AO22" i="6"/>
  <c r="AF31" i="6"/>
  <c r="AB28" i="6"/>
  <c r="BC30" i="6"/>
  <c r="AG27" i="6"/>
  <c r="C33" i="6"/>
  <c r="AE31" i="6"/>
  <c r="BB28" i="6"/>
  <c r="AM20" i="6"/>
  <c r="K27" i="6"/>
  <c r="R33" i="6"/>
  <c r="AT31" i="6"/>
  <c r="Q29" i="6"/>
  <c r="AJ24" i="6"/>
  <c r="BN28" i="6"/>
  <c r="P25" i="6"/>
  <c r="BV21" i="6"/>
  <c r="AV24" i="6"/>
  <c r="AY19" i="6"/>
  <c r="BC14" i="6"/>
  <c r="AD25" i="6"/>
  <c r="AM22" i="6"/>
  <c r="BS10" i="6"/>
  <c r="BR21" i="6"/>
  <c r="BA25" i="6"/>
  <c r="F23" i="6"/>
  <c r="AS19" i="6"/>
  <c r="AC23" i="6"/>
  <c r="AJ15" i="6"/>
  <c r="BZ24" i="6"/>
  <c r="BO21" i="6"/>
  <c r="R16" i="6"/>
  <c r="AU22" i="6"/>
  <c r="W27" i="6"/>
  <c r="AY25" i="6"/>
  <c r="AI22" i="6"/>
  <c r="BJ17" i="6"/>
  <c r="N23" i="6"/>
  <c r="BW19" i="6"/>
  <c r="BP26" i="6"/>
  <c r="H25" i="6"/>
  <c r="BM21" i="6"/>
  <c r="AE13" i="6"/>
  <c r="AR22" i="6"/>
  <c r="BO22" i="6"/>
  <c r="E19" i="6"/>
  <c r="BY17" i="6"/>
  <c r="BR11" i="6"/>
  <c r="BF16" i="6"/>
  <c r="AI15" i="6"/>
  <c r="BL18" i="6"/>
  <c r="AH15" i="6"/>
  <c r="AK17" i="6"/>
  <c r="AE12" i="6"/>
  <c r="C18" i="6"/>
  <c r="BO14" i="6"/>
  <c r="BH20" i="6"/>
  <c r="BT18" i="6"/>
  <c r="V8" i="6"/>
  <c r="AL16" i="6"/>
  <c r="BQ7" i="6"/>
  <c r="BE19" i="6"/>
  <c r="BX16" i="6"/>
  <c r="CA17" i="6"/>
  <c r="BM14" i="6"/>
  <c r="AP20" i="6"/>
  <c r="AU18" i="6"/>
  <c r="BK14" i="6"/>
  <c r="BM17" i="6"/>
  <c r="G14" i="6"/>
  <c r="BE13" i="6"/>
  <c r="H11" i="6"/>
  <c r="BB13" i="6"/>
  <c r="E11" i="6"/>
  <c r="O13" i="6"/>
  <c r="F9" i="6"/>
  <c r="AV14" i="6"/>
  <c r="AN12" i="6"/>
  <c r="BA9" i="6"/>
  <c r="BC10" i="6"/>
  <c r="BD5" i="6"/>
  <c r="B11" i="6"/>
  <c r="CA10" i="6"/>
  <c r="AI6" i="6"/>
  <c r="BB14" i="6"/>
  <c r="AX12" i="6"/>
  <c r="CA9" i="6"/>
  <c r="BZ9" i="6"/>
  <c r="BS15" i="6"/>
  <c r="U14" i="6"/>
  <c r="AX11" i="6"/>
  <c r="AW11" i="6"/>
  <c r="BV13" i="6"/>
  <c r="AG12" i="6"/>
  <c r="AE5" i="6"/>
  <c r="U5" i="6"/>
  <c r="BN5" i="6"/>
  <c r="AY5" i="5"/>
  <c r="BM6" i="5"/>
  <c r="C8" i="5"/>
  <c r="R9" i="5"/>
  <c r="BK12" i="5"/>
  <c r="BZ13" i="5"/>
  <c r="AL15" i="5"/>
  <c r="AB18" i="5"/>
  <c r="D39" i="6"/>
  <c r="AF37" i="6"/>
  <c r="BR33" i="6"/>
  <c r="BE23" i="6"/>
  <c r="BO31" i="6"/>
  <c r="BO29" i="6"/>
  <c r="K26" i="6"/>
  <c r="AT28" i="6"/>
  <c r="BQ19" i="6"/>
  <c r="AX31" i="6"/>
  <c r="AS28" i="6"/>
  <c r="AZ22" i="6"/>
  <c r="BG28" i="6"/>
  <c r="D17" i="6"/>
  <c r="BM31" i="6"/>
  <c r="AY29" i="6"/>
  <c r="AW25" i="6"/>
  <c r="G29" i="6"/>
  <c r="BG21" i="6"/>
  <c r="X31" i="6"/>
  <c r="M28" i="6"/>
  <c r="AR30" i="6"/>
  <c r="M27" i="6"/>
  <c r="BU32" i="6"/>
  <c r="W31" i="6"/>
  <c r="AN28" i="6"/>
  <c r="BA30" i="6"/>
  <c r="BT26" i="6"/>
  <c r="J33" i="6"/>
  <c r="AL31" i="6"/>
  <c r="C29" i="6"/>
  <c r="BP23" i="6"/>
  <c r="AZ28" i="6"/>
  <c r="F25" i="6"/>
  <c r="BK21" i="6"/>
  <c r="AK24" i="6"/>
  <c r="AB19" i="6"/>
  <c r="BU10" i="6"/>
  <c r="V25" i="6"/>
  <c r="P22" i="6"/>
  <c r="L25" i="6"/>
  <c r="BF21" i="6"/>
  <c r="AS25" i="6"/>
  <c r="BU22" i="6"/>
  <c r="BM18" i="6"/>
  <c r="Q23" i="6"/>
  <c r="B14" i="6"/>
  <c r="BN24" i="6"/>
  <c r="AR21" i="6"/>
  <c r="BY13" i="6"/>
  <c r="X22" i="6"/>
  <c r="O27" i="6"/>
  <c r="AQ25" i="6"/>
  <c r="W22" i="6"/>
  <c r="X17" i="6"/>
  <c r="C23" i="6"/>
  <c r="BC19" i="6"/>
  <c r="BH26" i="6"/>
  <c r="BW24" i="6"/>
  <c r="BA21" i="6"/>
  <c r="E7" i="6"/>
  <c r="AG22" i="6"/>
  <c r="BC22" i="6"/>
  <c r="AR18" i="6"/>
  <c r="BB17" i="6"/>
  <c r="I10" i="6"/>
  <c r="AF16" i="6"/>
  <c r="S15" i="6"/>
  <c r="AZ18" i="6"/>
  <c r="Q15" i="6"/>
  <c r="N17" i="6"/>
  <c r="AU10" i="6"/>
  <c r="BF17" i="6"/>
  <c r="AU14" i="6"/>
  <c r="AZ20" i="6"/>
  <c r="BI18" i="6"/>
  <c r="BM5" i="6"/>
  <c r="Y16" i="6"/>
  <c r="AC21" i="6"/>
  <c r="AW19" i="6"/>
  <c r="AX16" i="6"/>
  <c r="BO17" i="6"/>
  <c r="AO14" i="6"/>
  <c r="AH20" i="6"/>
  <c r="X18" i="6"/>
  <c r="AM14" i="6"/>
  <c r="AP17" i="6"/>
  <c r="AX13" i="6"/>
  <c r="AR13" i="6"/>
  <c r="BV10" i="6"/>
  <c r="AO13" i="6"/>
  <c r="BR10" i="6"/>
  <c r="BO12" i="6"/>
  <c r="AS8" i="6"/>
  <c r="AN14" i="6"/>
  <c r="AB12" i="6"/>
  <c r="AK9" i="6"/>
  <c r="AC10" i="6"/>
  <c r="X5" i="6"/>
  <c r="BO10" i="6"/>
  <c r="BA10" i="6"/>
  <c r="C6" i="6"/>
  <c r="AT14" i="6"/>
  <c r="AL12" i="6"/>
  <c r="BH8" i="6"/>
  <c r="BL9" i="6"/>
  <c r="BK15" i="6"/>
  <c r="M14" i="6"/>
  <c r="AK11" i="6"/>
  <c r="W11" i="6"/>
  <c r="AT13" i="6"/>
  <c r="AU11" i="6"/>
  <c r="O5" i="6"/>
  <c r="D9" i="6"/>
  <c r="Y4" i="5"/>
  <c r="BW6" i="5"/>
  <c r="L8" i="5"/>
  <c r="AB9" i="5"/>
  <c r="AP10" i="5"/>
  <c r="BU12" i="5"/>
  <c r="I14" i="5"/>
  <c r="AB27" i="5"/>
  <c r="BV38" i="6"/>
  <c r="X37" i="6"/>
  <c r="AR33" i="6"/>
  <c r="Q22" i="6"/>
  <c r="BG31" i="6"/>
  <c r="AN29" i="6"/>
  <c r="BE25" i="6"/>
  <c r="AF28" i="6"/>
  <c r="N33" i="6"/>
  <c r="AP31" i="6"/>
  <c r="AE28" i="6"/>
  <c r="BT21" i="6"/>
  <c r="AD28" i="6"/>
  <c r="AC33" i="6"/>
  <c r="BE31" i="6"/>
  <c r="AK29" i="6"/>
  <c r="AX24" i="6"/>
  <c r="BS28" i="6"/>
  <c r="BC20" i="6"/>
  <c r="P31" i="6"/>
  <c r="BY27" i="6"/>
  <c r="V30" i="6"/>
  <c r="BU26" i="6"/>
  <c r="BM32" i="6"/>
  <c r="O31" i="6"/>
  <c r="Z28" i="6"/>
  <c r="H30" i="6"/>
  <c r="AX26" i="6"/>
  <c r="B33" i="6"/>
  <c r="AD31" i="6"/>
  <c r="BO28" i="6"/>
  <c r="H23" i="6"/>
  <c r="AK28" i="6"/>
  <c r="BJ24" i="6"/>
  <c r="AN21" i="6"/>
  <c r="N24" i="6"/>
  <c r="BW18" i="6"/>
  <c r="BL26" i="6"/>
  <c r="M25" i="6"/>
  <c r="D22" i="6"/>
  <c r="BQ24" i="6"/>
  <c r="AU21" i="6"/>
  <c r="AK25" i="6"/>
  <c r="AX22" i="6"/>
  <c r="AD18" i="6"/>
  <c r="BT22" i="6"/>
  <c r="AL26" i="6"/>
  <c r="BC24" i="6"/>
  <c r="Q21" i="6"/>
  <c r="BT9" i="6"/>
  <c r="L22" i="6"/>
  <c r="G27" i="6"/>
  <c r="AI25" i="6"/>
  <c r="BZ21" i="6"/>
  <c r="BG16" i="6"/>
  <c r="BF22" i="6"/>
  <c r="I19" i="6"/>
  <c r="AZ26" i="6"/>
  <c r="AZ24" i="6"/>
  <c r="AA21" i="6"/>
  <c r="Q25" i="6"/>
  <c r="J22" i="6"/>
  <c r="AF22" i="6"/>
  <c r="AX17" i="6"/>
  <c r="AO17" i="6"/>
  <c r="AJ7" i="6"/>
  <c r="T16" i="6"/>
  <c r="BV14" i="6"/>
  <c r="AO18" i="6"/>
  <c r="AX14" i="6"/>
  <c r="CA16" i="6"/>
  <c r="S6" i="6"/>
  <c r="AU17" i="6"/>
  <c r="R14" i="6"/>
  <c r="AR20" i="6"/>
  <c r="AL18" i="6"/>
  <c r="X19" i="6"/>
  <c r="M16" i="6"/>
  <c r="U21" i="6"/>
  <c r="AO19" i="6"/>
  <c r="X16" i="6"/>
  <c r="AR17" i="6"/>
  <c r="J14" i="6"/>
  <c r="Z20" i="6"/>
  <c r="K18" i="6"/>
  <c r="BC13" i="6"/>
  <c r="AE17" i="6"/>
  <c r="BQ12" i="6"/>
  <c r="AF13" i="6"/>
  <c r="BH10" i="6"/>
  <c r="AB13" i="6"/>
  <c r="BF10" i="6"/>
  <c r="AO12" i="6"/>
  <c r="O8" i="6"/>
  <c r="AF14" i="6"/>
  <c r="O12" i="6"/>
  <c r="U9" i="6"/>
  <c r="Q10" i="6"/>
  <c r="Y13" i="6"/>
  <c r="BB10" i="6"/>
  <c r="AO10" i="6"/>
  <c r="AW5" i="6"/>
  <c r="AL14" i="6"/>
  <c r="X12" i="6"/>
  <c r="AK8" i="6"/>
  <c r="AV9" i="6"/>
  <c r="BC15" i="6"/>
  <c r="E14" i="6"/>
  <c r="L11" i="6"/>
  <c r="K11" i="6"/>
  <c r="T13" i="6"/>
  <c r="I11" i="6"/>
  <c r="L8" i="6"/>
  <c r="BF8" i="6"/>
  <c r="Z4" i="5"/>
  <c r="BJ5" i="5"/>
  <c r="BZ6" i="5"/>
  <c r="N8" i="5"/>
  <c r="AS10" i="5"/>
  <c r="BG11" i="5"/>
  <c r="BW12" i="5"/>
  <c r="M14" i="5"/>
  <c r="BJ15" i="5"/>
  <c r="BH18" i="5"/>
  <c r="K28" i="5"/>
  <c r="BU5" i="6"/>
  <c r="BN13" i="6"/>
  <c r="V11" i="6"/>
  <c r="AS13" i="6"/>
  <c r="K9" i="6"/>
  <c r="BG7" i="6"/>
  <c r="I6" i="6"/>
  <c r="D8" i="6"/>
  <c r="AF6" i="6"/>
  <c r="BG8" i="6"/>
  <c r="I7" i="6"/>
  <c r="AK5" i="6"/>
  <c r="BV8" i="6"/>
  <c r="X7" i="6"/>
  <c r="AZ5" i="6"/>
  <c r="BS7" i="6"/>
  <c r="U6" i="6"/>
  <c r="AH9" i="6"/>
  <c r="BJ7" i="6"/>
  <c r="D6" i="6"/>
  <c r="AN4" i="5"/>
  <c r="AK4" i="5"/>
  <c r="L4" i="5"/>
  <c r="C5" i="5"/>
  <c r="N5" i="5"/>
  <c r="Z5" i="5"/>
  <c r="AW5" i="5"/>
  <c r="BI5" i="5"/>
  <c r="BT5" i="5"/>
  <c r="Q6" i="5"/>
  <c r="AD6" i="5"/>
  <c r="BA6" i="5"/>
  <c r="BL6" i="5"/>
  <c r="BX6" i="5"/>
  <c r="U7" i="5"/>
  <c r="AG7" i="5"/>
  <c r="AR7" i="5"/>
  <c r="BO7" i="5"/>
  <c r="B8" i="5"/>
  <c r="Y8" i="5"/>
  <c r="AJ8" i="5"/>
  <c r="AV8" i="5"/>
  <c r="BS8" i="5"/>
  <c r="E9" i="5"/>
  <c r="P9" i="5"/>
  <c r="AM9" i="5"/>
  <c r="AZ9" i="5"/>
  <c r="BW9" i="5"/>
  <c r="H10" i="5"/>
  <c r="T10" i="5"/>
  <c r="AQ10" i="5"/>
  <c r="BC10" i="5"/>
  <c r="BN10" i="5"/>
  <c r="K11" i="5"/>
  <c r="X11" i="5"/>
  <c r="AU11" i="5"/>
  <c r="BF11" i="5"/>
  <c r="BR11" i="5"/>
  <c r="O12" i="5"/>
  <c r="AA12" i="5"/>
  <c r="AL12" i="5"/>
  <c r="BI12" i="5"/>
  <c r="BV12" i="5"/>
  <c r="S13" i="5"/>
  <c r="AD13" i="5"/>
  <c r="AP13" i="5"/>
  <c r="BM13" i="5"/>
  <c r="BY13" i="5"/>
  <c r="J14" i="5"/>
  <c r="AL14" i="5"/>
  <c r="AX14" i="5"/>
  <c r="BF15" i="5"/>
  <c r="AF16" i="5"/>
  <c r="AW19" i="5"/>
  <c r="M20" i="5"/>
  <c r="BF21" i="5"/>
  <c r="BP22" i="5"/>
  <c r="BS27" i="5"/>
  <c r="AO5" i="6"/>
  <c r="BF13" i="6"/>
  <c r="J11" i="6"/>
  <c r="S13" i="6"/>
  <c r="BA8" i="6"/>
  <c r="AY7" i="6"/>
  <c r="CA5" i="6"/>
  <c r="BV7" i="6"/>
  <c r="X6" i="6"/>
  <c r="AY8" i="6"/>
  <c r="CA6" i="6"/>
  <c r="AC5" i="6"/>
  <c r="BN8" i="6"/>
  <c r="P7" i="6"/>
  <c r="AR5" i="6"/>
  <c r="BK7" i="6"/>
  <c r="M6" i="6"/>
  <c r="Z9" i="6"/>
  <c r="BB7" i="6"/>
  <c r="BV5" i="6"/>
  <c r="W4" i="5"/>
  <c r="AC4" i="5"/>
  <c r="D4" i="5"/>
  <c r="D5" i="5"/>
  <c r="AA5" i="5"/>
  <c r="AL5" i="5"/>
  <c r="AX5" i="5"/>
  <c r="BU5" i="5"/>
  <c r="G6" i="5"/>
  <c r="R6" i="5"/>
  <c r="AO6" i="5"/>
  <c r="BB6" i="5"/>
  <c r="BY6" i="5"/>
  <c r="J7" i="5"/>
  <c r="V7" i="5"/>
  <c r="AS7" i="5"/>
  <c r="BE7" i="5"/>
  <c r="BP7" i="5"/>
  <c r="M8" i="5"/>
  <c r="Z8" i="5"/>
  <c r="AW8" i="5"/>
  <c r="BH8" i="5"/>
  <c r="BT8" i="5"/>
  <c r="Q9" i="5"/>
  <c r="AC9" i="5"/>
  <c r="AN9" i="5"/>
  <c r="BK9" i="5"/>
  <c r="BX9" i="5"/>
  <c r="U10" i="5"/>
  <c r="AF10" i="5"/>
  <c r="AR10" i="5"/>
  <c r="BO10" i="5"/>
  <c r="CA10" i="5"/>
  <c r="L11" i="5"/>
  <c r="AI11" i="5"/>
  <c r="AV11" i="5"/>
  <c r="BS11" i="5"/>
  <c r="D12" i="5"/>
  <c r="P12" i="5"/>
  <c r="AM12" i="5"/>
  <c r="AY12" i="5"/>
  <c r="BJ12" i="5"/>
  <c r="G13" i="5"/>
  <c r="T13" i="5"/>
  <c r="AQ13" i="5"/>
  <c r="BB13" i="5"/>
  <c r="BN13" i="5"/>
  <c r="L14" i="5"/>
  <c r="X14" i="5"/>
  <c r="AZ14" i="5"/>
  <c r="BM14" i="5"/>
  <c r="B15" i="5"/>
  <c r="AI15" i="5"/>
  <c r="H16" i="5"/>
  <c r="AX19" i="5"/>
  <c r="N20" i="5"/>
  <c r="BK20" i="5"/>
  <c r="B28" i="5"/>
  <c r="AK10" i="6"/>
  <c r="N15" i="6"/>
  <c r="AG13" i="6"/>
  <c r="BJ10" i="6"/>
  <c r="BG12" i="6"/>
  <c r="BX7" i="6"/>
  <c r="AI7" i="6"/>
  <c r="BK5" i="6"/>
  <c r="BF7" i="6"/>
  <c r="H6" i="6"/>
  <c r="AI8" i="6"/>
  <c r="BK6" i="6"/>
  <c r="M5" i="6"/>
  <c r="AX8" i="6"/>
  <c r="BZ6" i="6"/>
  <c r="AB5" i="6"/>
  <c r="AU7" i="6"/>
  <c r="BW5" i="6"/>
  <c r="J9" i="6"/>
  <c r="AL7" i="6"/>
  <c r="BF5" i="6"/>
  <c r="BC4" i="5"/>
  <c r="E4" i="5"/>
  <c r="AU4" i="5"/>
  <c r="E5" i="5"/>
  <c r="P5" i="5"/>
  <c r="AM5" i="5"/>
  <c r="AZ5" i="5"/>
  <c r="BW5" i="5"/>
  <c r="H6" i="5"/>
  <c r="T6" i="5"/>
  <c r="AQ6" i="5"/>
  <c r="BC6" i="5"/>
  <c r="BN6" i="5"/>
  <c r="K7" i="5"/>
  <c r="X7" i="5"/>
  <c r="AU7" i="5"/>
  <c r="BF7" i="5"/>
  <c r="BR7" i="5"/>
  <c r="O8" i="5"/>
  <c r="AA8" i="5"/>
  <c r="AL8" i="5"/>
  <c r="BI8" i="5"/>
  <c r="BV8" i="5"/>
  <c r="S9" i="5"/>
  <c r="AD9" i="5"/>
  <c r="AP9" i="5"/>
  <c r="BM9" i="5"/>
  <c r="BY9" i="5"/>
  <c r="J10" i="5"/>
  <c r="AG10" i="5"/>
  <c r="AT10" i="5"/>
  <c r="BQ10" i="5"/>
  <c r="B11" i="5"/>
  <c r="N11" i="5"/>
  <c r="AK11" i="5"/>
  <c r="AW11" i="5"/>
  <c r="BH11" i="5"/>
  <c r="E12" i="5"/>
  <c r="R12" i="5"/>
  <c r="AO12" i="5"/>
  <c r="AZ12" i="5"/>
  <c r="BL12" i="5"/>
  <c r="I13" i="5"/>
  <c r="U13" i="5"/>
  <c r="AF13" i="5"/>
  <c r="BC13" i="5"/>
  <c r="BP13" i="5"/>
  <c r="N14" i="5"/>
  <c r="Y14" i="5"/>
  <c r="BP14" i="5"/>
  <c r="C15" i="5"/>
  <c r="AJ16" i="5"/>
  <c r="BF19" i="5"/>
  <c r="V20" i="5"/>
  <c r="L23" i="5"/>
  <c r="BZ24" i="5"/>
  <c r="BB28" i="5"/>
  <c r="E5" i="6"/>
  <c r="AP8" i="6"/>
  <c r="BR6" i="6"/>
  <c r="T5" i="6"/>
  <c r="AM7" i="6"/>
  <c r="BO5" i="6"/>
  <c r="B9" i="6"/>
  <c r="AD7" i="6"/>
  <c r="AX5" i="6"/>
  <c r="O4" i="5"/>
  <c r="R4" i="5"/>
  <c r="AR4" i="5"/>
  <c r="Q5" i="5"/>
  <c r="AC5" i="5"/>
  <c r="AN5" i="5"/>
  <c r="BK5" i="5"/>
  <c r="BX5" i="5"/>
  <c r="U6" i="5"/>
  <c r="AF6" i="5"/>
  <c r="AR6" i="5"/>
  <c r="BO6" i="5"/>
  <c r="CA6" i="5"/>
  <c r="L7" i="5"/>
  <c r="AI7" i="5"/>
  <c r="AV7" i="5"/>
  <c r="BS7" i="5"/>
  <c r="D8" i="5"/>
  <c r="P8" i="5"/>
  <c r="AM8" i="5"/>
  <c r="AY8" i="5"/>
  <c r="BJ8" i="5"/>
  <c r="G9" i="5"/>
  <c r="T9" i="5"/>
  <c r="AQ9" i="5"/>
  <c r="BB9" i="5"/>
  <c r="BN9" i="5"/>
  <c r="K10" i="5"/>
  <c r="W10" i="5"/>
  <c r="AH10" i="5"/>
  <c r="BE10" i="5"/>
  <c r="BR10" i="5"/>
  <c r="O11" i="5"/>
  <c r="Z11" i="5"/>
  <c r="AL11" i="5"/>
  <c r="BI11" i="5"/>
  <c r="BU11" i="5"/>
  <c r="F12" i="5"/>
  <c r="AC12" i="5"/>
  <c r="AP12" i="5"/>
  <c r="BM12" i="5"/>
  <c r="BX12" i="5"/>
  <c r="J13" i="5"/>
  <c r="AG13" i="5"/>
  <c r="AS13" i="5"/>
  <c r="BD13" i="5"/>
  <c r="CA13" i="5"/>
  <c r="Z14" i="5"/>
  <c r="AN14" i="5"/>
  <c r="BC14" i="5"/>
  <c r="BR14" i="5"/>
  <c r="D15" i="5"/>
  <c r="S15" i="5"/>
  <c r="L16" i="5"/>
  <c r="BL16" i="5"/>
  <c r="BG19" i="5"/>
  <c r="X20" i="5"/>
  <c r="CA20" i="5"/>
  <c r="P23" i="5"/>
  <c r="BE28" i="5"/>
  <c r="BJ11" i="6"/>
  <c r="BY8" i="6"/>
  <c r="BW9" i="6"/>
  <c r="BX14" i="6"/>
  <c r="H13" i="6"/>
  <c r="AJ10" i="6"/>
  <c r="U12" i="6"/>
  <c r="L7" i="6"/>
  <c r="S7" i="6"/>
  <c r="AU5" i="6"/>
  <c r="AP7" i="6"/>
  <c r="BR5" i="6"/>
  <c r="S8" i="6"/>
  <c r="AU6" i="6"/>
  <c r="F10" i="6"/>
  <c r="AH8" i="6"/>
  <c r="BJ6" i="6"/>
  <c r="L5" i="6"/>
  <c r="AE7" i="6"/>
  <c r="BG5" i="6"/>
  <c r="BT8" i="6"/>
  <c r="V7" i="6"/>
  <c r="AP5" i="6"/>
  <c r="BE4" i="5"/>
  <c r="BM4" i="5"/>
  <c r="Q4" i="5"/>
  <c r="F5" i="5"/>
  <c r="R5" i="5"/>
  <c r="AO5" i="5"/>
  <c r="BA5" i="5"/>
  <c r="BL5" i="5"/>
  <c r="I6" i="5"/>
  <c r="V6" i="5"/>
  <c r="AS6" i="5"/>
  <c r="BD6" i="5"/>
  <c r="BP6" i="5"/>
  <c r="M7" i="5"/>
  <c r="Y7" i="5"/>
  <c r="AJ7" i="5"/>
  <c r="BG7" i="5"/>
  <c r="BT7" i="5"/>
  <c r="Q8" i="5"/>
  <c r="AB8" i="5"/>
  <c r="AN8" i="5"/>
  <c r="BK8" i="5"/>
  <c r="BW8" i="5"/>
  <c r="H9" i="5"/>
  <c r="AE9" i="5"/>
  <c r="AR9" i="5"/>
  <c r="BO9" i="5"/>
  <c r="BZ9" i="5"/>
  <c r="L10" i="5"/>
  <c r="AI10" i="5"/>
  <c r="AU10" i="5"/>
  <c r="BF10" i="5"/>
  <c r="C11" i="5"/>
  <c r="P11" i="5"/>
  <c r="AM11" i="5"/>
  <c r="AX11" i="5"/>
  <c r="BJ11" i="5"/>
  <c r="G12" i="5"/>
  <c r="S12" i="5"/>
  <c r="AD12" i="5"/>
  <c r="BA12" i="5"/>
  <c r="BN12" i="5"/>
  <c r="K13" i="5"/>
  <c r="V13" i="5"/>
  <c r="AH13" i="5"/>
  <c r="BE13" i="5"/>
  <c r="BQ13" i="5"/>
  <c r="B14" i="5"/>
  <c r="O14" i="5"/>
  <c r="AB14" i="5"/>
  <c r="F15" i="5"/>
  <c r="T15" i="5"/>
  <c r="AP15" i="5"/>
  <c r="BN15" i="5"/>
  <c r="AN16" i="5"/>
  <c r="BH19" i="5"/>
  <c r="C21" i="5"/>
  <c r="D22" i="5"/>
  <c r="T23" i="5"/>
  <c r="BN28" i="5"/>
  <c r="BU11" i="6"/>
  <c r="BF6" i="6"/>
  <c r="K7" i="6"/>
  <c r="AM5" i="6"/>
  <c r="AH7" i="6"/>
  <c r="BJ5" i="6"/>
  <c r="K8" i="6"/>
  <c r="AM6" i="6"/>
  <c r="BX9" i="6"/>
  <c r="Z8" i="6"/>
  <c r="BB6" i="6"/>
  <c r="D5" i="6"/>
  <c r="W7" i="6"/>
  <c r="AY5" i="6"/>
  <c r="BL8" i="6"/>
  <c r="N7" i="6"/>
  <c r="Z5" i="6"/>
  <c r="BR4" i="5"/>
  <c r="BS4" i="5"/>
  <c r="BB4" i="5"/>
  <c r="S5" i="5"/>
  <c r="AD5" i="5"/>
  <c r="AP5" i="5"/>
  <c r="BM5" i="5"/>
  <c r="BY5" i="5"/>
  <c r="J6" i="5"/>
  <c r="AG6" i="5"/>
  <c r="AT6" i="5"/>
  <c r="BQ6" i="5"/>
  <c r="B7" i="5"/>
  <c r="N7" i="5"/>
  <c r="AK7" i="5"/>
  <c r="AW7" i="5"/>
  <c r="BH7" i="5"/>
  <c r="E8" i="5"/>
  <c r="R8" i="5"/>
  <c r="AO8" i="5"/>
  <c r="AZ8" i="5"/>
  <c r="BL8" i="5"/>
  <c r="I9" i="5"/>
  <c r="U9" i="5"/>
  <c r="AF9" i="5"/>
  <c r="BC9" i="5"/>
  <c r="BP9" i="5"/>
  <c r="M10" i="5"/>
  <c r="X10" i="5"/>
  <c r="AJ10" i="5"/>
  <c r="BG10" i="5"/>
  <c r="BS10" i="5"/>
  <c r="D11" i="5"/>
  <c r="AA11" i="5"/>
  <c r="AN11" i="5"/>
  <c r="BK11" i="5"/>
  <c r="BV11" i="5"/>
  <c r="H12" i="5"/>
  <c r="AE12" i="5"/>
  <c r="AQ12" i="5"/>
  <c r="BB12" i="5"/>
  <c r="BY12" i="5"/>
  <c r="L13" i="5"/>
  <c r="AI13" i="5"/>
  <c r="AT13" i="5"/>
  <c r="BF13" i="5"/>
  <c r="C14" i="5"/>
  <c r="AC14" i="5"/>
  <c r="AO14" i="5"/>
  <c r="BD14" i="5"/>
  <c r="BS14" i="5"/>
  <c r="H15" i="5"/>
  <c r="V15" i="5"/>
  <c r="P16" i="5"/>
  <c r="R17" i="5"/>
  <c r="AX17" i="5"/>
  <c r="D18" i="5"/>
  <c r="AJ18" i="5"/>
  <c r="BP18" i="5"/>
  <c r="K21" i="5"/>
  <c r="M22" i="5"/>
  <c r="AG23" i="5"/>
  <c r="BB5" i="6"/>
  <c r="C8" i="6"/>
  <c r="AE6" i="6"/>
  <c r="BP9" i="6"/>
  <c r="R8" i="6"/>
  <c r="AT6" i="6"/>
  <c r="BM8" i="6"/>
  <c r="O7" i="6"/>
  <c r="AQ5" i="6"/>
  <c r="BD8" i="6"/>
  <c r="F7" i="6"/>
  <c r="J5" i="6"/>
  <c r="AL4" i="5"/>
  <c r="AO4" i="5"/>
  <c r="BW4" i="5"/>
  <c r="G5" i="5"/>
  <c r="T5" i="5"/>
  <c r="AQ5" i="5"/>
  <c r="BB5" i="5"/>
  <c r="BN5" i="5"/>
  <c r="K6" i="5"/>
  <c r="W6" i="5"/>
  <c r="AH6" i="5"/>
  <c r="BE6" i="5"/>
  <c r="BR6" i="5"/>
  <c r="O7" i="5"/>
  <c r="Z7" i="5"/>
  <c r="AL7" i="5"/>
  <c r="BI7" i="5"/>
  <c r="BU7" i="5"/>
  <c r="F8" i="5"/>
  <c r="AC8" i="5"/>
  <c r="AP8" i="5"/>
  <c r="BM8" i="5"/>
  <c r="BX8" i="5"/>
  <c r="J9" i="5"/>
  <c r="AG9" i="5"/>
  <c r="AS9" i="5"/>
  <c r="BD9" i="5"/>
  <c r="CA9" i="5"/>
  <c r="N10" i="5"/>
  <c r="AK10" i="5"/>
  <c r="AV10" i="5"/>
  <c r="BH10" i="5"/>
  <c r="E11" i="5"/>
  <c r="Q11" i="5"/>
  <c r="AB11" i="5"/>
  <c r="AY11" i="5"/>
  <c r="BL11" i="5"/>
  <c r="I12" i="5"/>
  <c r="T12" i="5"/>
  <c r="AF12" i="5"/>
  <c r="BC12" i="5"/>
  <c r="BO12" i="5"/>
  <c r="BZ12" i="5"/>
  <c r="W13" i="5"/>
  <c r="AJ13" i="5"/>
  <c r="BG13" i="5"/>
  <c r="BR13" i="5"/>
  <c r="D14" i="5"/>
  <c r="P14" i="5"/>
  <c r="AD14" i="5"/>
  <c r="AP14" i="5"/>
  <c r="AQ15" i="5"/>
  <c r="BR15" i="5"/>
  <c r="BP16" i="5"/>
  <c r="Z19" i="5"/>
  <c r="BP19" i="5"/>
  <c r="Q21" i="5"/>
  <c r="T22" i="5"/>
  <c r="AP23" i="5"/>
  <c r="X11" i="6"/>
  <c r="AU13" i="6"/>
  <c r="AD9" i="6"/>
  <c r="AZ14" i="6"/>
  <c r="AU12" i="6"/>
  <c r="BV9" i="6"/>
  <c r="AI11" i="6"/>
  <c r="BT5" i="6"/>
  <c r="BU6" i="6"/>
  <c r="W5" i="6"/>
  <c r="R7" i="6"/>
  <c r="AT5" i="6"/>
  <c r="BU7" i="6"/>
  <c r="W6" i="6"/>
  <c r="BH9" i="6"/>
  <c r="J8" i="6"/>
  <c r="AL6" i="6"/>
  <c r="BE8" i="6"/>
  <c r="G7" i="6"/>
  <c r="AI5" i="6"/>
  <c r="AV8" i="6"/>
  <c r="BX6" i="6"/>
  <c r="S20" i="6"/>
  <c r="V4" i="5"/>
  <c r="BK4" i="5"/>
  <c r="BO4" i="5"/>
  <c r="H5" i="5"/>
  <c r="AE5" i="5"/>
  <c r="AR5" i="5"/>
  <c r="BO5" i="5"/>
  <c r="BZ5" i="5"/>
  <c r="L6" i="5"/>
  <c r="AI6" i="5"/>
  <c r="AU6" i="5"/>
  <c r="BF6" i="5"/>
  <c r="C7" i="5"/>
  <c r="P7" i="5"/>
  <c r="AM7" i="5"/>
  <c r="AX7" i="5"/>
  <c r="BJ7" i="5"/>
  <c r="G8" i="5"/>
  <c r="S8" i="5"/>
  <c r="AD8" i="5"/>
  <c r="BA8" i="5"/>
  <c r="BN8" i="5"/>
  <c r="K9" i="5"/>
  <c r="V9" i="5"/>
  <c r="AH9" i="5"/>
  <c r="BE9" i="5"/>
  <c r="BQ9" i="5"/>
  <c r="B10" i="5"/>
  <c r="Y10" i="5"/>
  <c r="AL10" i="5"/>
  <c r="BI10" i="5"/>
  <c r="BT10" i="5"/>
  <c r="F11" i="5"/>
  <c r="AC11" i="5"/>
  <c r="AO11" i="5"/>
  <c r="AZ11" i="5"/>
  <c r="BW11" i="5"/>
  <c r="J12" i="5"/>
  <c r="AG12" i="5"/>
  <c r="AR12" i="5"/>
  <c r="BD12" i="5"/>
  <c r="CA12" i="5"/>
  <c r="M13" i="5"/>
  <c r="X13" i="5"/>
  <c r="AU13" i="5"/>
  <c r="BH13" i="5"/>
  <c r="E14" i="5"/>
  <c r="AR14" i="5"/>
  <c r="BE14" i="5"/>
  <c r="BT14" i="5"/>
  <c r="I15" i="5"/>
  <c r="AT15" i="5"/>
  <c r="AR16" i="5"/>
  <c r="AA19" i="5"/>
  <c r="BR19" i="5"/>
  <c r="AI20" i="5"/>
  <c r="S21" i="5"/>
  <c r="AV29" i="5"/>
  <c r="J7" i="6"/>
  <c r="AL5" i="6"/>
  <c r="BM7" i="6"/>
  <c r="O6" i="6"/>
  <c r="AZ9" i="6"/>
  <c r="B8" i="6"/>
  <c r="AD6" i="6"/>
  <c r="AW8" i="6"/>
  <c r="BY6" i="6"/>
  <c r="AA5" i="6"/>
  <c r="AN8" i="6"/>
  <c r="BP6" i="6"/>
  <c r="I4" i="5"/>
  <c r="F4" i="5"/>
  <c r="BI4" i="5"/>
  <c r="BG4" i="5"/>
  <c r="I5" i="5"/>
  <c r="U5" i="5"/>
  <c r="AF5" i="5"/>
  <c r="BC5" i="5"/>
  <c r="BP5" i="5"/>
  <c r="M6" i="5"/>
  <c r="X6" i="5"/>
  <c r="AJ6" i="5"/>
  <c r="BG6" i="5"/>
  <c r="BS6" i="5"/>
  <c r="D7" i="5"/>
  <c r="AA7" i="5"/>
  <c r="AN7" i="5"/>
  <c r="BK7" i="5"/>
  <c r="BV7" i="5"/>
  <c r="H8" i="5"/>
  <c r="AE8" i="5"/>
  <c r="AQ8" i="5"/>
  <c r="BB8" i="5"/>
  <c r="BY8" i="5"/>
  <c r="L9" i="5"/>
  <c r="AI9" i="5"/>
  <c r="AT9" i="5"/>
  <c r="BF9" i="5"/>
  <c r="C10" i="5"/>
  <c r="O10" i="5"/>
  <c r="Z10" i="5"/>
  <c r="AW10" i="5"/>
  <c r="BJ10" i="5"/>
  <c r="G11" i="5"/>
  <c r="R11" i="5"/>
  <c r="AD11" i="5"/>
  <c r="BA11" i="5"/>
  <c r="BM11" i="5"/>
  <c r="BX11" i="5"/>
  <c r="U12" i="5"/>
  <c r="AH12" i="5"/>
  <c r="BE12" i="5"/>
  <c r="BP12" i="5"/>
  <c r="B13" i="5"/>
  <c r="Y13" i="5"/>
  <c r="AK13" i="5"/>
  <c r="AV13" i="5"/>
  <c r="BS13" i="5"/>
  <c r="F14" i="5"/>
  <c r="Q14" i="5"/>
  <c r="AE14" i="5"/>
  <c r="AT14" i="5"/>
  <c r="BF14" i="5"/>
  <c r="Z15" i="5"/>
  <c r="T16" i="5"/>
  <c r="BT16" i="5"/>
  <c r="AB19" i="5"/>
  <c r="AJ20" i="5"/>
  <c r="E26" i="5"/>
  <c r="BX8" i="6"/>
  <c r="AJ14" i="6"/>
  <c r="V12" i="6"/>
  <c r="AS9" i="6"/>
  <c r="BI10" i="6"/>
  <c r="H5" i="6"/>
  <c r="BE6" i="6"/>
  <c r="G5" i="6"/>
  <c r="B7" i="6"/>
  <c r="AD5" i="6"/>
  <c r="BE7" i="6"/>
  <c r="G6" i="6"/>
  <c r="AR9" i="6"/>
  <c r="BT7" i="6"/>
  <c r="V6" i="6"/>
  <c r="AO8" i="6"/>
  <c r="BQ6" i="6"/>
  <c r="S5" i="6"/>
  <c r="AF8" i="6"/>
  <c r="BH6" i="6"/>
  <c r="H4" i="5"/>
  <c r="AH4" i="5"/>
  <c r="BX4" i="5"/>
  <c r="AY4" i="5"/>
  <c r="J5" i="5"/>
  <c r="AG5" i="5"/>
  <c r="AS5" i="5"/>
  <c r="BD5" i="5"/>
  <c r="CA5" i="5"/>
  <c r="N6" i="5"/>
  <c r="AK6" i="5"/>
  <c r="AV6" i="5"/>
  <c r="BH6" i="5"/>
  <c r="E7" i="5"/>
  <c r="Q7" i="5"/>
  <c r="AB7" i="5"/>
  <c r="AY7" i="5"/>
  <c r="BL7" i="5"/>
  <c r="I8" i="5"/>
  <c r="T8" i="5"/>
  <c r="AF8" i="5"/>
  <c r="BC8" i="5"/>
  <c r="BO8" i="5"/>
  <c r="BZ8" i="5"/>
  <c r="W9" i="5"/>
  <c r="AJ9" i="5"/>
  <c r="BG9" i="5"/>
  <c r="BR9" i="5"/>
  <c r="D10" i="5"/>
  <c r="AA10" i="5"/>
  <c r="AM10" i="5"/>
  <c r="AX10" i="5"/>
  <c r="BU10" i="5"/>
  <c r="H11" i="5"/>
  <c r="AE11" i="5"/>
  <c r="AP11" i="5"/>
  <c r="BB11" i="5"/>
  <c r="BY11" i="5"/>
  <c r="K12" i="5"/>
  <c r="V12" i="5"/>
  <c r="AS12" i="5"/>
  <c r="BF12" i="5"/>
  <c r="C13" i="5"/>
  <c r="N13" i="5"/>
  <c r="Z13" i="5"/>
  <c r="AW13" i="5"/>
  <c r="BI13" i="5"/>
  <c r="BT13" i="5"/>
  <c r="R14" i="5"/>
  <c r="BH14" i="5"/>
  <c r="BU14" i="5"/>
  <c r="J15" i="5"/>
  <c r="BV15" i="5"/>
  <c r="AV16" i="5"/>
  <c r="Z17" i="5"/>
  <c r="BF17" i="5"/>
  <c r="L18" i="5"/>
  <c r="AR18" i="5"/>
  <c r="BX18" i="5"/>
  <c r="AO20" i="5"/>
  <c r="AI22" i="5"/>
  <c r="BJ23" i="5"/>
  <c r="BL10" i="6"/>
  <c r="BI12" i="6"/>
  <c r="BY7" i="6"/>
  <c r="AB14" i="6"/>
  <c r="H12" i="6"/>
  <c r="AC9" i="6"/>
  <c r="AW10" i="6"/>
  <c r="U8" i="6"/>
  <c r="AW6" i="6"/>
  <c r="AR8" i="6"/>
  <c r="BT6" i="6"/>
  <c r="V5" i="6"/>
  <c r="AW7" i="6"/>
  <c r="BY5" i="6"/>
  <c r="AJ9" i="6"/>
  <c r="BL7" i="6"/>
  <c r="N6" i="6"/>
  <c r="AG8" i="6"/>
  <c r="BI6" i="6"/>
  <c r="K5" i="6"/>
  <c r="X8" i="6"/>
  <c r="AZ6" i="6"/>
  <c r="BN4" i="5"/>
  <c r="AW4" i="5"/>
  <c r="BH4" i="5"/>
  <c r="AQ4" i="5"/>
  <c r="K5" i="5"/>
  <c r="V5" i="5"/>
  <c r="AH5" i="5"/>
  <c r="BE5" i="5"/>
  <c r="BQ5" i="5"/>
  <c r="B6" i="5"/>
  <c r="Y6" i="5"/>
  <c r="AL6" i="5"/>
  <c r="BI6" i="5"/>
  <c r="BT6" i="5"/>
  <c r="F7" i="5"/>
  <c r="AC7" i="5"/>
  <c r="AO7" i="5"/>
  <c r="AZ7" i="5"/>
  <c r="BW7" i="5"/>
  <c r="J8" i="5"/>
  <c r="AG8" i="5"/>
  <c r="AR8" i="5"/>
  <c r="BD8" i="5"/>
  <c r="CA8" i="5"/>
  <c r="M9" i="5"/>
  <c r="X9" i="5"/>
  <c r="AU9" i="5"/>
  <c r="BH9" i="5"/>
  <c r="E10" i="5"/>
  <c r="P10" i="5"/>
  <c r="AB10" i="5"/>
  <c r="AY10" i="5"/>
  <c r="BK10" i="5"/>
  <c r="BV10" i="5"/>
  <c r="S11" i="5"/>
  <c r="AF11" i="5"/>
  <c r="BC11" i="5"/>
  <c r="BN11" i="5"/>
  <c r="BZ11" i="5"/>
  <c r="W12" i="5"/>
  <c r="AI12" i="5"/>
  <c r="AT12" i="5"/>
  <c r="BQ12" i="5"/>
  <c r="D13" i="5"/>
  <c r="AA13" i="5"/>
  <c r="AL13" i="5"/>
  <c r="AX13" i="5"/>
  <c r="BU13" i="5"/>
  <c r="G14" i="5"/>
  <c r="T14" i="5"/>
  <c r="AF14" i="5"/>
  <c r="AU14" i="5"/>
  <c r="BJ14" i="5"/>
  <c r="BV14" i="5"/>
  <c r="AA15" i="5"/>
  <c r="AX15" i="5"/>
  <c r="X16" i="5"/>
  <c r="AJ19" i="5"/>
  <c r="AS20" i="5"/>
  <c r="AI21" i="5"/>
  <c r="W10" i="6"/>
  <c r="M8" i="6"/>
  <c r="AO6" i="6"/>
  <c r="AJ8" i="6"/>
  <c r="BL6" i="6"/>
  <c r="N5" i="6"/>
  <c r="AO7" i="6"/>
  <c r="BQ5" i="6"/>
  <c r="AB9" i="6"/>
  <c r="BD7" i="6"/>
  <c r="F6" i="6"/>
  <c r="Y8" i="6"/>
  <c r="BA6" i="6"/>
  <c r="C5" i="6"/>
  <c r="P8" i="6"/>
  <c r="AR6" i="6"/>
  <c r="BD4" i="5"/>
  <c r="BJ4" i="5"/>
  <c r="AZ4" i="5"/>
  <c r="AI4" i="5"/>
  <c r="L5" i="5"/>
  <c r="AI5" i="5"/>
  <c r="AT5" i="5"/>
  <c r="BF5" i="5"/>
  <c r="C6" i="5"/>
  <c r="O6" i="5"/>
  <c r="Z6" i="5"/>
  <c r="AW6" i="5"/>
  <c r="BJ6" i="5"/>
  <c r="G7" i="5"/>
  <c r="R7" i="5"/>
  <c r="AD7" i="5"/>
  <c r="BA7" i="5"/>
  <c r="BM7" i="5"/>
  <c r="BX7" i="5"/>
  <c r="U8" i="5"/>
  <c r="AH8" i="5"/>
  <c r="BE8" i="5"/>
  <c r="BP8" i="5"/>
  <c r="B9" i="5"/>
  <c r="Y9" i="5"/>
  <c r="AK9" i="5"/>
  <c r="AV9" i="5"/>
  <c r="BS9" i="5"/>
  <c r="F10" i="5"/>
  <c r="AC10" i="5"/>
  <c r="AN10" i="5"/>
  <c r="AZ10" i="5"/>
  <c r="BW10" i="5"/>
  <c r="I11" i="5"/>
  <c r="T11" i="5"/>
  <c r="AQ11" i="5"/>
  <c r="BD11" i="5"/>
  <c r="CA11" i="5"/>
  <c r="L12" i="5"/>
  <c r="X12" i="5"/>
  <c r="AU12" i="5"/>
  <c r="BG12" i="5"/>
  <c r="BR12" i="5"/>
  <c r="O13" i="5"/>
  <c r="AB13" i="5"/>
  <c r="AY13" i="5"/>
  <c r="BJ13" i="5"/>
  <c r="BV13" i="5"/>
  <c r="U14" i="5"/>
  <c r="BX14" i="5"/>
  <c r="K15" i="5"/>
  <c r="AD15" i="5"/>
  <c r="BZ15" i="5"/>
  <c r="BX16" i="5"/>
  <c r="AL19" i="5"/>
  <c r="C20" i="5"/>
  <c r="AT20" i="5"/>
  <c r="AR22" i="5"/>
  <c r="BX23" i="5"/>
  <c r="BC26" i="5"/>
  <c r="BC33" i="5"/>
  <c r="AL10" i="6"/>
  <c r="I12" i="6"/>
  <c r="M7" i="6"/>
  <c r="L14" i="6"/>
  <c r="BI11" i="6"/>
  <c r="BU8" i="6"/>
  <c r="BG9" i="6"/>
  <c r="E8" i="6"/>
  <c r="AG6" i="6"/>
  <c r="AB8" i="6"/>
  <c r="BD6" i="6"/>
  <c r="F5" i="6"/>
  <c r="AG7" i="6"/>
  <c r="BI5" i="6"/>
  <c r="T9" i="6"/>
  <c r="AV7" i="6"/>
  <c r="BX5" i="6"/>
  <c r="Q8" i="6"/>
  <c r="AS6" i="6"/>
  <c r="BF9" i="6"/>
  <c r="H8" i="6"/>
  <c r="AJ6" i="6"/>
  <c r="P4" i="5"/>
  <c r="N4" i="5"/>
  <c r="AJ4" i="5"/>
  <c r="S4" i="5"/>
  <c r="W5" i="5"/>
  <c r="AJ5" i="5"/>
  <c r="BG5" i="5"/>
  <c r="BR5" i="5"/>
  <c r="D6" i="5"/>
  <c r="AA6" i="5"/>
  <c r="AM6" i="5"/>
  <c r="AX6" i="5"/>
  <c r="BU6" i="5"/>
  <c r="H7" i="5"/>
  <c r="AE7" i="5"/>
  <c r="AP7" i="5"/>
  <c r="BB7" i="5"/>
  <c r="BY7" i="5"/>
  <c r="K8" i="5"/>
  <c r="V8" i="5"/>
  <c r="AS8" i="5"/>
  <c r="BF8" i="5"/>
  <c r="C9" i="5"/>
  <c r="N9" i="5"/>
  <c r="Z9" i="5"/>
  <c r="AW9" i="5"/>
  <c r="BI9" i="5"/>
  <c r="BT9" i="5"/>
  <c r="Q10" i="5"/>
  <c r="AD10" i="5"/>
  <c r="BA10" i="5"/>
  <c r="BL10" i="5"/>
  <c r="BX10" i="5"/>
  <c r="U11" i="5"/>
  <c r="AG11" i="5"/>
  <c r="AR11" i="5"/>
  <c r="BO11" i="5"/>
  <c r="B12" i="5"/>
  <c r="Y12" i="5"/>
  <c r="AJ12" i="5"/>
  <c r="AV12" i="5"/>
  <c r="BS12" i="5"/>
  <c r="E13" i="5"/>
  <c r="P13" i="5"/>
  <c r="AM13" i="5"/>
  <c r="AZ13" i="5"/>
  <c r="BW13" i="5"/>
  <c r="H14" i="5"/>
  <c r="V14" i="5"/>
  <c r="AG14" i="5"/>
  <c r="AV14" i="5"/>
  <c r="BK14" i="5"/>
  <c r="BZ14" i="5"/>
  <c r="L15" i="5"/>
  <c r="BB15" i="5"/>
  <c r="AZ16" i="5"/>
  <c r="D20" i="5"/>
  <c r="AV20" i="5"/>
  <c r="AN21" i="5"/>
  <c r="BR33" i="5"/>
  <c r="BV12" i="6"/>
  <c r="Z10" i="6"/>
  <c r="BW11" i="6"/>
  <c r="BG6" i="6"/>
  <c r="D14" i="6"/>
  <c r="AV11" i="6"/>
  <c r="BB8" i="6"/>
  <c r="AQ9" i="6"/>
  <c r="BW7" i="6"/>
  <c r="Y6" i="6"/>
  <c r="T8" i="6"/>
  <c r="AV6" i="6"/>
  <c r="BW8" i="6"/>
  <c r="Y7" i="6"/>
  <c r="BA5" i="6"/>
  <c r="L9" i="6"/>
  <c r="AN7" i="6"/>
  <c r="BP5" i="6"/>
  <c r="I8" i="6"/>
  <c r="AK6" i="6"/>
  <c r="AX9" i="6"/>
  <c r="BZ7" i="6"/>
  <c r="AB6" i="6"/>
  <c r="AX4" i="5"/>
  <c r="AV4" i="5"/>
  <c r="AB4" i="5"/>
  <c r="C4" i="5"/>
  <c r="M5" i="5"/>
  <c r="X5" i="5"/>
  <c r="AU5" i="5"/>
  <c r="BH5" i="5"/>
  <c r="E6" i="5"/>
  <c r="P6" i="5"/>
  <c r="AB6" i="5"/>
  <c r="AY6" i="5"/>
  <c r="BK6" i="5"/>
  <c r="BV6" i="5"/>
  <c r="S7" i="5"/>
  <c r="AF7" i="5"/>
  <c r="BC7" i="5"/>
  <c r="BN7" i="5"/>
  <c r="BZ7" i="5"/>
  <c r="W8" i="5"/>
  <c r="AI8" i="5"/>
  <c r="AT8" i="5"/>
  <c r="BQ8" i="5"/>
  <c r="D9" i="5"/>
  <c r="AA9" i="5"/>
  <c r="AL9" i="5"/>
  <c r="AX9" i="5"/>
  <c r="BU9" i="5"/>
  <c r="G10" i="5"/>
  <c r="R10" i="5"/>
  <c r="AO10" i="5"/>
  <c r="BB10" i="5"/>
  <c r="BY10" i="5"/>
  <c r="J11" i="5"/>
  <c r="V11" i="5"/>
  <c r="AS11" i="5"/>
  <c r="BE11" i="5"/>
  <c r="BP11" i="5"/>
  <c r="M12" i="5"/>
  <c r="Z12" i="5"/>
  <c r="AW12" i="5"/>
  <c r="BH12" i="5"/>
  <c r="BT12" i="5"/>
  <c r="Q13" i="5"/>
  <c r="AC13" i="5"/>
  <c r="AN13" i="5"/>
  <c r="BK13" i="5"/>
  <c r="BX13" i="5"/>
  <c r="AH14" i="5"/>
  <c r="N15" i="5"/>
  <c r="AB16" i="5"/>
  <c r="B17" i="5"/>
  <c r="AH17" i="5"/>
  <c r="BN17" i="5"/>
  <c r="T18" i="5"/>
  <c r="AZ18" i="5"/>
  <c r="F19" i="5"/>
  <c r="I20" i="5"/>
  <c r="BB20" i="5"/>
  <c r="AW21" i="5"/>
  <c r="BE22" i="5"/>
  <c r="Y27" i="5"/>
  <c r="BI34" i="5"/>
  <c r="X15" i="5"/>
  <c r="AF15" i="5"/>
  <c r="AN15" i="5"/>
  <c r="AV15" i="5"/>
  <c r="BD15" i="5"/>
  <c r="BL15" i="5"/>
  <c r="BT15" i="5"/>
  <c r="B16" i="5"/>
  <c r="J16" i="5"/>
  <c r="R16" i="5"/>
  <c r="Z16" i="5"/>
  <c r="AH16" i="5"/>
  <c r="AP16" i="5"/>
  <c r="AX16" i="5"/>
  <c r="BF16" i="5"/>
  <c r="BN16" i="5"/>
  <c r="BV16" i="5"/>
  <c r="D17" i="5"/>
  <c r="L17" i="5"/>
  <c r="T17" i="5"/>
  <c r="AB17" i="5"/>
  <c r="AJ17" i="5"/>
  <c r="AR17" i="5"/>
  <c r="AZ17" i="5"/>
  <c r="BH17" i="5"/>
  <c r="BP17" i="5"/>
  <c r="BX17" i="5"/>
  <c r="F18" i="5"/>
  <c r="N18" i="5"/>
  <c r="V18" i="5"/>
  <c r="AD18" i="5"/>
  <c r="AL18" i="5"/>
  <c r="AT18" i="5"/>
  <c r="BB18" i="5"/>
  <c r="BJ18" i="5"/>
  <c r="BR18" i="5"/>
  <c r="BZ18" i="5"/>
  <c r="H19" i="5"/>
  <c r="P19" i="5"/>
  <c r="AU19" i="5"/>
  <c r="CA19" i="5"/>
  <c r="AG20" i="5"/>
  <c r="BG20" i="5"/>
  <c r="P21" i="5"/>
  <c r="AH21" i="5"/>
  <c r="BW21" i="5"/>
  <c r="S22" i="5"/>
  <c r="BS23" i="5"/>
  <c r="AC24" i="5"/>
  <c r="BN24" i="5"/>
  <c r="Y25" i="5"/>
  <c r="AK26" i="5"/>
  <c r="BR27" i="5"/>
  <c r="AT28" i="5"/>
  <c r="AG29" i="5"/>
  <c r="AJ30" i="5"/>
  <c r="F33" i="5"/>
  <c r="Q15" i="5"/>
  <c r="Y15" i="5"/>
  <c r="AG15" i="5"/>
  <c r="AO15" i="5"/>
  <c r="AW15" i="5"/>
  <c r="BE15" i="5"/>
  <c r="BM15" i="5"/>
  <c r="BU15" i="5"/>
  <c r="C16" i="5"/>
  <c r="K16" i="5"/>
  <c r="S16" i="5"/>
  <c r="AA16" i="5"/>
  <c r="AI16" i="5"/>
  <c r="AQ16" i="5"/>
  <c r="AY16" i="5"/>
  <c r="BG16" i="5"/>
  <c r="BO16" i="5"/>
  <c r="BW16" i="5"/>
  <c r="E17" i="5"/>
  <c r="M17" i="5"/>
  <c r="U17" i="5"/>
  <c r="AC17" i="5"/>
  <c r="AK17" i="5"/>
  <c r="AS17" i="5"/>
  <c r="BA17" i="5"/>
  <c r="BI17" i="5"/>
  <c r="BQ17" i="5"/>
  <c r="BY17" i="5"/>
  <c r="G18" i="5"/>
  <c r="O18" i="5"/>
  <c r="W18" i="5"/>
  <c r="AE18" i="5"/>
  <c r="AM18" i="5"/>
  <c r="AU18" i="5"/>
  <c r="BC18" i="5"/>
  <c r="BK18" i="5"/>
  <c r="BS18" i="5"/>
  <c r="CA18" i="5"/>
  <c r="I19" i="5"/>
  <c r="Q19" i="5"/>
  <c r="AK19" i="5"/>
  <c r="AV19" i="5"/>
  <c r="BQ19" i="5"/>
  <c r="B20" i="5"/>
  <c r="W20" i="5"/>
  <c r="AH20" i="5"/>
  <c r="BZ20" i="5"/>
  <c r="R21" i="5"/>
  <c r="BE21" i="5"/>
  <c r="U22" i="5"/>
  <c r="AQ22" i="5"/>
  <c r="BO22" i="5"/>
  <c r="O23" i="5"/>
  <c r="AQ23" i="5"/>
  <c r="BR24" i="5"/>
  <c r="CA27" i="5"/>
  <c r="BD28" i="5"/>
  <c r="F17" i="5"/>
  <c r="N17" i="5"/>
  <c r="V17" i="5"/>
  <c r="AD17" i="5"/>
  <c r="AL17" i="5"/>
  <c r="AT17" i="5"/>
  <c r="BB17" i="5"/>
  <c r="BJ17" i="5"/>
  <c r="BR17" i="5"/>
  <c r="BZ17" i="5"/>
  <c r="H18" i="5"/>
  <c r="P18" i="5"/>
  <c r="X18" i="5"/>
  <c r="AF18" i="5"/>
  <c r="AN18" i="5"/>
  <c r="AV18" i="5"/>
  <c r="BD18" i="5"/>
  <c r="BL18" i="5"/>
  <c r="BT18" i="5"/>
  <c r="B19" i="5"/>
  <c r="J19" i="5"/>
  <c r="R19" i="5"/>
  <c r="AM19" i="5"/>
  <c r="BS19" i="5"/>
  <c r="Y20" i="5"/>
  <c r="AU20" i="5"/>
  <c r="BJ20" i="5"/>
  <c r="B21" i="5"/>
  <c r="BG21" i="5"/>
  <c r="C22" i="5"/>
  <c r="AS22" i="5"/>
  <c r="B24" i="5"/>
  <c r="AM24" i="5"/>
  <c r="BW24" i="5"/>
  <c r="AH25" i="5"/>
  <c r="BB26" i="5"/>
  <c r="Z27" i="5"/>
  <c r="C28" i="5"/>
  <c r="BM28" i="5"/>
  <c r="BK30" i="5"/>
  <c r="AW34" i="5"/>
  <c r="AY15" i="5"/>
  <c r="BG15" i="5"/>
  <c r="BO15" i="5"/>
  <c r="BW15" i="5"/>
  <c r="E16" i="5"/>
  <c r="M16" i="5"/>
  <c r="U16" i="5"/>
  <c r="AC16" i="5"/>
  <c r="AK16" i="5"/>
  <c r="AS16" i="5"/>
  <c r="BA16" i="5"/>
  <c r="BI16" i="5"/>
  <c r="BQ16" i="5"/>
  <c r="BY16" i="5"/>
  <c r="G17" i="5"/>
  <c r="O17" i="5"/>
  <c r="W17" i="5"/>
  <c r="AE17" i="5"/>
  <c r="AM17" i="5"/>
  <c r="AU17" i="5"/>
  <c r="BC17" i="5"/>
  <c r="BK17" i="5"/>
  <c r="BS17" i="5"/>
  <c r="CA17" i="5"/>
  <c r="I18" i="5"/>
  <c r="Q18" i="5"/>
  <c r="Y18" i="5"/>
  <c r="AG18" i="5"/>
  <c r="AO18" i="5"/>
  <c r="AW18" i="5"/>
  <c r="BE18" i="5"/>
  <c r="BM18" i="5"/>
  <c r="BU18" i="5"/>
  <c r="C19" i="5"/>
  <c r="K19" i="5"/>
  <c r="S19" i="5"/>
  <c r="AC19" i="5"/>
  <c r="AN19" i="5"/>
  <c r="BI19" i="5"/>
  <c r="BT19" i="5"/>
  <c r="O20" i="5"/>
  <c r="Z20" i="5"/>
  <c r="AW20" i="5"/>
  <c r="BL20" i="5"/>
  <c r="AO21" i="5"/>
  <c r="E22" i="5"/>
  <c r="AA22" i="5"/>
  <c r="AY23" i="5"/>
  <c r="F24" i="5"/>
  <c r="F26" i="5"/>
  <c r="BD26" i="5"/>
  <c r="AJ27" i="5"/>
  <c r="L28" i="5"/>
  <c r="BO28" i="5"/>
  <c r="BM34" i="5"/>
  <c r="AH5" i="6"/>
  <c r="AM4" i="5"/>
  <c r="BL4" i="5"/>
  <c r="M4" i="5"/>
  <c r="BF4" i="5"/>
  <c r="AA4" i="5"/>
  <c r="AD19" i="5"/>
  <c r="AO19" i="5"/>
  <c r="AY19" i="5"/>
  <c r="BJ19" i="5"/>
  <c r="BU19" i="5"/>
  <c r="E20" i="5"/>
  <c r="P20" i="5"/>
  <c r="AA20" i="5"/>
  <c r="AK20" i="5"/>
  <c r="AY20" i="5"/>
  <c r="BM20" i="5"/>
  <c r="X21" i="5"/>
  <c r="AP21" i="5"/>
  <c r="AB22" i="5"/>
  <c r="AX22" i="5"/>
  <c r="BW22" i="5"/>
  <c r="X23" i="5"/>
  <c r="BA23" i="5"/>
  <c r="G26" i="5"/>
  <c r="AL27" i="5"/>
  <c r="N28" i="5"/>
  <c r="BW28" i="5"/>
  <c r="AR35" i="5"/>
  <c r="AB15" i="5"/>
  <c r="AJ15" i="5"/>
  <c r="AR15" i="5"/>
  <c r="AZ15" i="5"/>
  <c r="BH15" i="5"/>
  <c r="BP15" i="5"/>
  <c r="BX15" i="5"/>
  <c r="F16" i="5"/>
  <c r="N16" i="5"/>
  <c r="V16" i="5"/>
  <c r="AD16" i="5"/>
  <c r="AL16" i="5"/>
  <c r="AT16" i="5"/>
  <c r="BB16" i="5"/>
  <c r="BJ16" i="5"/>
  <c r="BR16" i="5"/>
  <c r="BZ16" i="5"/>
  <c r="H17" i="5"/>
  <c r="P17" i="5"/>
  <c r="X17" i="5"/>
  <c r="AF17" i="5"/>
  <c r="AN17" i="5"/>
  <c r="AV17" i="5"/>
  <c r="BD17" i="5"/>
  <c r="BL17" i="5"/>
  <c r="BT17" i="5"/>
  <c r="B18" i="5"/>
  <c r="J18" i="5"/>
  <c r="R18" i="5"/>
  <c r="Z18" i="5"/>
  <c r="AH18" i="5"/>
  <c r="AP18" i="5"/>
  <c r="AX18" i="5"/>
  <c r="BF18" i="5"/>
  <c r="BN18" i="5"/>
  <c r="BV18" i="5"/>
  <c r="D19" i="5"/>
  <c r="L19" i="5"/>
  <c r="T19" i="5"/>
  <c r="AE19" i="5"/>
  <c r="BK19" i="5"/>
  <c r="Q20" i="5"/>
  <c r="Y21" i="5"/>
  <c r="AQ21" i="5"/>
  <c r="BM21" i="5"/>
  <c r="AC22" i="5"/>
  <c r="BX22" i="5"/>
  <c r="Y23" i="5"/>
  <c r="K24" i="5"/>
  <c r="AV24" i="5"/>
  <c r="F25" i="5"/>
  <c r="AQ25" i="5"/>
  <c r="AM27" i="5"/>
  <c r="V28" i="5"/>
  <c r="BY28" i="5"/>
  <c r="R5" i="6"/>
  <c r="G4" i="5"/>
  <c r="AD4" i="5"/>
  <c r="AF4" i="5"/>
  <c r="CA4" i="5"/>
  <c r="K4" i="5"/>
  <c r="U19" i="5"/>
  <c r="AP19" i="5"/>
  <c r="AZ19" i="5"/>
  <c r="BV19" i="5"/>
  <c r="F20" i="5"/>
  <c r="AB20" i="5"/>
  <c r="AL20" i="5"/>
  <c r="H21" i="5"/>
  <c r="Z21" i="5"/>
  <c r="BN21" i="5"/>
  <c r="BY22" i="5"/>
  <c r="AB23" i="5"/>
  <c r="N24" i="5"/>
  <c r="BN26" i="5"/>
  <c r="AU27" i="5"/>
  <c r="X28" i="5"/>
  <c r="CA28" i="5"/>
  <c r="AZ31" i="5"/>
  <c r="BP35" i="5"/>
  <c r="K14" i="5"/>
  <c r="S14" i="5"/>
  <c r="AA14" i="5"/>
  <c r="AI14" i="5"/>
  <c r="AQ14" i="5"/>
  <c r="AY14" i="5"/>
  <c r="BG14" i="5"/>
  <c r="BO14" i="5"/>
  <c r="BW14" i="5"/>
  <c r="E15" i="5"/>
  <c r="M15" i="5"/>
  <c r="U15" i="5"/>
  <c r="AC15" i="5"/>
  <c r="AK15" i="5"/>
  <c r="AS15" i="5"/>
  <c r="BA15" i="5"/>
  <c r="BI15" i="5"/>
  <c r="BQ15" i="5"/>
  <c r="BY15" i="5"/>
  <c r="G16" i="5"/>
  <c r="O16" i="5"/>
  <c r="W16" i="5"/>
  <c r="AE16" i="5"/>
  <c r="AM16" i="5"/>
  <c r="AU16" i="5"/>
  <c r="BC16" i="5"/>
  <c r="BK16" i="5"/>
  <c r="BS16" i="5"/>
  <c r="CA16" i="5"/>
  <c r="I17" i="5"/>
  <c r="Q17" i="5"/>
  <c r="Y17" i="5"/>
  <c r="AG17" i="5"/>
  <c r="AO17" i="5"/>
  <c r="AW17" i="5"/>
  <c r="BE17" i="5"/>
  <c r="BM17" i="5"/>
  <c r="BU17" i="5"/>
  <c r="C18" i="5"/>
  <c r="K18" i="5"/>
  <c r="S18" i="5"/>
  <c r="AA18" i="5"/>
  <c r="AI18" i="5"/>
  <c r="AQ18" i="5"/>
  <c r="AY18" i="5"/>
  <c r="BG18" i="5"/>
  <c r="BO18" i="5"/>
  <c r="BW18" i="5"/>
  <c r="E19" i="5"/>
  <c r="M19" i="5"/>
  <c r="V19" i="5"/>
  <c r="AF19" i="5"/>
  <c r="BA19" i="5"/>
  <c r="BL19" i="5"/>
  <c r="G20" i="5"/>
  <c r="R20" i="5"/>
  <c r="AM20" i="5"/>
  <c r="BA20" i="5"/>
  <c r="I21" i="5"/>
  <c r="AA21" i="5"/>
  <c r="BO21" i="5"/>
  <c r="K22" i="5"/>
  <c r="BU26" i="5"/>
  <c r="AV27" i="5"/>
  <c r="Y28" i="5"/>
  <c r="J29" i="5"/>
  <c r="BH31" i="5"/>
  <c r="AU36" i="5"/>
  <c r="B5" i="6"/>
  <c r="BT4" i="5"/>
  <c r="BV4" i="5"/>
  <c r="AT4" i="5"/>
  <c r="BY4" i="5"/>
  <c r="W19" i="5"/>
  <c r="AG19" i="5"/>
  <c r="AQ19" i="5"/>
  <c r="BB19" i="5"/>
  <c r="BM19" i="5"/>
  <c r="BW19" i="5"/>
  <c r="H20" i="5"/>
  <c r="S20" i="5"/>
  <c r="AC20" i="5"/>
  <c r="AN20" i="5"/>
  <c r="BR20" i="5"/>
  <c r="J21" i="5"/>
  <c r="L22" i="5"/>
  <c r="BD22" i="5"/>
  <c r="BI23" i="5"/>
  <c r="AV25" i="5"/>
  <c r="X26" i="5"/>
  <c r="BW26" i="5"/>
  <c r="AW27" i="5"/>
  <c r="AG28" i="5"/>
  <c r="K29" i="5"/>
  <c r="T32" i="5"/>
  <c r="AY36" i="5"/>
  <c r="T24" i="5"/>
  <c r="BE24" i="5"/>
  <c r="O25" i="5"/>
  <c r="Y26" i="5"/>
  <c r="BE27" i="5"/>
  <c r="AH28" i="5"/>
  <c r="L29" i="5"/>
  <c r="BL36" i="5"/>
  <c r="B4" i="5"/>
  <c r="AE4" i="5"/>
  <c r="BZ4" i="5"/>
  <c r="AS4" i="5"/>
  <c r="AP4" i="5"/>
  <c r="X19" i="5"/>
  <c r="AH19" i="5"/>
  <c r="AR19" i="5"/>
  <c r="BN19" i="5"/>
  <c r="BX19" i="5"/>
  <c r="T20" i="5"/>
  <c r="AD20" i="5"/>
  <c r="BC20" i="5"/>
  <c r="BT20" i="5"/>
  <c r="AX21" i="5"/>
  <c r="AJ22" i="5"/>
  <c r="BG22" i="5"/>
  <c r="F23" i="5"/>
  <c r="AH23" i="5"/>
  <c r="BD25" i="5"/>
  <c r="AA26" i="5"/>
  <c r="F27" i="5"/>
  <c r="BF27" i="5"/>
  <c r="AI28" i="5"/>
  <c r="AK14" i="5"/>
  <c r="AS14" i="5"/>
  <c r="BA14" i="5"/>
  <c r="BI14" i="5"/>
  <c r="BQ14" i="5"/>
  <c r="BY14" i="5"/>
  <c r="G15" i="5"/>
  <c r="O15" i="5"/>
  <c r="W15" i="5"/>
  <c r="AE15" i="5"/>
  <c r="AM15" i="5"/>
  <c r="AU15" i="5"/>
  <c r="BC15" i="5"/>
  <c r="BK15" i="5"/>
  <c r="BS15" i="5"/>
  <c r="CA15" i="5"/>
  <c r="I16" i="5"/>
  <c r="Q16" i="5"/>
  <c r="Y16" i="5"/>
  <c r="AG16" i="5"/>
  <c r="AO16" i="5"/>
  <c r="AW16" i="5"/>
  <c r="BE16" i="5"/>
  <c r="BM16" i="5"/>
  <c r="BU16" i="5"/>
  <c r="C17" i="5"/>
  <c r="K17" i="5"/>
  <c r="S17" i="5"/>
  <c r="AA17" i="5"/>
  <c r="AI17" i="5"/>
  <c r="AQ17" i="5"/>
  <c r="AY17" i="5"/>
  <c r="BG17" i="5"/>
  <c r="BO17" i="5"/>
  <c r="BW17" i="5"/>
  <c r="E18" i="5"/>
  <c r="M18" i="5"/>
  <c r="U18" i="5"/>
  <c r="AC18" i="5"/>
  <c r="AK18" i="5"/>
  <c r="AS18" i="5"/>
  <c r="BA18" i="5"/>
  <c r="BI18" i="5"/>
  <c r="BQ18" i="5"/>
  <c r="BY18" i="5"/>
  <c r="G19" i="5"/>
  <c r="O19" i="5"/>
  <c r="AS19" i="5"/>
  <c r="BD19" i="5"/>
  <c r="BY19" i="5"/>
  <c r="J20" i="5"/>
  <c r="AE20" i="5"/>
  <c r="AQ20" i="5"/>
  <c r="BD20" i="5"/>
  <c r="BU20" i="5"/>
  <c r="AF21" i="5"/>
  <c r="AY21" i="5"/>
  <c r="BU21" i="5"/>
  <c r="AK22" i="5"/>
  <c r="G23" i="5"/>
  <c r="AH26" i="5"/>
  <c r="G27" i="5"/>
  <c r="BH27" i="5"/>
  <c r="AQ28" i="5"/>
  <c r="BT32" i="5"/>
  <c r="BY37" i="5"/>
  <c r="T6" i="6"/>
  <c r="BU4" i="5"/>
  <c r="J4" i="5"/>
  <c r="BA4" i="5"/>
  <c r="BP4" i="5"/>
  <c r="X4" i="5"/>
  <c r="Y19" i="5"/>
  <c r="AI19" i="5"/>
  <c r="AT19" i="5"/>
  <c r="BE19" i="5"/>
  <c r="BO19" i="5"/>
  <c r="BZ19" i="5"/>
  <c r="K20" i="5"/>
  <c r="U20" i="5"/>
  <c r="AF20" i="5"/>
  <c r="BE20" i="5"/>
  <c r="AG21" i="5"/>
  <c r="BV21" i="5"/>
  <c r="BJ24" i="5"/>
  <c r="BL25" i="5"/>
  <c r="AJ26" i="5"/>
  <c r="H27" i="5"/>
  <c r="BP27" i="5"/>
  <c r="AR28" i="5"/>
  <c r="X29" i="5"/>
  <c r="BX32" i="5"/>
  <c r="S38" i="5"/>
  <c r="AY22" i="5"/>
  <c r="BH22" i="5"/>
  <c r="BQ22" i="5"/>
  <c r="BZ22" i="5"/>
  <c r="I23" i="5"/>
  <c r="R23" i="5"/>
  <c r="AA23" i="5"/>
  <c r="AK23" i="5"/>
  <c r="AT23" i="5"/>
  <c r="BC23" i="5"/>
  <c r="BL23" i="5"/>
  <c r="BU23" i="5"/>
  <c r="D24" i="5"/>
  <c r="M24" i="5"/>
  <c r="W24" i="5"/>
  <c r="AF24" i="5"/>
  <c r="AO24" i="5"/>
  <c r="AX24" i="5"/>
  <c r="BG24" i="5"/>
  <c r="BP24" i="5"/>
  <c r="BY24" i="5"/>
  <c r="I25" i="5"/>
  <c r="R25" i="5"/>
  <c r="AA25" i="5"/>
  <c r="AJ25" i="5"/>
  <c r="AS25" i="5"/>
  <c r="BB25" i="5"/>
  <c r="BK25" i="5"/>
  <c r="BU25" i="5"/>
  <c r="N26" i="5"/>
  <c r="AG26" i="5"/>
  <c r="AR26" i="5"/>
  <c r="BK26" i="5"/>
  <c r="E27" i="5"/>
  <c r="O27" i="5"/>
  <c r="AI27" i="5"/>
  <c r="BO27" i="5"/>
  <c r="U28" i="5"/>
  <c r="BA28" i="5"/>
  <c r="I29" i="5"/>
  <c r="T29" i="5"/>
  <c r="AF29" i="5"/>
  <c r="BF29" i="5"/>
  <c r="BV29" i="5"/>
  <c r="L30" i="5"/>
  <c r="AE30" i="5"/>
  <c r="BC30" i="5"/>
  <c r="E31" i="5"/>
  <c r="AS31" i="5"/>
  <c r="R32" i="5"/>
  <c r="BQ32" i="5"/>
  <c r="AT33" i="5"/>
  <c r="AP35" i="5"/>
  <c r="AK36" i="5"/>
  <c r="BD37" i="5"/>
  <c r="AZ22" i="5"/>
  <c r="BI22" i="5"/>
  <c r="BR22" i="5"/>
  <c r="CA22" i="5"/>
  <c r="J23" i="5"/>
  <c r="S23" i="5"/>
  <c r="AC23" i="5"/>
  <c r="AL23" i="5"/>
  <c r="AU23" i="5"/>
  <c r="BD23" i="5"/>
  <c r="BM23" i="5"/>
  <c r="BV23" i="5"/>
  <c r="E24" i="5"/>
  <c r="O24" i="5"/>
  <c r="X24" i="5"/>
  <c r="AG24" i="5"/>
  <c r="AP24" i="5"/>
  <c r="AY24" i="5"/>
  <c r="BH24" i="5"/>
  <c r="BQ24" i="5"/>
  <c r="CA24" i="5"/>
  <c r="J25" i="5"/>
  <c r="S25" i="5"/>
  <c r="AB25" i="5"/>
  <c r="AK25" i="5"/>
  <c r="AT25" i="5"/>
  <c r="BC25" i="5"/>
  <c r="BM25" i="5"/>
  <c r="BV25" i="5"/>
  <c r="O26" i="5"/>
  <c r="AI26" i="5"/>
  <c r="AS26" i="5"/>
  <c r="BL26" i="5"/>
  <c r="BV26" i="5"/>
  <c r="P27" i="5"/>
  <c r="AK27" i="5"/>
  <c r="BQ27" i="5"/>
  <c r="W28" i="5"/>
  <c r="BC28" i="5"/>
  <c r="U29" i="5"/>
  <c r="AH29" i="5"/>
  <c r="AS29" i="5"/>
  <c r="BG29" i="5"/>
  <c r="BW29" i="5"/>
  <c r="M30" i="5"/>
  <c r="AI30" i="5"/>
  <c r="BG30" i="5"/>
  <c r="V32" i="5"/>
  <c r="BF33" i="5"/>
  <c r="AY34" i="5"/>
  <c r="BB35" i="5"/>
  <c r="AX36" i="5"/>
  <c r="BU37" i="5"/>
  <c r="BA22" i="5"/>
  <c r="BJ22" i="5"/>
  <c r="BS22" i="5"/>
  <c r="B23" i="5"/>
  <c r="K23" i="5"/>
  <c r="U23" i="5"/>
  <c r="AD23" i="5"/>
  <c r="AM23" i="5"/>
  <c r="AV23" i="5"/>
  <c r="BE23" i="5"/>
  <c r="BN23" i="5"/>
  <c r="BW23" i="5"/>
  <c r="G24" i="5"/>
  <c r="P24" i="5"/>
  <c r="Y24" i="5"/>
  <c r="AH24" i="5"/>
  <c r="AQ24" i="5"/>
  <c r="AZ24" i="5"/>
  <c r="BI24" i="5"/>
  <c r="BS24" i="5"/>
  <c r="B25" i="5"/>
  <c r="K25" i="5"/>
  <c r="T25" i="5"/>
  <c r="AC25" i="5"/>
  <c r="AL25" i="5"/>
  <c r="AU25" i="5"/>
  <c r="BE25" i="5"/>
  <c r="BN25" i="5"/>
  <c r="BW25" i="5"/>
  <c r="P26" i="5"/>
  <c r="Z26" i="5"/>
  <c r="AT26" i="5"/>
  <c r="BM26" i="5"/>
  <c r="BX26" i="5"/>
  <c r="Q27" i="5"/>
  <c r="AA27" i="5"/>
  <c r="BG27" i="5"/>
  <c r="M28" i="5"/>
  <c r="AS28" i="5"/>
  <c r="BZ28" i="5"/>
  <c r="W29" i="5"/>
  <c r="AI29" i="5"/>
  <c r="AU29" i="5"/>
  <c r="BI29" i="5"/>
  <c r="BY29" i="5"/>
  <c r="O30" i="5"/>
  <c r="M31" i="5"/>
  <c r="BE31" i="5"/>
  <c r="AE32" i="5"/>
  <c r="D33" i="5"/>
  <c r="BP33" i="5"/>
  <c r="BK34" i="5"/>
  <c r="BF35" i="5"/>
  <c r="BI36" i="5"/>
  <c r="M38" i="5"/>
  <c r="BB22" i="5"/>
  <c r="BK22" i="5"/>
  <c r="BT22" i="5"/>
  <c r="C23" i="5"/>
  <c r="M23" i="5"/>
  <c r="V23" i="5"/>
  <c r="AE23" i="5"/>
  <c r="AN23" i="5"/>
  <c r="AW23" i="5"/>
  <c r="BF23" i="5"/>
  <c r="BO23" i="5"/>
  <c r="BY23" i="5"/>
  <c r="H24" i="5"/>
  <c r="Q24" i="5"/>
  <c r="Z24" i="5"/>
  <c r="AI24" i="5"/>
  <c r="AR24" i="5"/>
  <c r="BA24" i="5"/>
  <c r="BK24" i="5"/>
  <c r="BT24" i="5"/>
  <c r="C25" i="5"/>
  <c r="L25" i="5"/>
  <c r="U25" i="5"/>
  <c r="AD25" i="5"/>
  <c r="AM25" i="5"/>
  <c r="AW25" i="5"/>
  <c r="BF25" i="5"/>
  <c r="BO25" i="5"/>
  <c r="BX25" i="5"/>
  <c r="Q26" i="5"/>
  <c r="AB26" i="5"/>
  <c r="AU26" i="5"/>
  <c r="BO26" i="5"/>
  <c r="BY26" i="5"/>
  <c r="R27" i="5"/>
  <c r="AC27" i="5"/>
  <c r="BI27" i="5"/>
  <c r="O28" i="5"/>
  <c r="AU28" i="5"/>
  <c r="B29" i="5"/>
  <c r="Y29" i="5"/>
  <c r="AJ29" i="5"/>
  <c r="AW29" i="5"/>
  <c r="BK29" i="5"/>
  <c r="CA29" i="5"/>
  <c r="S30" i="5"/>
  <c r="AM30" i="5"/>
  <c r="BJ31" i="5"/>
  <c r="H33" i="5"/>
  <c r="BT33" i="5"/>
  <c r="BW34" i="5"/>
  <c r="BS35" i="5"/>
  <c r="BN36" i="5"/>
  <c r="AE38" i="5"/>
  <c r="AP20" i="5"/>
  <c r="AX20" i="5"/>
  <c r="BF20" i="5"/>
  <c r="BN20" i="5"/>
  <c r="BV20" i="5"/>
  <c r="D21" i="5"/>
  <c r="L21" i="5"/>
  <c r="T21" i="5"/>
  <c r="AB21" i="5"/>
  <c r="AJ21" i="5"/>
  <c r="AR21" i="5"/>
  <c r="AZ21" i="5"/>
  <c r="BH21" i="5"/>
  <c r="BP21" i="5"/>
  <c r="BX21" i="5"/>
  <c r="F22" i="5"/>
  <c r="N22" i="5"/>
  <c r="V22" i="5"/>
  <c r="AD22" i="5"/>
  <c r="AL22" i="5"/>
  <c r="AT22" i="5"/>
  <c r="D23" i="5"/>
  <c r="BP23" i="5"/>
  <c r="BB24" i="5"/>
  <c r="AN25" i="5"/>
  <c r="H26" i="5"/>
  <c r="R26" i="5"/>
  <c r="AL26" i="5"/>
  <c r="BE26" i="5"/>
  <c r="BP26" i="5"/>
  <c r="I27" i="5"/>
  <c r="AD27" i="5"/>
  <c r="AN27" i="5"/>
  <c r="AX27" i="5"/>
  <c r="BJ27" i="5"/>
  <c r="BT27" i="5"/>
  <c r="D28" i="5"/>
  <c r="P28" i="5"/>
  <c r="Z28" i="5"/>
  <c r="AJ28" i="5"/>
  <c r="AV28" i="5"/>
  <c r="BF28" i="5"/>
  <c r="BP28" i="5"/>
  <c r="M29" i="5"/>
  <c r="Z29" i="5"/>
  <c r="AX29" i="5"/>
  <c r="BM29" i="5"/>
  <c r="C30" i="5"/>
  <c r="T30" i="5"/>
  <c r="BO30" i="5"/>
  <c r="AL32" i="5"/>
  <c r="D34" i="5"/>
  <c r="BZ34" i="5"/>
  <c r="BW36" i="5"/>
  <c r="BC22" i="5"/>
  <c r="BL22" i="5"/>
  <c r="BU22" i="5"/>
  <c r="E23" i="5"/>
  <c r="N23" i="5"/>
  <c r="W23" i="5"/>
  <c r="AF23" i="5"/>
  <c r="AO23" i="5"/>
  <c r="AX23" i="5"/>
  <c r="BG23" i="5"/>
  <c r="BQ23" i="5"/>
  <c r="BZ23" i="5"/>
  <c r="I24" i="5"/>
  <c r="R24" i="5"/>
  <c r="AA24" i="5"/>
  <c r="AJ24" i="5"/>
  <c r="AS24" i="5"/>
  <c r="BC24" i="5"/>
  <c r="BL24" i="5"/>
  <c r="BU24" i="5"/>
  <c r="D25" i="5"/>
  <c r="M25" i="5"/>
  <c r="V25" i="5"/>
  <c r="AE25" i="5"/>
  <c r="AO25" i="5"/>
  <c r="AX25" i="5"/>
  <c r="BG25" i="5"/>
  <c r="BP25" i="5"/>
  <c r="BY25" i="5"/>
  <c r="S26" i="5"/>
  <c r="AC26" i="5"/>
  <c r="AV26" i="5"/>
  <c r="BF26" i="5"/>
  <c r="BZ26" i="5"/>
  <c r="S27" i="5"/>
  <c r="AY27" i="5"/>
  <c r="E28" i="5"/>
  <c r="AK28" i="5"/>
  <c r="BQ28" i="5"/>
  <c r="C29" i="5"/>
  <c r="AK29" i="5"/>
  <c r="BN29" i="5"/>
  <c r="D30" i="5"/>
  <c r="AQ30" i="5"/>
  <c r="U31" i="5"/>
  <c r="BS31" i="5"/>
  <c r="AQ32" i="5"/>
  <c r="Q33" i="5"/>
  <c r="CA34" i="5"/>
  <c r="D36" i="5"/>
  <c r="BZ36" i="5"/>
  <c r="BB38" i="5"/>
  <c r="BO20" i="5"/>
  <c r="BW20" i="5"/>
  <c r="E21" i="5"/>
  <c r="M21" i="5"/>
  <c r="U21" i="5"/>
  <c r="AC21" i="5"/>
  <c r="AK21" i="5"/>
  <c r="AS21" i="5"/>
  <c r="BA21" i="5"/>
  <c r="BI21" i="5"/>
  <c r="BQ21" i="5"/>
  <c r="BY21" i="5"/>
  <c r="G22" i="5"/>
  <c r="O22" i="5"/>
  <c r="W22" i="5"/>
  <c r="AE22" i="5"/>
  <c r="AM22" i="5"/>
  <c r="AU22" i="5"/>
  <c r="BV22" i="5"/>
  <c r="BH23" i="5"/>
  <c r="AT24" i="5"/>
  <c r="AF25" i="5"/>
  <c r="I26" i="5"/>
  <c r="T26" i="5"/>
  <c r="AM26" i="5"/>
  <c r="BG26" i="5"/>
  <c r="BQ26" i="5"/>
  <c r="J27" i="5"/>
  <c r="T27" i="5"/>
  <c r="AE27" i="5"/>
  <c r="AO27" i="5"/>
  <c r="AZ27" i="5"/>
  <c r="BK27" i="5"/>
  <c r="BU27" i="5"/>
  <c r="F28" i="5"/>
  <c r="Q28" i="5"/>
  <c r="AA28" i="5"/>
  <c r="AL28" i="5"/>
  <c r="AW28" i="5"/>
  <c r="BG28" i="5"/>
  <c r="BR28" i="5"/>
  <c r="O29" i="5"/>
  <c r="AA29" i="5"/>
  <c r="AY29" i="5"/>
  <c r="AT32" i="5"/>
  <c r="H34" i="5"/>
  <c r="K35" i="5"/>
  <c r="G36" i="5"/>
  <c r="B37" i="5"/>
  <c r="BI38" i="5"/>
  <c r="BR23" i="5"/>
  <c r="CA23" i="5"/>
  <c r="J24" i="5"/>
  <c r="S24" i="5"/>
  <c r="AB24" i="5"/>
  <c r="AK24" i="5"/>
  <c r="AU24" i="5"/>
  <c r="BD24" i="5"/>
  <c r="BM24" i="5"/>
  <c r="BV24" i="5"/>
  <c r="E25" i="5"/>
  <c r="N25" i="5"/>
  <c r="W25" i="5"/>
  <c r="AG25" i="5"/>
  <c r="AP25" i="5"/>
  <c r="AY25" i="5"/>
  <c r="BH25" i="5"/>
  <c r="BQ25" i="5"/>
  <c r="BZ25" i="5"/>
  <c r="J26" i="5"/>
  <c r="AD26" i="5"/>
  <c r="AW26" i="5"/>
  <c r="BH26" i="5"/>
  <c r="CA26" i="5"/>
  <c r="U27" i="5"/>
  <c r="BA27" i="5"/>
  <c r="G28" i="5"/>
  <c r="AM28" i="5"/>
  <c r="BS28" i="5"/>
  <c r="D29" i="5"/>
  <c r="P29" i="5"/>
  <c r="AM29" i="5"/>
  <c r="BO29" i="5"/>
  <c r="E30" i="5"/>
  <c r="W30" i="5"/>
  <c r="BS30" i="5"/>
  <c r="BV31" i="5"/>
  <c r="AV32" i="5"/>
  <c r="R34" i="5"/>
  <c r="N35" i="5"/>
  <c r="I36" i="5"/>
  <c r="L37" i="5"/>
  <c r="BW38" i="5"/>
  <c r="AR20" i="5"/>
  <c r="AZ20" i="5"/>
  <c r="BH20" i="5"/>
  <c r="BP20" i="5"/>
  <c r="BX20" i="5"/>
  <c r="F21" i="5"/>
  <c r="N21" i="5"/>
  <c r="V21" i="5"/>
  <c r="AD21" i="5"/>
  <c r="AL21" i="5"/>
  <c r="AT21" i="5"/>
  <c r="BB21" i="5"/>
  <c r="BJ21" i="5"/>
  <c r="BR21" i="5"/>
  <c r="BZ21" i="5"/>
  <c r="H22" i="5"/>
  <c r="P22" i="5"/>
  <c r="X22" i="5"/>
  <c r="AF22" i="5"/>
  <c r="AN22" i="5"/>
  <c r="AV22" i="5"/>
  <c r="BN22" i="5"/>
  <c r="AZ23" i="5"/>
  <c r="AL24" i="5"/>
  <c r="X25" i="5"/>
  <c r="K26" i="5"/>
  <c r="U26" i="5"/>
  <c r="AN26" i="5"/>
  <c r="AX26" i="5"/>
  <c r="BR26" i="5"/>
  <c r="K27" i="5"/>
  <c r="V27" i="5"/>
  <c r="AF27" i="5"/>
  <c r="AP27" i="5"/>
  <c r="BB27" i="5"/>
  <c r="BL27" i="5"/>
  <c r="BV27" i="5"/>
  <c r="H28" i="5"/>
  <c r="R28" i="5"/>
  <c r="AB28" i="5"/>
  <c r="AN28" i="5"/>
  <c r="AX28" i="5"/>
  <c r="BH28" i="5"/>
  <c r="BT28" i="5"/>
  <c r="Q29" i="5"/>
  <c r="AB29" i="5"/>
  <c r="AN29" i="5"/>
  <c r="BA29" i="5"/>
  <c r="AU30" i="5"/>
  <c r="Z31" i="5"/>
  <c r="BZ31" i="5"/>
  <c r="AC33" i="5"/>
  <c r="U34" i="5"/>
  <c r="P35" i="5"/>
  <c r="P37" i="5"/>
  <c r="D39" i="5"/>
  <c r="AZ25" i="5"/>
  <c r="BI25" i="5"/>
  <c r="BR25" i="5"/>
  <c r="CA25" i="5"/>
  <c r="L26" i="5"/>
  <c r="AE26" i="5"/>
  <c r="AY26" i="5"/>
  <c r="BI26" i="5"/>
  <c r="B27" i="5"/>
  <c r="L27" i="5"/>
  <c r="AQ27" i="5"/>
  <c r="BW27" i="5"/>
  <c r="AC28" i="5"/>
  <c r="BI28" i="5"/>
  <c r="E29" i="5"/>
  <c r="R29" i="5"/>
  <c r="AO29" i="5"/>
  <c r="BQ29" i="5"/>
  <c r="G30" i="5"/>
  <c r="AA30" i="5"/>
  <c r="BW30" i="5"/>
  <c r="AF31" i="5"/>
  <c r="E32" i="5"/>
  <c r="BE32" i="5"/>
  <c r="AF33" i="5"/>
  <c r="Y35" i="5"/>
  <c r="U36" i="5"/>
  <c r="Z37" i="5"/>
  <c r="W39" i="5"/>
  <c r="BI20" i="5"/>
  <c r="BQ20" i="5"/>
  <c r="BY20" i="5"/>
  <c r="G21" i="5"/>
  <c r="O21" i="5"/>
  <c r="W21" i="5"/>
  <c r="AE21" i="5"/>
  <c r="AM21" i="5"/>
  <c r="AU21" i="5"/>
  <c r="BC21" i="5"/>
  <c r="BK21" i="5"/>
  <c r="BS21" i="5"/>
  <c r="CA21" i="5"/>
  <c r="I22" i="5"/>
  <c r="Q22" i="5"/>
  <c r="Y22" i="5"/>
  <c r="AG22" i="5"/>
  <c r="AO22" i="5"/>
  <c r="AW22" i="5"/>
  <c r="BF22" i="5"/>
  <c r="AR23" i="5"/>
  <c r="AD24" i="5"/>
  <c r="P25" i="5"/>
  <c r="B26" i="5"/>
  <c r="V26" i="5"/>
  <c r="AO26" i="5"/>
  <c r="AZ26" i="5"/>
  <c r="BS26" i="5"/>
  <c r="M27" i="5"/>
  <c r="W27" i="5"/>
  <c r="AG27" i="5"/>
  <c r="AR27" i="5"/>
  <c r="BC27" i="5"/>
  <c r="BM27" i="5"/>
  <c r="BX27" i="5"/>
  <c r="I28" i="5"/>
  <c r="S28" i="5"/>
  <c r="AD28" i="5"/>
  <c r="AO28" i="5"/>
  <c r="AY28" i="5"/>
  <c r="BJ28" i="5"/>
  <c r="BU28" i="5"/>
  <c r="AC29" i="5"/>
  <c r="AP29" i="5"/>
  <c r="BC29" i="5"/>
  <c r="AB30" i="5"/>
  <c r="AY30" i="5"/>
  <c r="AH31" i="5"/>
  <c r="H32" i="5"/>
  <c r="AH33" i="5"/>
  <c r="AF34" i="5"/>
  <c r="AB35" i="5"/>
  <c r="W36" i="5"/>
  <c r="AD37" i="5"/>
  <c r="AE39" i="5"/>
  <c r="H23" i="5"/>
  <c r="Q23" i="5"/>
  <c r="Z23" i="5"/>
  <c r="AI23" i="5"/>
  <c r="AS23" i="5"/>
  <c r="BB23" i="5"/>
  <c r="BK23" i="5"/>
  <c r="BT23" i="5"/>
  <c r="C24" i="5"/>
  <c r="L24" i="5"/>
  <c r="U24" i="5"/>
  <c r="AE24" i="5"/>
  <c r="AN24" i="5"/>
  <c r="AW24" i="5"/>
  <c r="BF24" i="5"/>
  <c r="BO24" i="5"/>
  <c r="BX24" i="5"/>
  <c r="G25" i="5"/>
  <c r="Q25" i="5"/>
  <c r="Z25" i="5"/>
  <c r="AI25" i="5"/>
  <c r="AR25" i="5"/>
  <c r="BA25" i="5"/>
  <c r="BJ25" i="5"/>
  <c r="BS25" i="5"/>
  <c r="C26" i="5"/>
  <c r="M26" i="5"/>
  <c r="AF26" i="5"/>
  <c r="AP26" i="5"/>
  <c r="BJ26" i="5"/>
  <c r="C27" i="5"/>
  <c r="N27" i="5"/>
  <c r="AS27" i="5"/>
  <c r="BY27" i="5"/>
  <c r="AE28" i="5"/>
  <c r="BK28" i="5"/>
  <c r="G29" i="5"/>
  <c r="S29" i="5"/>
  <c r="BD29" i="5"/>
  <c r="BS29" i="5"/>
  <c r="I30" i="5"/>
  <c r="AJ31" i="5"/>
  <c r="BH32" i="5"/>
  <c r="AQ33" i="5"/>
  <c r="AI34" i="5"/>
  <c r="AD35" i="5"/>
  <c r="AG36" i="5"/>
  <c r="AN37" i="5"/>
  <c r="AV39" i="5"/>
  <c r="AV21" i="5"/>
  <c r="BD21" i="5"/>
  <c r="BL21" i="5"/>
  <c r="BT21" i="5"/>
  <c r="B22" i="5"/>
  <c r="J22" i="5"/>
  <c r="R22" i="5"/>
  <c r="Z22" i="5"/>
  <c r="AH22" i="5"/>
  <c r="AP22" i="5"/>
  <c r="AJ23" i="5"/>
  <c r="V24" i="5"/>
  <c r="H25" i="5"/>
  <c r="BT25" i="5"/>
  <c r="D26" i="5"/>
  <c r="W26" i="5"/>
  <c r="AQ26" i="5"/>
  <c r="BA26" i="5"/>
  <c r="BT26" i="5"/>
  <c r="D27" i="5"/>
  <c r="X27" i="5"/>
  <c r="AH27" i="5"/>
  <c r="AT27" i="5"/>
  <c r="BD27" i="5"/>
  <c r="BN27" i="5"/>
  <c r="BZ27" i="5"/>
  <c r="J28" i="5"/>
  <c r="T28" i="5"/>
  <c r="AF28" i="5"/>
  <c r="AP28" i="5"/>
  <c r="AZ28" i="5"/>
  <c r="BL28" i="5"/>
  <c r="BV28" i="5"/>
  <c r="H29" i="5"/>
  <c r="AE29" i="5"/>
  <c r="AQ29" i="5"/>
  <c r="BE29" i="5"/>
  <c r="BU29" i="5"/>
  <c r="K30" i="5"/>
  <c r="L32" i="5"/>
  <c r="BL32" i="5"/>
  <c r="AK34" i="5"/>
  <c r="AN35" i="5"/>
  <c r="AI36" i="5"/>
  <c r="BD39" i="5"/>
  <c r="AT31" i="5"/>
  <c r="BF31" i="5"/>
  <c r="F32" i="5"/>
  <c r="AF32" i="5"/>
  <c r="AR32" i="5"/>
  <c r="BR32" i="5"/>
  <c r="R33" i="5"/>
  <c r="AD33" i="5"/>
  <c r="BD33" i="5"/>
  <c r="E34" i="5"/>
  <c r="S34" i="5"/>
  <c r="AG34" i="5"/>
  <c r="AU34" i="5"/>
  <c r="BJ34" i="5"/>
  <c r="BX34" i="5"/>
  <c r="L35" i="5"/>
  <c r="Z35" i="5"/>
  <c r="BC35" i="5"/>
  <c r="BQ35" i="5"/>
  <c r="E36" i="5"/>
  <c r="S36" i="5"/>
  <c r="AH36" i="5"/>
  <c r="AV36" i="5"/>
  <c r="BJ36" i="5"/>
  <c r="BX36" i="5"/>
  <c r="AA37" i="5"/>
  <c r="AO37" i="5"/>
  <c r="BE37" i="5"/>
  <c r="BV37" i="5"/>
  <c r="N38" i="5"/>
  <c r="AH38" i="5"/>
  <c r="BY38" i="5"/>
  <c r="X39" i="5"/>
  <c r="AR30" i="5"/>
  <c r="AZ30" i="5"/>
  <c r="BH30" i="5"/>
  <c r="BP30" i="5"/>
  <c r="BX30" i="5"/>
  <c r="F31" i="5"/>
  <c r="N31" i="5"/>
  <c r="V31" i="5"/>
  <c r="AG31" i="5"/>
  <c r="AU31" i="5"/>
  <c r="BG31" i="5"/>
  <c r="BT31" i="5"/>
  <c r="G32" i="5"/>
  <c r="S32" i="5"/>
  <c r="AG32" i="5"/>
  <c r="AS32" i="5"/>
  <c r="BF32" i="5"/>
  <c r="BS32" i="5"/>
  <c r="E33" i="5"/>
  <c r="S33" i="5"/>
  <c r="AE33" i="5"/>
  <c r="AR33" i="5"/>
  <c r="BE33" i="5"/>
  <c r="BQ33" i="5"/>
  <c r="F34" i="5"/>
  <c r="T34" i="5"/>
  <c r="AH34" i="5"/>
  <c r="AV34" i="5"/>
  <c r="BY34" i="5"/>
  <c r="M35" i="5"/>
  <c r="AA35" i="5"/>
  <c r="AO35" i="5"/>
  <c r="BD35" i="5"/>
  <c r="BR35" i="5"/>
  <c r="F36" i="5"/>
  <c r="T36" i="5"/>
  <c r="AW36" i="5"/>
  <c r="BK36" i="5"/>
  <c r="BY36" i="5"/>
  <c r="M37" i="5"/>
  <c r="AB37" i="5"/>
  <c r="AP37" i="5"/>
  <c r="BF37" i="5"/>
  <c r="BW37" i="5"/>
  <c r="AI38" i="5"/>
  <c r="BC38" i="5"/>
  <c r="BZ38" i="5"/>
  <c r="AW39" i="5"/>
  <c r="N37" i="5"/>
  <c r="AQ37" i="5"/>
  <c r="BG37" i="5"/>
  <c r="BX37" i="5"/>
  <c r="O38" i="5"/>
  <c r="AK38" i="5"/>
  <c r="BF38" i="5"/>
  <c r="Y39" i="5"/>
  <c r="AZ39" i="5"/>
  <c r="U30" i="5"/>
  <c r="AC30" i="5"/>
  <c r="AK30" i="5"/>
  <c r="AS30" i="5"/>
  <c r="BA30" i="5"/>
  <c r="BI30" i="5"/>
  <c r="BQ30" i="5"/>
  <c r="BY30" i="5"/>
  <c r="G31" i="5"/>
  <c r="O31" i="5"/>
  <c r="W31" i="5"/>
  <c r="AI31" i="5"/>
  <c r="AV31" i="5"/>
  <c r="BI31" i="5"/>
  <c r="BU31" i="5"/>
  <c r="I32" i="5"/>
  <c r="U32" i="5"/>
  <c r="AH32" i="5"/>
  <c r="AU32" i="5"/>
  <c r="BG32" i="5"/>
  <c r="BU32" i="5"/>
  <c r="G33" i="5"/>
  <c r="T33" i="5"/>
  <c r="AG33" i="5"/>
  <c r="AS33" i="5"/>
  <c r="BG33" i="5"/>
  <c r="BS33" i="5"/>
  <c r="G34" i="5"/>
  <c r="V34" i="5"/>
  <c r="AJ34" i="5"/>
  <c r="AX34" i="5"/>
  <c r="BL34" i="5"/>
  <c r="O35" i="5"/>
  <c r="AC35" i="5"/>
  <c r="AQ35" i="5"/>
  <c r="BE35" i="5"/>
  <c r="BT35" i="5"/>
  <c r="H36" i="5"/>
  <c r="V36" i="5"/>
  <c r="AJ36" i="5"/>
  <c r="BM36" i="5"/>
  <c r="CA36" i="5"/>
  <c r="O37" i="5"/>
  <c r="AC37" i="5"/>
  <c r="AR37" i="5"/>
  <c r="BH37" i="5"/>
  <c r="R38" i="5"/>
  <c r="AL38" i="5"/>
  <c r="BG38" i="5"/>
  <c r="CA38" i="5"/>
  <c r="AB39" i="5"/>
  <c r="BC39" i="5"/>
  <c r="AR29" i="5"/>
  <c r="AZ29" i="5"/>
  <c r="BH29" i="5"/>
  <c r="BP29" i="5"/>
  <c r="BX29" i="5"/>
  <c r="F30" i="5"/>
  <c r="N30" i="5"/>
  <c r="V30" i="5"/>
  <c r="AD30" i="5"/>
  <c r="AL30" i="5"/>
  <c r="AT30" i="5"/>
  <c r="BB30" i="5"/>
  <c r="BJ30" i="5"/>
  <c r="BR30" i="5"/>
  <c r="BZ30" i="5"/>
  <c r="H31" i="5"/>
  <c r="P31" i="5"/>
  <c r="X31" i="5"/>
  <c r="AK31" i="5"/>
  <c r="AW31" i="5"/>
  <c r="BK31" i="5"/>
  <c r="BW31" i="5"/>
  <c r="J32" i="5"/>
  <c r="W32" i="5"/>
  <c r="AI32" i="5"/>
  <c r="AW32" i="5"/>
  <c r="BI32" i="5"/>
  <c r="BV32" i="5"/>
  <c r="I33" i="5"/>
  <c r="U33" i="5"/>
  <c r="AI33" i="5"/>
  <c r="AU33" i="5"/>
  <c r="BH33" i="5"/>
  <c r="BU33" i="5"/>
  <c r="I34" i="5"/>
  <c r="W34" i="5"/>
  <c r="AL34" i="5"/>
  <c r="AZ34" i="5"/>
  <c r="BN34" i="5"/>
  <c r="B35" i="5"/>
  <c r="AE35" i="5"/>
  <c r="AS35" i="5"/>
  <c r="BG35" i="5"/>
  <c r="BU35" i="5"/>
  <c r="J36" i="5"/>
  <c r="X36" i="5"/>
  <c r="AL36" i="5"/>
  <c r="AZ36" i="5"/>
  <c r="C37" i="5"/>
  <c r="Q37" i="5"/>
  <c r="AE37" i="5"/>
  <c r="AS37" i="5"/>
  <c r="BI37" i="5"/>
  <c r="B38" i="5"/>
  <c r="T38" i="5"/>
  <c r="AM38" i="5"/>
  <c r="BJ38" i="5"/>
  <c r="G39" i="5"/>
  <c r="AF39" i="5"/>
  <c r="AL31" i="5"/>
  <c r="AX31" i="5"/>
  <c r="BX31" i="5"/>
  <c r="X32" i="5"/>
  <c r="AJ32" i="5"/>
  <c r="BJ32" i="5"/>
  <c r="J33" i="5"/>
  <c r="V33" i="5"/>
  <c r="AV33" i="5"/>
  <c r="BV33" i="5"/>
  <c r="J34" i="5"/>
  <c r="X34" i="5"/>
  <c r="BA34" i="5"/>
  <c r="BO34" i="5"/>
  <c r="C35" i="5"/>
  <c r="Q35" i="5"/>
  <c r="AF35" i="5"/>
  <c r="AT35" i="5"/>
  <c r="BH35" i="5"/>
  <c r="BV35" i="5"/>
  <c r="Y36" i="5"/>
  <c r="AM36" i="5"/>
  <c r="BA36" i="5"/>
  <c r="BO36" i="5"/>
  <c r="D37" i="5"/>
  <c r="R37" i="5"/>
  <c r="AF37" i="5"/>
  <c r="AU37" i="5"/>
  <c r="BK37" i="5"/>
  <c r="C38" i="5"/>
  <c r="U38" i="5"/>
  <c r="AP38" i="5"/>
  <c r="H39" i="5"/>
  <c r="BE39" i="5"/>
  <c r="CA30" i="5"/>
  <c r="I31" i="5"/>
  <c r="Q31" i="5"/>
  <c r="Y31" i="5"/>
  <c r="AM31" i="5"/>
  <c r="AY31" i="5"/>
  <c r="BL31" i="5"/>
  <c r="BY31" i="5"/>
  <c r="K32" i="5"/>
  <c r="Y32" i="5"/>
  <c r="AK32" i="5"/>
  <c r="AX32" i="5"/>
  <c r="BK32" i="5"/>
  <c r="BW32" i="5"/>
  <c r="K33" i="5"/>
  <c r="W33" i="5"/>
  <c r="AJ33" i="5"/>
  <c r="AW33" i="5"/>
  <c r="BI33" i="5"/>
  <c r="BW33" i="5"/>
  <c r="K34" i="5"/>
  <c r="Y34" i="5"/>
  <c r="AM34" i="5"/>
  <c r="BB34" i="5"/>
  <c r="BP34" i="5"/>
  <c r="D35" i="5"/>
  <c r="R35" i="5"/>
  <c r="AU35" i="5"/>
  <c r="BI35" i="5"/>
  <c r="BW35" i="5"/>
  <c r="K36" i="5"/>
  <c r="Z36" i="5"/>
  <c r="AN36" i="5"/>
  <c r="BB36" i="5"/>
  <c r="BP36" i="5"/>
  <c r="S37" i="5"/>
  <c r="AG37" i="5"/>
  <c r="AV37" i="5"/>
  <c r="BL37" i="5"/>
  <c r="D38" i="5"/>
  <c r="V38" i="5"/>
  <c r="AQ38" i="5"/>
  <c r="BK38" i="5"/>
  <c r="AG39" i="5"/>
  <c r="BH39" i="5"/>
  <c r="X33" i="5"/>
  <c r="AX33" i="5"/>
  <c r="BJ33" i="5"/>
  <c r="BX33" i="5"/>
  <c r="L34" i="5"/>
  <c r="Z34" i="5"/>
  <c r="AN34" i="5"/>
  <c r="BQ34" i="5"/>
  <c r="E35" i="5"/>
  <c r="S35" i="5"/>
  <c r="AG35" i="5"/>
  <c r="AV35" i="5"/>
  <c r="BJ35" i="5"/>
  <c r="BX35" i="5"/>
  <c r="L36" i="5"/>
  <c r="AO36" i="5"/>
  <c r="BC36" i="5"/>
  <c r="BQ36" i="5"/>
  <c r="E37" i="5"/>
  <c r="T37" i="5"/>
  <c r="AH37" i="5"/>
  <c r="AW37" i="5"/>
  <c r="BM37" i="5"/>
  <c r="E38" i="5"/>
  <c r="AS38" i="5"/>
  <c r="BN38" i="5"/>
  <c r="I39" i="5"/>
  <c r="AJ39" i="5"/>
  <c r="BK39" i="5"/>
  <c r="BX28" i="5"/>
  <c r="F29" i="5"/>
  <c r="N29" i="5"/>
  <c r="V29" i="5"/>
  <c r="AD29" i="5"/>
  <c r="AL29" i="5"/>
  <c r="AT29" i="5"/>
  <c r="BB29" i="5"/>
  <c r="BJ29" i="5"/>
  <c r="BR29" i="5"/>
  <c r="BZ29" i="5"/>
  <c r="H30" i="5"/>
  <c r="P30" i="5"/>
  <c r="X30" i="5"/>
  <c r="AF30" i="5"/>
  <c r="AN30" i="5"/>
  <c r="AV30" i="5"/>
  <c r="BD30" i="5"/>
  <c r="BL30" i="5"/>
  <c r="BT30" i="5"/>
  <c r="B31" i="5"/>
  <c r="J31" i="5"/>
  <c r="R31" i="5"/>
  <c r="AA31" i="5"/>
  <c r="AN31" i="5"/>
  <c r="BA31" i="5"/>
  <c r="BM31" i="5"/>
  <c r="CA31" i="5"/>
  <c r="M32" i="5"/>
  <c r="Z32" i="5"/>
  <c r="AM32" i="5"/>
  <c r="AY32" i="5"/>
  <c r="BM32" i="5"/>
  <c r="BY32" i="5"/>
  <c r="L33" i="5"/>
  <c r="Y33" i="5"/>
  <c r="AK33" i="5"/>
  <c r="AY33" i="5"/>
  <c r="BK33" i="5"/>
  <c r="M34" i="5"/>
  <c r="AA34" i="5"/>
  <c r="AO34" i="5"/>
  <c r="BC34" i="5"/>
  <c r="BR34" i="5"/>
  <c r="F35" i="5"/>
  <c r="T35" i="5"/>
  <c r="AH35" i="5"/>
  <c r="BK35" i="5"/>
  <c r="BY35" i="5"/>
  <c r="M36" i="5"/>
  <c r="AA36" i="5"/>
  <c r="AP36" i="5"/>
  <c r="BD36" i="5"/>
  <c r="BR36" i="5"/>
  <c r="F37" i="5"/>
  <c r="AI37" i="5"/>
  <c r="AX37" i="5"/>
  <c r="BN37" i="5"/>
  <c r="F38" i="5"/>
  <c r="W38" i="5"/>
  <c r="AT38" i="5"/>
  <c r="BO38" i="5"/>
  <c r="L39" i="5"/>
  <c r="AM39" i="5"/>
  <c r="BL39" i="5"/>
  <c r="AB31" i="5"/>
  <c r="BB31" i="5"/>
  <c r="BN31" i="5"/>
  <c r="N32" i="5"/>
  <c r="AN32" i="5"/>
  <c r="AZ32" i="5"/>
  <c r="BZ32" i="5"/>
  <c r="Z33" i="5"/>
  <c r="AL33" i="5"/>
  <c r="BL33" i="5"/>
  <c r="BY33" i="5"/>
  <c r="N34" i="5"/>
  <c r="AB34" i="5"/>
  <c r="AP34" i="5"/>
  <c r="BD34" i="5"/>
  <c r="G35" i="5"/>
  <c r="U35" i="5"/>
  <c r="AI35" i="5"/>
  <c r="AW35" i="5"/>
  <c r="BL35" i="5"/>
  <c r="BZ35" i="5"/>
  <c r="N36" i="5"/>
  <c r="AB36" i="5"/>
  <c r="BE36" i="5"/>
  <c r="BS36" i="5"/>
  <c r="G37" i="5"/>
  <c r="U37" i="5"/>
  <c r="AJ37" i="5"/>
  <c r="AY37" i="5"/>
  <c r="BO37" i="5"/>
  <c r="Z38" i="5"/>
  <c r="BQ38" i="5"/>
  <c r="O39" i="5"/>
  <c r="AN39" i="5"/>
  <c r="Q30" i="5"/>
  <c r="Y30" i="5"/>
  <c r="AG30" i="5"/>
  <c r="AO30" i="5"/>
  <c r="AW30" i="5"/>
  <c r="BE30" i="5"/>
  <c r="BM30" i="5"/>
  <c r="BU30" i="5"/>
  <c r="C31" i="5"/>
  <c r="K31" i="5"/>
  <c r="S31" i="5"/>
  <c r="AC31" i="5"/>
  <c r="AO31" i="5"/>
  <c r="BC31" i="5"/>
  <c r="BO31" i="5"/>
  <c r="B32" i="5"/>
  <c r="O32" i="5"/>
  <c r="AA32" i="5"/>
  <c r="AO32" i="5"/>
  <c r="BA32" i="5"/>
  <c r="BN32" i="5"/>
  <c r="CA32" i="5"/>
  <c r="M33" i="5"/>
  <c r="AA33" i="5"/>
  <c r="AM33" i="5"/>
  <c r="AZ33" i="5"/>
  <c r="BM33" i="5"/>
  <c r="BZ33" i="5"/>
  <c r="AC34" i="5"/>
  <c r="AQ34" i="5"/>
  <c r="BE34" i="5"/>
  <c r="BS34" i="5"/>
  <c r="H35" i="5"/>
  <c r="V35" i="5"/>
  <c r="AJ35" i="5"/>
  <c r="AX35" i="5"/>
  <c r="CA35" i="5"/>
  <c r="O36" i="5"/>
  <c r="AC36" i="5"/>
  <c r="AQ36" i="5"/>
  <c r="BF36" i="5"/>
  <c r="BT36" i="5"/>
  <c r="H37" i="5"/>
  <c r="V37" i="5"/>
  <c r="AZ37" i="5"/>
  <c r="BP37" i="5"/>
  <c r="G38" i="5"/>
  <c r="AA38" i="5"/>
  <c r="AU38" i="5"/>
  <c r="BR38" i="5"/>
  <c r="P39" i="5"/>
  <c r="BM39" i="5"/>
  <c r="AD31" i="5"/>
  <c r="AP31" i="5"/>
  <c r="BP31" i="5"/>
  <c r="P32" i="5"/>
  <c r="AB32" i="5"/>
  <c r="BB32" i="5"/>
  <c r="B33" i="5"/>
  <c r="N33" i="5"/>
  <c r="AN33" i="5"/>
  <c r="BN33" i="5"/>
  <c r="CA33" i="5"/>
  <c r="O34" i="5"/>
  <c r="AD34" i="5"/>
  <c r="AR34" i="5"/>
  <c r="BF34" i="5"/>
  <c r="BT34" i="5"/>
  <c r="W35" i="5"/>
  <c r="AK35" i="5"/>
  <c r="AY35" i="5"/>
  <c r="BM35" i="5"/>
  <c r="B36" i="5"/>
  <c r="P36" i="5"/>
  <c r="AD36" i="5"/>
  <c r="AR36" i="5"/>
  <c r="BU36" i="5"/>
  <c r="I37" i="5"/>
  <c r="W37" i="5"/>
  <c r="AK37" i="5"/>
  <c r="J38" i="5"/>
  <c r="AC38" i="5"/>
  <c r="AX38" i="5"/>
  <c r="AO39" i="5"/>
  <c r="BP39" i="5"/>
  <c r="BL29" i="5"/>
  <c r="BT29" i="5"/>
  <c r="B30" i="5"/>
  <c r="J30" i="5"/>
  <c r="R30" i="5"/>
  <c r="Z30" i="5"/>
  <c r="AH30" i="5"/>
  <c r="AP30" i="5"/>
  <c r="AX30" i="5"/>
  <c r="BF30" i="5"/>
  <c r="BN30" i="5"/>
  <c r="BV30" i="5"/>
  <c r="D31" i="5"/>
  <c r="L31" i="5"/>
  <c r="T31" i="5"/>
  <c r="AE31" i="5"/>
  <c r="AQ31" i="5"/>
  <c r="BD31" i="5"/>
  <c r="BQ31" i="5"/>
  <c r="C32" i="5"/>
  <c r="Q32" i="5"/>
  <c r="AC32" i="5"/>
  <c r="AP32" i="5"/>
  <c r="BC32" i="5"/>
  <c r="BO32" i="5"/>
  <c r="C33" i="5"/>
  <c r="O33" i="5"/>
  <c r="AB33" i="5"/>
  <c r="AO33" i="5"/>
  <c r="BA33" i="5"/>
  <c r="BO33" i="5"/>
  <c r="B34" i="5"/>
  <c r="P34" i="5"/>
  <c r="AS34" i="5"/>
  <c r="BG34" i="5"/>
  <c r="BU34" i="5"/>
  <c r="I35" i="5"/>
  <c r="X35" i="5"/>
  <c r="AL35" i="5"/>
  <c r="AZ35" i="5"/>
  <c r="BN35" i="5"/>
  <c r="Q36" i="5"/>
  <c r="AE36" i="5"/>
  <c r="AS36" i="5"/>
  <c r="BG36" i="5"/>
  <c r="BV36" i="5"/>
  <c r="J37" i="5"/>
  <c r="X37" i="5"/>
  <c r="AL37" i="5"/>
  <c r="BA37" i="5"/>
  <c r="BQ37" i="5"/>
  <c r="K38" i="5"/>
  <c r="AD38" i="5"/>
  <c r="AY38" i="5"/>
  <c r="BS38" i="5"/>
  <c r="Q39" i="5"/>
  <c r="AR39" i="5"/>
  <c r="BS39" i="5"/>
  <c r="AR31" i="5"/>
  <c r="BR31" i="5"/>
  <c r="D32" i="5"/>
  <c r="AD32" i="5"/>
  <c r="BD32" i="5"/>
  <c r="BP32" i="5"/>
  <c r="P33" i="5"/>
  <c r="AP33" i="5"/>
  <c r="BB33" i="5"/>
  <c r="C34" i="5"/>
  <c r="Q34" i="5"/>
  <c r="AE34" i="5"/>
  <c r="AT34" i="5"/>
  <c r="BH34" i="5"/>
  <c r="BV34" i="5"/>
  <c r="J35" i="5"/>
  <c r="AM35" i="5"/>
  <c r="BA35" i="5"/>
  <c r="BO35" i="5"/>
  <c r="C36" i="5"/>
  <c r="R36" i="5"/>
  <c r="AF36" i="5"/>
  <c r="AT36" i="5"/>
  <c r="BH36" i="5"/>
  <c r="K37" i="5"/>
  <c r="Y37" i="5"/>
  <c r="AM37" i="5"/>
  <c r="BC37" i="5"/>
  <c r="BT37" i="5"/>
  <c r="L38" i="5"/>
  <c r="BA38" i="5"/>
  <c r="BV38" i="5"/>
  <c r="T39" i="5"/>
  <c r="AU39" i="5"/>
  <c r="BT39" i="5"/>
  <c r="BU39" i="5"/>
  <c r="AT37" i="5"/>
  <c r="BB37" i="5"/>
  <c r="BJ37" i="5"/>
  <c r="BR37" i="5"/>
  <c r="BZ37" i="5"/>
  <c r="H38" i="5"/>
  <c r="P38" i="5"/>
  <c r="X38" i="5"/>
  <c r="AF38" i="5"/>
  <c r="AN38" i="5"/>
  <c r="AV38" i="5"/>
  <c r="BD38" i="5"/>
  <c r="BL38" i="5"/>
  <c r="BT38" i="5"/>
  <c r="B39" i="5"/>
  <c r="J39" i="5"/>
  <c r="R39" i="5"/>
  <c r="Z39" i="5"/>
  <c r="AH39" i="5"/>
  <c r="AP39" i="5"/>
  <c r="AX39" i="5"/>
  <c r="BF39" i="5"/>
  <c r="BN39" i="5"/>
  <c r="BV39" i="5"/>
  <c r="BS37" i="5"/>
  <c r="CA37" i="5"/>
  <c r="I38" i="5"/>
  <c r="Q38" i="5"/>
  <c r="Y38" i="5"/>
  <c r="AG38" i="5"/>
  <c r="AO38" i="5"/>
  <c r="AW38" i="5"/>
  <c r="BE38" i="5"/>
  <c r="BM38" i="5"/>
  <c r="BU38" i="5"/>
  <c r="C39" i="5"/>
  <c r="K39" i="5"/>
  <c r="S39" i="5"/>
  <c r="AA39" i="5"/>
  <c r="AI39" i="5"/>
  <c r="AQ39" i="5"/>
  <c r="AY39" i="5"/>
  <c r="BG39" i="5"/>
  <c r="BO39" i="5"/>
  <c r="BW39" i="5"/>
  <c r="BX39" i="5"/>
  <c r="E39" i="5"/>
  <c r="M39" i="5"/>
  <c r="U39" i="5"/>
  <c r="AC39" i="5"/>
  <c r="AK39" i="5"/>
  <c r="AS39" i="5"/>
  <c r="BA39" i="5"/>
  <c r="BI39" i="5"/>
  <c r="BQ39" i="5"/>
  <c r="BY39" i="5"/>
  <c r="AB38" i="5"/>
  <c r="AJ38" i="5"/>
  <c r="AR38" i="5"/>
  <c r="AZ38" i="5"/>
  <c r="BH38" i="5"/>
  <c r="BP38" i="5"/>
  <c r="BX38" i="5"/>
  <c r="F39" i="5"/>
  <c r="N39" i="5"/>
  <c r="V39" i="5"/>
  <c r="AD39" i="5"/>
  <c r="AL39" i="5"/>
  <c r="AT39" i="5"/>
  <c r="BB39" i="5"/>
  <c r="BJ39" i="5"/>
  <c r="BR39" i="5"/>
  <c r="BZ39" i="5"/>
  <c r="CA39" i="5"/>
  <c r="AA64" i="4"/>
  <c r="AA48" i="4"/>
  <c r="AA70" i="4"/>
  <c r="AA68" i="4"/>
  <c r="AA80" i="4"/>
  <c r="AA77" i="4"/>
  <c r="AA61" i="4"/>
  <c r="AA65" i="4"/>
  <c r="AA45" i="4"/>
  <c r="AA63" i="4"/>
  <c r="AA52" i="4"/>
  <c r="AA72" i="4"/>
  <c r="AA57" i="4"/>
  <c r="AA47" i="4"/>
  <c r="AA78" i="4"/>
  <c r="AA73" i="4"/>
  <c r="AA51" i="4"/>
  <c r="AA71" i="4"/>
  <c r="AA66" i="4"/>
  <c r="AA56" i="4"/>
  <c r="AA46" i="4"/>
  <c r="AA76" i="4"/>
  <c r="AA62" i="4"/>
  <c r="AA67" i="4"/>
  <c r="AA50" i="4"/>
  <c r="AA53" i="4"/>
  <c r="AA58" i="4"/>
  <c r="AA55" i="4"/>
  <c r="AA79" i="4"/>
  <c r="AA75" i="4"/>
  <c r="AA60" i="4"/>
  <c r="AA49" i="4"/>
  <c r="AA74" i="4"/>
  <c r="AA69" i="4"/>
  <c r="AA54" i="4"/>
  <c r="AA59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<sst xmlns="http://schemas.openxmlformats.org/spreadsheetml/2006/main" count="3032" uniqueCount="279">
  <si>
    <t>Export</t>
  </si>
  <si>
    <t>0 Food and live animals ;</t>
  </si>
  <si>
    <t>00 Live animals (excl. fish (not marine mammals) crustaceans, molluscs and aquatic invertebrates of SITC Division 03) ;</t>
  </si>
  <si>
    <t>01 Meat and meat preparations ;</t>
  </si>
  <si>
    <t>02 Dairy products and birds’ eggs ;</t>
  </si>
  <si>
    <t>03 Fish (excl. marine mammals) crustaceans, molluscs and aquatic invertebrates, and preparations thereof (excl. extracts and juices of fish, crustaceans, molluscs or other aquatic invertebrates, prepared or preserved of SITC 01710) ;</t>
  </si>
  <si>
    <t>04 Cereals and cereal preparations ;</t>
  </si>
  <si>
    <t>05 Vegetables and fruit ;</t>
  </si>
  <si>
    <t>06 Sugars, sugar preparations and honey ;</t>
  </si>
  <si>
    <t>07 Coffee, tea, cocoa, spices, and manufactures thereof ;</t>
  </si>
  <si>
    <t>08 Feeding stuff for animals (excl. unmilled cereals) ;</t>
  </si>
  <si>
    <t>09 Miscellaneous edible products and preparations ;</t>
  </si>
  <si>
    <t>1 Beverages and tobacco ;</t>
  </si>
  <si>
    <t>11 Beverages ;</t>
  </si>
  <si>
    <t>12 Tobacco and tobacco manufactures ;</t>
  </si>
  <si>
    <t>2 Crude materials, inedible, except fuels ;</t>
  </si>
  <si>
    <t>21 Hides, skins and furskins, raw ;</t>
  </si>
  <si>
    <t>22 Oil-seeds and oleaginous fruits ;</t>
  </si>
  <si>
    <t>23 Crude rubber (incl. synthetic and reclaimed) ;</t>
  </si>
  <si>
    <t>24 Cork and wood ;</t>
  </si>
  <si>
    <t>25 Pulp and waste paper ;</t>
  </si>
  <si>
    <t>26 Textile fibres (excl. wool tops and other combed wool) and their wastes, not manufactured into yarn or fabric ;</t>
  </si>
  <si>
    <t>27 Crude fertilizers (excl. those of Division 56) and crude minerals (excl. coal, petroleum and precious stones) ;</t>
  </si>
  <si>
    <t>28 Metalliferous ores and metal scrap ;</t>
  </si>
  <si>
    <t>29 Crude animal and vegetable materials, nes ;</t>
  </si>
  <si>
    <t>3 Mineral fuels, lubricants and related materials ;</t>
  </si>
  <si>
    <t>32 Coal, coke and briquettes ;</t>
  </si>
  <si>
    <t>33 Petroleum, petroleum products and related materials ;</t>
  </si>
  <si>
    <t>34 Gas, natural and manufactured ;</t>
  </si>
  <si>
    <t>4 Animal and vegetable oils, fats and waxes ;</t>
  </si>
  <si>
    <t>41 Animal oils and fats ;</t>
  </si>
  <si>
    <t>42 Fixed vegetable fats and oils, crude, refined or fractionated ;</t>
  </si>
  <si>
    <t>43 Animal or vegetable fats and oils, processed; waxes of animal or vegetable origin; inedible mixtures or preparations of animal or vegetable fats or oils, nes ;</t>
  </si>
  <si>
    <t>5 Chemicals and related products, nes ;</t>
  </si>
  <si>
    <t>51 Organic chemicals ;</t>
  </si>
  <si>
    <t>52 Inorganic chemicals ;</t>
  </si>
  <si>
    <t>53 Dyeing, tanning and colouring materials ;</t>
  </si>
  <si>
    <t>54 Medicinal and pharmaceutical products ;</t>
  </si>
  <si>
    <t>55 Essential oils and resinoids and perfume materials; toilet, polishing and cleansing preparations ;</t>
  </si>
  <si>
    <t>56 Fertilisers (excl. those of group 272) ;</t>
  </si>
  <si>
    <t>57 Plastics in primary forms ;</t>
  </si>
  <si>
    <t>58 Plastics in non-primary forms ;</t>
  </si>
  <si>
    <t>59 Chemical materials and products, nes ;</t>
  </si>
  <si>
    <t>6 Manufactured goods classified chiefly by material ;</t>
  </si>
  <si>
    <t>61 Leather, leather manufactures, nes, and dressed furskins ;</t>
  </si>
  <si>
    <t>62 Rubber manufactures, nes ;</t>
  </si>
  <si>
    <t>63 Cork and wood manufactures (excl. furniture) ;</t>
  </si>
  <si>
    <t>64 Paper, paperboard and articles of paper pulp, of paper or of paperboard ;</t>
  </si>
  <si>
    <t>65 Textile yarn, fabrics, made-up articles nes, and related products ;</t>
  </si>
  <si>
    <t>66 Non-metallic mineral manufactures, nes ;</t>
  </si>
  <si>
    <t>67 Iron and steel ;</t>
  </si>
  <si>
    <t>68 Non-ferrous metals ;</t>
  </si>
  <si>
    <t>69 Manufactures of metals, nes ;</t>
  </si>
  <si>
    <t>7 Machinery and transport equipment ;</t>
  </si>
  <si>
    <t>71 Power generating machinery and equipment ;</t>
  </si>
  <si>
    <t>72 Machinery specialized for particular industries ;</t>
  </si>
  <si>
    <t>73 Metalworking machinery ;</t>
  </si>
  <si>
    <t>74 General industrial machinery and equipment, nes, and machine parts, nes ;</t>
  </si>
  <si>
    <t>75 Office machines and automatic data processing machines ;</t>
  </si>
  <si>
    <t>76 Telecommunications and sound recording and reproducing apparatus and equipment ;</t>
  </si>
  <si>
    <t>77 Electrical machinery, apparatus and appliances, nes, and electrical parts thereof (incl. non electrical counterparts, nes, of electrical household type equipment) ;</t>
  </si>
  <si>
    <t>78 Road vehicles (incl. air-cushion vehicles) ;</t>
  </si>
  <si>
    <t>79 Transport equipment (excl. road vehicles) ;</t>
  </si>
  <si>
    <t>8 Miscellaneous manufactured articles ;</t>
  </si>
  <si>
    <t>81 Prefabricated buildings and sanitary, plumbing, heating and lighting fixtures and fittings, nes ;</t>
  </si>
  <si>
    <t>82 Furniture and parts thereof; bedding, mattresses, mattress supports, cushions and similar stuffed furnishings ;</t>
  </si>
  <si>
    <t>83 Travel goods, handbags and similar containers ;</t>
  </si>
  <si>
    <t>84 Articles of apparel and clothing accessories ;</t>
  </si>
  <si>
    <t>85 Footwear ;</t>
  </si>
  <si>
    <t>87 Professional, scientific and controlling instruments and apparatus, nes ;</t>
  </si>
  <si>
    <t>88 Photographic apparatus, equipment and supplies and optical goods, nes; watches and clocks ;</t>
  </si>
  <si>
    <t>89 Miscellaneous manufactured articles, nes ;</t>
  </si>
  <si>
    <t>9 Commodities and transactions not classified elsewhere in the SITC ;</t>
  </si>
  <si>
    <t>93 Special transactions and commodities not classified according to kind ;</t>
  </si>
  <si>
    <t>95 Gold coin whether or not legal tender, and other coin being legal tender ;</t>
  </si>
  <si>
    <t>96 Coin (excl. gold coin) not being legal tender ;</t>
  </si>
  <si>
    <t>97 Gold, non-monetary (excl. gold ores and concentrates) ;</t>
  </si>
  <si>
    <t>98 Combined confidential items excluding some of SITC 28099 (exports only) and some of SITC 51099 (imports only) ;</t>
  </si>
  <si>
    <t>-1 TOTAL ;</t>
  </si>
  <si>
    <t>Unit</t>
  </si>
  <si>
    <t>$ Millions</t>
  </si>
  <si>
    <t>Series ID</t>
  </si>
  <si>
    <t>A1827804K</t>
  </si>
  <si>
    <t>A1827805L</t>
  </si>
  <si>
    <t>A1827806R</t>
  </si>
  <si>
    <t>A1827807T</t>
  </si>
  <si>
    <t>A1827808V</t>
  </si>
  <si>
    <t>A1827809W</t>
  </si>
  <si>
    <t>A1827810F</t>
  </si>
  <si>
    <t>A1827811J</t>
  </si>
  <si>
    <t>A1827812K</t>
  </si>
  <si>
    <t>A1827813L</t>
  </si>
  <si>
    <t>A1827814R</t>
  </si>
  <si>
    <t>A1827815T</t>
  </si>
  <si>
    <t>A1827816V</t>
  </si>
  <si>
    <t>A1827817W</t>
  </si>
  <si>
    <t>A1827818X</t>
  </si>
  <si>
    <t>A1827819A</t>
  </si>
  <si>
    <t>A1827820K</t>
  </si>
  <si>
    <t>A1827821L</t>
  </si>
  <si>
    <t>A1827822R</t>
  </si>
  <si>
    <t>A1827823T</t>
  </si>
  <si>
    <t>A1827824V</t>
  </si>
  <si>
    <t>A1827825W</t>
  </si>
  <si>
    <t>A1827826X</t>
  </si>
  <si>
    <t>A1827827A</t>
  </si>
  <si>
    <t>A1827828C</t>
  </si>
  <si>
    <t>A1827829F</t>
  </si>
  <si>
    <t>A1827830R</t>
  </si>
  <si>
    <t>A1827831T</t>
  </si>
  <si>
    <t>A1827832V</t>
  </si>
  <si>
    <t>A1827833W</t>
  </si>
  <si>
    <t>A1827834X</t>
  </si>
  <si>
    <t>A1827835A</t>
  </si>
  <si>
    <t>A1827836C</t>
  </si>
  <si>
    <t>A1827837F</t>
  </si>
  <si>
    <t>A1827838J</t>
  </si>
  <si>
    <t>A1827839K</t>
  </si>
  <si>
    <t>A1827840V</t>
  </si>
  <si>
    <t>A1827841W</t>
  </si>
  <si>
    <t>A1827842X</t>
  </si>
  <si>
    <t>A1827843A</t>
  </si>
  <si>
    <t>A1827844C</t>
  </si>
  <si>
    <t>A1827845F</t>
  </si>
  <si>
    <t>A1827846J</t>
  </si>
  <si>
    <t>A1827847K</t>
  </si>
  <si>
    <t>A1827848L</t>
  </si>
  <si>
    <t>A1827849R</t>
  </si>
  <si>
    <t>A1827850X</t>
  </si>
  <si>
    <t>A1827851A</t>
  </si>
  <si>
    <t>A1827852C</t>
  </si>
  <si>
    <t>A1827853F</t>
  </si>
  <si>
    <t>A1827854J</t>
  </si>
  <si>
    <t>A1827855K</t>
  </si>
  <si>
    <t>A1827856L</t>
  </si>
  <si>
    <t>A1827857R</t>
  </si>
  <si>
    <t>A1827858T</t>
  </si>
  <si>
    <t>A1827859V</t>
  </si>
  <si>
    <t>A1827860C</t>
  </si>
  <si>
    <t>A1827861F</t>
  </si>
  <si>
    <t>A1827862J</t>
  </si>
  <si>
    <t>A1827863K</t>
  </si>
  <si>
    <t>A1827864L</t>
  </si>
  <si>
    <t>A1827865R</t>
  </si>
  <si>
    <t>A1827866T</t>
  </si>
  <si>
    <t>A1827867V</t>
  </si>
  <si>
    <t>A1827868W</t>
  </si>
  <si>
    <t>A1827869X</t>
  </si>
  <si>
    <t>A1827870J</t>
  </si>
  <si>
    <t>A1827871K</t>
  </si>
  <si>
    <t>A1827872L</t>
  </si>
  <si>
    <t>A1827873R</t>
  </si>
  <si>
    <t>A1827874T</t>
  </si>
  <si>
    <t>A1827875V</t>
  </si>
  <si>
    <t>A1827876W</t>
  </si>
  <si>
    <t>A1827877X</t>
  </si>
  <si>
    <t>A1827878A</t>
  </si>
  <si>
    <t>A1827879C</t>
  </si>
  <si>
    <t>A1827880L</t>
  </si>
  <si>
    <t>A1827881R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</si>
  <si>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</si>
  <si>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</si>
  <si>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</si>
  <si>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</si>
  <si>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</si>
  <si>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</si>
  <si>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</si>
  <si>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</si>
  <si>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</si>
  <si>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</si>
  <si>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</si>
  <si>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</si>
  <si>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</si>
  <si>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</si>
  <si>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</si>
  <si>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</si>
  <si>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</si>
  <si>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</si>
  <si>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</si>
  <si>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</si>
  <si>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</si>
  <si>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</si>
  <si>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</si>
  <si>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</si>
  <si>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</si>
  <si>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</si>
  <si>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</si>
  <si>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</si>
  <si>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</si>
  <si>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</si>
  <si>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</si>
  <si>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</si>
  <si>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</si>
  <si>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</si>
  <si>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</si>
  <si>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</si>
  <si>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Import</t>
  </si>
  <si>
    <t>A1828644C</t>
  </si>
  <si>
    <t>A1828645F</t>
  </si>
  <si>
    <t>A1828646J</t>
  </si>
  <si>
    <t>A1828647K</t>
  </si>
  <si>
    <t>A1828648L</t>
  </si>
  <si>
    <t>A1828649R</t>
  </si>
  <si>
    <t>A1828650X</t>
  </si>
  <si>
    <t>A1828651A</t>
  </si>
  <si>
    <t>A1828652C</t>
  </si>
  <si>
    <t>A1828653F</t>
  </si>
  <si>
    <t>A1828654J</t>
  </si>
  <si>
    <t>A1828655K</t>
  </si>
  <si>
    <t>A1828656L</t>
  </si>
  <si>
    <t>A1828657R</t>
  </si>
  <si>
    <t>A1828658T</t>
  </si>
  <si>
    <t>A1828659V</t>
  </si>
  <si>
    <t>A1828660C</t>
  </si>
  <si>
    <t>A1828661F</t>
  </si>
  <si>
    <t>A1828662J</t>
  </si>
  <si>
    <t>A1828663K</t>
  </si>
  <si>
    <t>A1828664L</t>
  </si>
  <si>
    <t>A1828665R</t>
  </si>
  <si>
    <t>A1828666T</t>
  </si>
  <si>
    <t>A1828667V</t>
  </si>
  <si>
    <t>A1828668W</t>
  </si>
  <si>
    <t>A1828669X</t>
  </si>
  <si>
    <t>A1828670J</t>
  </si>
  <si>
    <t>A1828671K</t>
  </si>
  <si>
    <t>A1828672L</t>
  </si>
  <si>
    <t>A1828673R</t>
  </si>
  <si>
    <t>A1828674T</t>
  </si>
  <si>
    <t>A1828675V</t>
  </si>
  <si>
    <t>A1828676W</t>
  </si>
  <si>
    <t>A1828677X</t>
  </si>
  <si>
    <t>A1828678A</t>
  </si>
  <si>
    <t>A1828679C</t>
  </si>
  <si>
    <t>A1828680L</t>
  </si>
  <si>
    <t>A1828681R</t>
  </si>
  <si>
    <t>A1828682T</t>
  </si>
  <si>
    <t>A1828683V</t>
  </si>
  <si>
    <t>A1828684W</t>
  </si>
  <si>
    <t>A1828685X</t>
  </si>
  <si>
    <t>A1828686A</t>
  </si>
  <si>
    <t>A1828687C</t>
  </si>
  <si>
    <t>A1828688F</t>
  </si>
  <si>
    <t>A1828689J</t>
  </si>
  <si>
    <t>A1828690T</t>
  </si>
  <si>
    <t>A1828691V</t>
  </si>
  <si>
    <t>A1828692W</t>
  </si>
  <si>
    <t>A1828693X</t>
  </si>
  <si>
    <t>A1828694A</t>
  </si>
  <si>
    <t>A1828695C</t>
  </si>
  <si>
    <t>A1828696F</t>
  </si>
  <si>
    <t>A1828697J</t>
  </si>
  <si>
    <t>A1828698K</t>
  </si>
  <si>
    <t>A1828699L</t>
  </si>
  <si>
    <t>A1828700K</t>
  </si>
  <si>
    <t>A1828701L</t>
  </si>
  <si>
    <t>A1828702R</t>
  </si>
  <si>
    <t>A1828703T</t>
  </si>
  <si>
    <t>A1828704V</t>
  </si>
  <si>
    <t>A1828705W</t>
  </si>
  <si>
    <t>A1828706X</t>
  </si>
  <si>
    <t>A1828707A</t>
  </si>
  <si>
    <t>A1828708C</t>
  </si>
  <si>
    <t>A1828709F</t>
  </si>
  <si>
    <t>A1828710R</t>
  </si>
  <si>
    <t>A1828711T</t>
  </si>
  <si>
    <t>A1828712V</t>
  </si>
  <si>
    <t>A1828713W</t>
  </si>
  <si>
    <t>A1828714X</t>
  </si>
  <si>
    <t>A1828715A</t>
  </si>
  <si>
    <t>A1828716C</t>
  </si>
  <si>
    <t>A1828717F</t>
  </si>
  <si>
    <t>A1828718J</t>
  </si>
  <si>
    <t>A1828719K</t>
  </si>
  <si>
    <t>A1828720V</t>
  </si>
  <si>
    <t>A1828721W</t>
  </si>
  <si>
    <t>Y2024</t>
  </si>
  <si>
    <t>Trade</t>
  </si>
  <si>
    <t/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</si>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</sst>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rgb="FFFF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10" fontId="0" fillId="2" borderId="0" xfId="0" applyNumberFormat="1" applyFill="1" applyAlignment="1">
      <alignment vertical="center"/>
    </xf>
    <xf numFmtId="10" fontId="0" fillId="0" borderId="0" xfId="0" applyNumberFormat="1" applyAlignment="1">
      <alignment vertical="center"/>
    </xf>
    <xf numFmtId="10" fontId="0" fillId="0" borderId="0" xfId="0" applyNumberFormat="1"/>
    <xf numFmtId="10" fontId="1" fillId="0" borderId="0" xfId="0" applyNumberFormat="1" applyFont="1" applyAlignment="1">
      <alignment vertical="center" wrapText="1"/>
    </xf>
    <xf numFmtId="10" fontId="0" fillId="2" borderId="0" xfId="0" applyNumberFormat="1" applyFill="1"/>
    <xf numFmtId="10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931F-CE24-4041-B7E8-78F8ABC8D2B6}">
  <sheetPr>
    <tabColor rgb="FFFF0000"/>
  </sheetPr>
  <dimension ref="A1:CA41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D31" sqref="D31"/>
    </sheetView>
  </sheetViews>
  <sheetFormatPr defaultRowHeight="15"/>
  <sheetData>
    <row r="1" spans="1:79">
      <c r="A1" s="3" t="s">
        <v>196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>
      <c r="A3" t="s">
        <v>81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213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  <c r="AA3" t="s">
        <v>222</v>
      </c>
      <c r="AB3" t="s">
        <v>223</v>
      </c>
      <c r="AC3" t="s">
        <v>224</v>
      </c>
      <c r="AD3" t="s">
        <v>225</v>
      </c>
      <c r="AE3" t="s">
        <v>226</v>
      </c>
      <c r="AF3" t="s">
        <v>227</v>
      </c>
      <c r="AG3" t="s">
        <v>228</v>
      </c>
      <c r="AH3" t="s">
        <v>229</v>
      </c>
      <c r="AI3" t="s">
        <v>230</v>
      </c>
      <c r="AJ3" t="s">
        <v>231</v>
      </c>
      <c r="AK3" t="s">
        <v>232</v>
      </c>
      <c r="AL3" t="s">
        <v>233</v>
      </c>
      <c r="AM3" t="s">
        <v>234</v>
      </c>
      <c r="AN3" t="s">
        <v>235</v>
      </c>
      <c r="AO3" t="s">
        <v>236</v>
      </c>
      <c r="AP3" t="s">
        <v>237</v>
      </c>
      <c r="AQ3" t="s">
        <v>238</v>
      </c>
      <c r="AR3" t="s">
        <v>239</v>
      </c>
      <c r="AS3" t="s">
        <v>240</v>
      </c>
      <c r="AT3" t="s">
        <v>241</v>
      </c>
      <c r="AU3" t="s">
        <v>242</v>
      </c>
      <c r="AV3" t="s">
        <v>243</v>
      </c>
      <c r="AW3" t="s">
        <v>244</v>
      </c>
      <c r="AX3" t="s">
        <v>245</v>
      </c>
      <c r="AY3" t="s">
        <v>246</v>
      </c>
      <c r="AZ3" t="s">
        <v>247</v>
      </c>
      <c r="BA3" t="s">
        <v>248</v>
      </c>
      <c r="BB3" t="s">
        <v>249</v>
      </c>
      <c r="BC3" t="s">
        <v>250</v>
      </c>
      <c r="BD3" t="s">
        <v>251</v>
      </c>
      <c r="BE3" t="s">
        <v>252</v>
      </c>
      <c r="BF3" t="s">
        <v>253</v>
      </c>
      <c r="BG3" t="s">
        <v>254</v>
      </c>
      <c r="BH3" t="s">
        <v>255</v>
      </c>
      <c r="BI3" t="s">
        <v>256</v>
      </c>
      <c r="BJ3" t="s">
        <v>257</v>
      </c>
      <c r="BK3" t="s">
        <v>258</v>
      </c>
      <c r="BL3" t="s">
        <v>259</v>
      </c>
      <c r="BM3" t="s">
        <v>260</v>
      </c>
      <c r="BN3" t="s">
        <v>261</v>
      </c>
      <c r="BO3" t="s">
        <v>262</v>
      </c>
      <c r="BP3" t="s">
        <v>263</v>
      </c>
      <c r="BQ3" t="s">
        <v>264</v>
      </c>
      <c r="BR3" t="s">
        <v>265</v>
      </c>
      <c r="BS3" t="s">
        <v>266</v>
      </c>
      <c r="BT3" t="s">
        <v>267</v>
      </c>
      <c r="BU3" t="s">
        <v>268</v>
      </c>
      <c r="BV3" t="s">
        <v>269</v>
      </c>
      <c r="BW3" t="s">
        <v>270</v>
      </c>
      <c r="BX3" t="s">
        <v>271</v>
      </c>
      <c r="BY3" t="s">
        <v>272</v>
      </c>
      <c r="BZ3" t="s">
        <v>273</v>
      </c>
      <c r="CA3" t="s">
        <v>274</v>
      </c>
    </row>
    <row r="4" spans="1:79">
      <c r="A4" t="s">
        <v>160</v>
      </c>
      <c r="B4">
        <v>1688</v>
      </c>
      <c r="C4">
        <v>154</v>
      </c>
      <c r="D4">
        <v>25</v>
      </c>
      <c r="E4">
        <v>90</v>
      </c>
      <c r="F4">
        <v>406</v>
      </c>
      <c r="G4">
        <v>69</v>
      </c>
      <c r="H4">
        <v>312</v>
      </c>
      <c r="I4">
        <v>37</v>
      </c>
      <c r="J4">
        <v>359</v>
      </c>
      <c r="K4">
        <v>60</v>
      </c>
      <c r="L4">
        <v>177</v>
      </c>
      <c r="M4">
        <v>367</v>
      </c>
      <c r="N4">
        <v>264</v>
      </c>
      <c r="O4">
        <v>103</v>
      </c>
      <c r="P4">
        <v>1515</v>
      </c>
      <c r="Q4">
        <v>13</v>
      </c>
      <c r="R4">
        <v>43</v>
      </c>
      <c r="S4">
        <v>111</v>
      </c>
      <c r="T4">
        <v>483</v>
      </c>
      <c r="U4">
        <v>232</v>
      </c>
      <c r="V4">
        <v>185</v>
      </c>
      <c r="W4">
        <v>266</v>
      </c>
      <c r="X4">
        <v>81</v>
      </c>
      <c r="Y4">
        <v>104</v>
      </c>
      <c r="Z4">
        <v>1703</v>
      </c>
      <c r="AA4">
        <v>3</v>
      </c>
      <c r="AB4">
        <v>1693</v>
      </c>
      <c r="AC4">
        <v>3</v>
      </c>
      <c r="AD4">
        <v>111</v>
      </c>
      <c r="AE4">
        <v>0</v>
      </c>
      <c r="AF4">
        <v>94</v>
      </c>
      <c r="AG4">
        <v>11</v>
      </c>
      <c r="AH4">
        <v>4638</v>
      </c>
      <c r="AI4">
        <v>1172</v>
      </c>
      <c r="AJ4">
        <v>594</v>
      </c>
      <c r="AK4">
        <v>200</v>
      </c>
      <c r="AL4">
        <v>687</v>
      </c>
      <c r="AM4">
        <v>270</v>
      </c>
      <c r="AN4">
        <v>171</v>
      </c>
      <c r="AO4">
        <v>597</v>
      </c>
      <c r="AP4">
        <v>421</v>
      </c>
      <c r="AQ4">
        <v>532</v>
      </c>
      <c r="AR4">
        <v>7269</v>
      </c>
      <c r="AS4">
        <v>150</v>
      </c>
      <c r="AT4">
        <v>621</v>
      </c>
      <c r="AU4">
        <v>214</v>
      </c>
      <c r="AV4">
        <v>1212</v>
      </c>
      <c r="AW4">
        <v>1911</v>
      </c>
      <c r="AX4">
        <v>885</v>
      </c>
      <c r="AY4">
        <v>892</v>
      </c>
      <c r="AZ4">
        <v>297</v>
      </c>
      <c r="BA4">
        <v>1089</v>
      </c>
      <c r="BB4">
        <v>17885</v>
      </c>
      <c r="BC4">
        <v>1123</v>
      </c>
      <c r="BD4">
        <v>2131</v>
      </c>
      <c r="BE4">
        <v>354</v>
      </c>
      <c r="BF4">
        <v>2326</v>
      </c>
      <c r="BG4">
        <v>2899</v>
      </c>
      <c r="BH4">
        <v>1543</v>
      </c>
      <c r="BI4">
        <v>2213</v>
      </c>
      <c r="BJ4">
        <v>3852</v>
      </c>
      <c r="BK4">
        <v>1441</v>
      </c>
      <c r="BL4">
        <v>5957</v>
      </c>
      <c r="BM4">
        <v>116</v>
      </c>
      <c r="BN4">
        <v>251</v>
      </c>
      <c r="BO4">
        <v>175</v>
      </c>
      <c r="BP4">
        <v>700</v>
      </c>
      <c r="BQ4">
        <v>304</v>
      </c>
      <c r="BR4">
        <v>993</v>
      </c>
      <c r="BS4">
        <v>763</v>
      </c>
      <c r="BT4">
        <v>2657</v>
      </c>
      <c r="BU4">
        <v>1288</v>
      </c>
      <c r="BV4">
        <v>935</v>
      </c>
      <c r="BW4">
        <v>17</v>
      </c>
      <c r="BX4">
        <v>0</v>
      </c>
      <c r="BY4">
        <v>104</v>
      </c>
      <c r="BZ4">
        <v>229</v>
      </c>
      <c r="CA4">
        <v>42417</v>
      </c>
    </row>
    <row r="5" spans="1:79">
      <c r="A5" t="s">
        <v>161</v>
      </c>
      <c r="B5">
        <v>1929</v>
      </c>
      <c r="C5">
        <v>151</v>
      </c>
      <c r="D5">
        <v>30</v>
      </c>
      <c r="E5">
        <v>96</v>
      </c>
      <c r="F5">
        <v>441</v>
      </c>
      <c r="G5">
        <v>86</v>
      </c>
      <c r="H5">
        <v>418</v>
      </c>
      <c r="I5">
        <v>49</v>
      </c>
      <c r="J5">
        <v>357</v>
      </c>
      <c r="K5">
        <v>67</v>
      </c>
      <c r="L5">
        <v>233</v>
      </c>
      <c r="M5">
        <v>391</v>
      </c>
      <c r="N5">
        <v>298</v>
      </c>
      <c r="O5">
        <v>88</v>
      </c>
      <c r="P5">
        <v>1604</v>
      </c>
      <c r="Q5">
        <v>10</v>
      </c>
      <c r="R5">
        <v>33</v>
      </c>
      <c r="S5">
        <v>103</v>
      </c>
      <c r="T5">
        <v>571</v>
      </c>
      <c r="U5">
        <v>239</v>
      </c>
      <c r="V5">
        <v>159</v>
      </c>
      <c r="W5">
        <v>256</v>
      </c>
      <c r="X5">
        <v>118</v>
      </c>
      <c r="Y5">
        <v>119</v>
      </c>
      <c r="Z5">
        <v>2644</v>
      </c>
      <c r="AA5">
        <v>23</v>
      </c>
      <c r="AB5">
        <v>2612</v>
      </c>
      <c r="AC5">
        <v>8</v>
      </c>
      <c r="AD5">
        <v>121</v>
      </c>
      <c r="AE5">
        <v>1</v>
      </c>
      <c r="AF5">
        <v>107</v>
      </c>
      <c r="AG5">
        <v>12</v>
      </c>
      <c r="AH5">
        <v>5189</v>
      </c>
      <c r="AI5">
        <v>1123</v>
      </c>
      <c r="AJ5">
        <v>760</v>
      </c>
      <c r="AK5">
        <v>233</v>
      </c>
      <c r="AL5">
        <v>739</v>
      </c>
      <c r="AM5">
        <v>327</v>
      </c>
      <c r="AN5">
        <v>227</v>
      </c>
      <c r="AO5">
        <v>699</v>
      </c>
      <c r="AP5">
        <v>483</v>
      </c>
      <c r="AQ5">
        <v>597</v>
      </c>
      <c r="AR5">
        <v>8580</v>
      </c>
      <c r="AS5">
        <v>146</v>
      </c>
      <c r="AT5">
        <v>734</v>
      </c>
      <c r="AU5">
        <v>243</v>
      </c>
      <c r="AV5">
        <v>1342</v>
      </c>
      <c r="AW5">
        <v>2045</v>
      </c>
      <c r="AX5">
        <v>1078</v>
      </c>
      <c r="AY5">
        <v>1218</v>
      </c>
      <c r="AZ5">
        <v>414</v>
      </c>
      <c r="BA5">
        <v>1359</v>
      </c>
      <c r="BB5">
        <v>23453</v>
      </c>
      <c r="BC5">
        <v>1240</v>
      </c>
      <c r="BD5">
        <v>2752</v>
      </c>
      <c r="BE5">
        <v>388</v>
      </c>
      <c r="BF5">
        <v>2891</v>
      </c>
      <c r="BG5">
        <v>3531</v>
      </c>
      <c r="BH5">
        <v>1880</v>
      </c>
      <c r="BI5">
        <v>2621</v>
      </c>
      <c r="BJ5">
        <v>5397</v>
      </c>
      <c r="BK5">
        <v>2756</v>
      </c>
      <c r="BL5">
        <v>6814</v>
      </c>
      <c r="BM5">
        <v>140</v>
      </c>
      <c r="BN5">
        <v>339</v>
      </c>
      <c r="BO5">
        <v>215</v>
      </c>
      <c r="BP5">
        <v>848</v>
      </c>
      <c r="BQ5">
        <v>342</v>
      </c>
      <c r="BR5">
        <v>1138</v>
      </c>
      <c r="BS5">
        <v>806</v>
      </c>
      <c r="BT5">
        <v>2985</v>
      </c>
      <c r="BU5">
        <v>998</v>
      </c>
      <c r="BV5">
        <v>651</v>
      </c>
      <c r="BW5">
        <v>25</v>
      </c>
      <c r="BX5">
        <v>3</v>
      </c>
      <c r="BY5">
        <v>189</v>
      </c>
      <c r="BZ5">
        <v>127</v>
      </c>
      <c r="CA5">
        <v>51727</v>
      </c>
    </row>
    <row r="6" spans="1:79">
      <c r="A6" t="s">
        <v>162</v>
      </c>
      <c r="B6">
        <v>1914</v>
      </c>
      <c r="C6">
        <v>121</v>
      </c>
      <c r="D6">
        <v>28</v>
      </c>
      <c r="E6">
        <v>115</v>
      </c>
      <c r="F6">
        <v>438</v>
      </c>
      <c r="G6">
        <v>101</v>
      </c>
      <c r="H6">
        <v>388</v>
      </c>
      <c r="I6">
        <v>61</v>
      </c>
      <c r="J6">
        <v>316</v>
      </c>
      <c r="K6">
        <v>69</v>
      </c>
      <c r="L6">
        <v>278</v>
      </c>
      <c r="M6">
        <v>403</v>
      </c>
      <c r="N6">
        <v>301</v>
      </c>
      <c r="O6">
        <v>102</v>
      </c>
      <c r="P6">
        <v>1403</v>
      </c>
      <c r="Q6">
        <v>14</v>
      </c>
      <c r="R6">
        <v>53</v>
      </c>
      <c r="S6">
        <v>83</v>
      </c>
      <c r="T6">
        <v>456</v>
      </c>
      <c r="U6">
        <v>207</v>
      </c>
      <c r="V6">
        <v>141</v>
      </c>
      <c r="W6">
        <v>186</v>
      </c>
      <c r="X6">
        <v>148</v>
      </c>
      <c r="Y6">
        <v>117</v>
      </c>
      <c r="Z6">
        <v>2811</v>
      </c>
      <c r="AA6">
        <v>3</v>
      </c>
      <c r="AB6">
        <v>2787</v>
      </c>
      <c r="AC6">
        <v>16</v>
      </c>
      <c r="AD6">
        <v>125</v>
      </c>
      <c r="AE6">
        <v>0</v>
      </c>
      <c r="AF6">
        <v>110</v>
      </c>
      <c r="AG6">
        <v>12</v>
      </c>
      <c r="AH6">
        <v>5130</v>
      </c>
      <c r="AI6">
        <v>984</v>
      </c>
      <c r="AJ6">
        <v>695</v>
      </c>
      <c r="AK6">
        <v>229</v>
      </c>
      <c r="AL6">
        <v>904</v>
      </c>
      <c r="AM6">
        <v>339</v>
      </c>
      <c r="AN6">
        <v>261</v>
      </c>
      <c r="AO6">
        <v>613</v>
      </c>
      <c r="AP6">
        <v>459</v>
      </c>
      <c r="AQ6">
        <v>645</v>
      </c>
      <c r="AR6">
        <v>7632</v>
      </c>
      <c r="AS6">
        <v>128</v>
      </c>
      <c r="AT6">
        <v>703</v>
      </c>
      <c r="AU6">
        <v>221</v>
      </c>
      <c r="AV6">
        <v>1255</v>
      </c>
      <c r="AW6">
        <v>1856</v>
      </c>
      <c r="AX6">
        <v>996</v>
      </c>
      <c r="AY6">
        <v>834</v>
      </c>
      <c r="AZ6">
        <v>373</v>
      </c>
      <c r="BA6">
        <v>1261</v>
      </c>
      <c r="BB6">
        <v>22381</v>
      </c>
      <c r="BC6">
        <v>1361</v>
      </c>
      <c r="BD6">
        <v>2446</v>
      </c>
      <c r="BE6">
        <v>354</v>
      </c>
      <c r="BF6">
        <v>2789</v>
      </c>
      <c r="BG6">
        <v>3462</v>
      </c>
      <c r="BH6">
        <v>1778</v>
      </c>
      <c r="BI6">
        <v>2615</v>
      </c>
      <c r="BJ6">
        <v>4825</v>
      </c>
      <c r="BK6">
        <v>2751</v>
      </c>
      <c r="BL6">
        <v>6919</v>
      </c>
      <c r="BM6">
        <v>139</v>
      </c>
      <c r="BN6">
        <v>314</v>
      </c>
      <c r="BO6">
        <v>209</v>
      </c>
      <c r="BP6">
        <v>914</v>
      </c>
      <c r="BQ6">
        <v>359</v>
      </c>
      <c r="BR6">
        <v>1155</v>
      </c>
      <c r="BS6">
        <v>786</v>
      </c>
      <c r="BT6">
        <v>3042</v>
      </c>
      <c r="BU6">
        <v>1090</v>
      </c>
      <c r="BV6">
        <v>493</v>
      </c>
      <c r="BW6">
        <v>28</v>
      </c>
      <c r="BX6">
        <v>7</v>
      </c>
      <c r="BY6">
        <v>427</v>
      </c>
      <c r="BZ6">
        <v>137</v>
      </c>
      <c r="CA6">
        <v>49808</v>
      </c>
    </row>
    <row r="7" spans="1:79">
      <c r="A7" t="s">
        <v>163</v>
      </c>
      <c r="B7">
        <v>2001</v>
      </c>
      <c r="C7">
        <v>62</v>
      </c>
      <c r="D7">
        <v>40</v>
      </c>
      <c r="E7">
        <v>133</v>
      </c>
      <c r="F7">
        <v>453</v>
      </c>
      <c r="G7">
        <v>108</v>
      </c>
      <c r="H7">
        <v>433</v>
      </c>
      <c r="I7">
        <v>57</v>
      </c>
      <c r="J7">
        <v>310</v>
      </c>
      <c r="K7">
        <v>85</v>
      </c>
      <c r="L7">
        <v>328</v>
      </c>
      <c r="M7">
        <v>387</v>
      </c>
      <c r="N7">
        <v>286</v>
      </c>
      <c r="O7">
        <v>102</v>
      </c>
      <c r="P7">
        <v>1198</v>
      </c>
      <c r="Q7">
        <v>9</v>
      </c>
      <c r="R7">
        <v>58</v>
      </c>
      <c r="S7">
        <v>79</v>
      </c>
      <c r="T7">
        <v>437</v>
      </c>
      <c r="U7">
        <v>130</v>
      </c>
      <c r="V7">
        <v>134</v>
      </c>
      <c r="W7">
        <v>123</v>
      </c>
      <c r="X7">
        <v>115</v>
      </c>
      <c r="Y7">
        <v>110</v>
      </c>
      <c r="Z7">
        <v>2953</v>
      </c>
      <c r="AA7">
        <v>4</v>
      </c>
      <c r="AB7">
        <v>2938</v>
      </c>
      <c r="AC7">
        <v>7</v>
      </c>
      <c r="AD7">
        <v>139</v>
      </c>
      <c r="AE7">
        <v>0</v>
      </c>
      <c r="AF7">
        <v>124</v>
      </c>
      <c r="AG7">
        <v>13</v>
      </c>
      <c r="AH7">
        <v>5253</v>
      </c>
      <c r="AI7">
        <v>1044</v>
      </c>
      <c r="AJ7">
        <v>718</v>
      </c>
      <c r="AK7">
        <v>245</v>
      </c>
      <c r="AL7">
        <v>937</v>
      </c>
      <c r="AM7">
        <v>350</v>
      </c>
      <c r="AN7">
        <v>284</v>
      </c>
      <c r="AO7">
        <v>602</v>
      </c>
      <c r="AP7">
        <v>454</v>
      </c>
      <c r="AQ7">
        <v>618</v>
      </c>
      <c r="AR7">
        <v>7580</v>
      </c>
      <c r="AS7">
        <v>118</v>
      </c>
      <c r="AT7">
        <v>704</v>
      </c>
      <c r="AU7">
        <v>225</v>
      </c>
      <c r="AV7">
        <v>1209</v>
      </c>
      <c r="AW7">
        <v>1907</v>
      </c>
      <c r="AX7">
        <v>925</v>
      </c>
      <c r="AY7">
        <v>895</v>
      </c>
      <c r="AZ7">
        <v>371</v>
      </c>
      <c r="BA7">
        <v>1221</v>
      </c>
      <c r="BB7">
        <v>21885</v>
      </c>
      <c r="BC7">
        <v>1311</v>
      </c>
      <c r="BD7">
        <v>2023</v>
      </c>
      <c r="BE7">
        <v>315</v>
      </c>
      <c r="BF7">
        <v>2764</v>
      </c>
      <c r="BG7">
        <v>3406</v>
      </c>
      <c r="BH7">
        <v>1823</v>
      </c>
      <c r="BI7">
        <v>2645</v>
      </c>
      <c r="BJ7">
        <v>4280</v>
      </c>
      <c r="BK7">
        <v>3319</v>
      </c>
      <c r="BL7">
        <v>7284</v>
      </c>
      <c r="BM7">
        <v>154</v>
      </c>
      <c r="BN7">
        <v>301</v>
      </c>
      <c r="BO7">
        <v>221</v>
      </c>
      <c r="BP7">
        <v>1027</v>
      </c>
      <c r="BQ7">
        <v>384</v>
      </c>
      <c r="BR7">
        <v>1241</v>
      </c>
      <c r="BS7">
        <v>793</v>
      </c>
      <c r="BT7">
        <v>3160</v>
      </c>
      <c r="BU7">
        <v>997</v>
      </c>
      <c r="BV7">
        <v>28</v>
      </c>
      <c r="BW7">
        <v>11</v>
      </c>
      <c r="BX7">
        <v>0</v>
      </c>
      <c r="BY7">
        <v>866</v>
      </c>
      <c r="BZ7">
        <v>93</v>
      </c>
      <c r="CA7">
        <v>49671</v>
      </c>
    </row>
    <row r="8" spans="1:79">
      <c r="A8" t="s">
        <v>164</v>
      </c>
      <c r="B8">
        <v>2144</v>
      </c>
      <c r="C8">
        <v>59</v>
      </c>
      <c r="D8">
        <v>39</v>
      </c>
      <c r="E8">
        <v>152</v>
      </c>
      <c r="F8">
        <v>483</v>
      </c>
      <c r="G8">
        <v>131</v>
      </c>
      <c r="H8">
        <v>475</v>
      </c>
      <c r="I8">
        <v>73</v>
      </c>
      <c r="J8">
        <v>328</v>
      </c>
      <c r="K8">
        <v>70</v>
      </c>
      <c r="L8">
        <v>338</v>
      </c>
      <c r="M8">
        <v>414</v>
      </c>
      <c r="N8">
        <v>303</v>
      </c>
      <c r="O8">
        <v>107</v>
      </c>
      <c r="P8">
        <v>1424</v>
      </c>
      <c r="Q8">
        <v>0</v>
      </c>
      <c r="R8">
        <v>58</v>
      </c>
      <c r="S8">
        <v>93</v>
      </c>
      <c r="T8">
        <v>516</v>
      </c>
      <c r="U8">
        <v>153</v>
      </c>
      <c r="V8">
        <v>142</v>
      </c>
      <c r="W8">
        <v>154</v>
      </c>
      <c r="X8">
        <v>170</v>
      </c>
      <c r="Y8">
        <v>133</v>
      </c>
      <c r="Z8">
        <v>3244</v>
      </c>
      <c r="AA8">
        <v>5</v>
      </c>
      <c r="AB8">
        <v>3222</v>
      </c>
      <c r="AC8">
        <v>15</v>
      </c>
      <c r="AD8">
        <v>176</v>
      </c>
      <c r="AE8">
        <v>0</v>
      </c>
      <c r="AF8">
        <v>156</v>
      </c>
      <c r="AG8">
        <v>18</v>
      </c>
      <c r="AH8">
        <v>6223</v>
      </c>
      <c r="AI8">
        <v>1284</v>
      </c>
      <c r="AJ8">
        <v>700</v>
      </c>
      <c r="AK8">
        <v>305</v>
      </c>
      <c r="AL8">
        <v>1275</v>
      </c>
      <c r="AM8">
        <v>438</v>
      </c>
      <c r="AN8">
        <v>310</v>
      </c>
      <c r="AO8">
        <v>650</v>
      </c>
      <c r="AP8">
        <v>531</v>
      </c>
      <c r="AQ8">
        <v>727</v>
      </c>
      <c r="AR8">
        <v>8438</v>
      </c>
      <c r="AS8">
        <v>132</v>
      </c>
      <c r="AT8">
        <v>781</v>
      </c>
      <c r="AU8">
        <v>245</v>
      </c>
      <c r="AV8">
        <v>1387</v>
      </c>
      <c r="AW8">
        <v>2090</v>
      </c>
      <c r="AX8">
        <v>1024</v>
      </c>
      <c r="AY8">
        <v>856</v>
      </c>
      <c r="AZ8">
        <v>440</v>
      </c>
      <c r="BA8">
        <v>1478</v>
      </c>
      <c r="BB8">
        <v>23736</v>
      </c>
      <c r="BC8">
        <v>1345</v>
      </c>
      <c r="BD8">
        <v>2350</v>
      </c>
      <c r="BE8">
        <v>314</v>
      </c>
      <c r="BF8">
        <v>2892</v>
      </c>
      <c r="BG8">
        <v>3949</v>
      </c>
      <c r="BH8">
        <v>2188</v>
      </c>
      <c r="BI8">
        <v>3093</v>
      </c>
      <c r="BJ8">
        <v>5576</v>
      </c>
      <c r="BK8">
        <v>2025</v>
      </c>
      <c r="BL8">
        <v>8512</v>
      </c>
      <c r="BM8">
        <v>166</v>
      </c>
      <c r="BN8">
        <v>342</v>
      </c>
      <c r="BO8">
        <v>273</v>
      </c>
      <c r="BP8">
        <v>1208</v>
      </c>
      <c r="BQ8">
        <v>481</v>
      </c>
      <c r="BR8">
        <v>1444</v>
      </c>
      <c r="BS8">
        <v>931</v>
      </c>
      <c r="BT8">
        <v>3670</v>
      </c>
      <c r="BU8">
        <v>1199</v>
      </c>
      <c r="BV8">
        <v>27</v>
      </c>
      <c r="BW8">
        <v>1</v>
      </c>
      <c r="BX8">
        <v>0</v>
      </c>
      <c r="BY8">
        <v>1104</v>
      </c>
      <c r="BZ8">
        <v>66</v>
      </c>
      <c r="CA8">
        <v>55508</v>
      </c>
    </row>
    <row r="9" spans="1:79">
      <c r="A9" t="s">
        <v>165</v>
      </c>
      <c r="B9">
        <v>2386</v>
      </c>
      <c r="C9">
        <v>65</v>
      </c>
      <c r="D9">
        <v>39</v>
      </c>
      <c r="E9">
        <v>159</v>
      </c>
      <c r="F9">
        <v>538</v>
      </c>
      <c r="G9">
        <v>139</v>
      </c>
      <c r="H9">
        <v>501</v>
      </c>
      <c r="I9">
        <v>73</v>
      </c>
      <c r="J9">
        <v>358</v>
      </c>
      <c r="K9">
        <v>87</v>
      </c>
      <c r="L9">
        <v>422</v>
      </c>
      <c r="M9">
        <v>454</v>
      </c>
      <c r="N9">
        <v>318</v>
      </c>
      <c r="O9">
        <v>133</v>
      </c>
      <c r="P9">
        <v>1547</v>
      </c>
      <c r="Q9">
        <v>4</v>
      </c>
      <c r="R9">
        <v>65</v>
      </c>
      <c r="S9">
        <v>111</v>
      </c>
      <c r="T9">
        <v>652</v>
      </c>
      <c r="U9">
        <v>141</v>
      </c>
      <c r="V9">
        <v>153</v>
      </c>
      <c r="W9">
        <v>139</v>
      </c>
      <c r="X9">
        <v>128</v>
      </c>
      <c r="Y9">
        <v>155</v>
      </c>
      <c r="Z9">
        <v>3822</v>
      </c>
      <c r="AA9">
        <v>16</v>
      </c>
      <c r="AB9">
        <v>3781</v>
      </c>
      <c r="AC9">
        <v>22</v>
      </c>
      <c r="AD9">
        <v>198</v>
      </c>
      <c r="AE9">
        <v>0</v>
      </c>
      <c r="AF9">
        <v>179</v>
      </c>
      <c r="AG9">
        <v>17</v>
      </c>
      <c r="AH9">
        <v>6840</v>
      </c>
      <c r="AI9">
        <v>1491</v>
      </c>
      <c r="AJ9">
        <v>582</v>
      </c>
      <c r="AK9">
        <v>335</v>
      </c>
      <c r="AL9">
        <v>1393</v>
      </c>
      <c r="AM9">
        <v>491</v>
      </c>
      <c r="AN9">
        <v>376</v>
      </c>
      <c r="AO9">
        <v>728</v>
      </c>
      <c r="AP9">
        <v>606</v>
      </c>
      <c r="AQ9">
        <v>841</v>
      </c>
      <c r="AR9">
        <v>9138</v>
      </c>
      <c r="AS9">
        <v>137</v>
      </c>
      <c r="AT9">
        <v>883</v>
      </c>
      <c r="AU9">
        <v>274</v>
      </c>
      <c r="AV9">
        <v>1485</v>
      </c>
      <c r="AW9">
        <v>2208</v>
      </c>
      <c r="AX9">
        <v>1038</v>
      </c>
      <c r="AY9">
        <v>1038</v>
      </c>
      <c r="AZ9">
        <v>476</v>
      </c>
      <c r="BA9">
        <v>1598</v>
      </c>
      <c r="BB9">
        <v>27489</v>
      </c>
      <c r="BC9">
        <v>1665</v>
      </c>
      <c r="BD9">
        <v>2717</v>
      </c>
      <c r="BE9">
        <v>324</v>
      </c>
      <c r="BF9">
        <v>3425</v>
      </c>
      <c r="BG9">
        <v>4576</v>
      </c>
      <c r="BH9">
        <v>2488</v>
      </c>
      <c r="BI9">
        <v>3752</v>
      </c>
      <c r="BJ9">
        <v>6695</v>
      </c>
      <c r="BK9">
        <v>1844</v>
      </c>
      <c r="BL9">
        <v>9417</v>
      </c>
      <c r="BM9">
        <v>182</v>
      </c>
      <c r="BN9">
        <v>369</v>
      </c>
      <c r="BO9">
        <v>272</v>
      </c>
      <c r="BP9">
        <v>1454</v>
      </c>
      <c r="BQ9">
        <v>515</v>
      </c>
      <c r="BR9">
        <v>1648</v>
      </c>
      <c r="BS9">
        <v>1024</v>
      </c>
      <c r="BT9">
        <v>3957</v>
      </c>
      <c r="BU9">
        <v>1108</v>
      </c>
      <c r="BV9">
        <v>37</v>
      </c>
      <c r="BW9">
        <v>1</v>
      </c>
      <c r="BX9">
        <v>0</v>
      </c>
      <c r="BY9">
        <v>1003</v>
      </c>
      <c r="BZ9">
        <v>68</v>
      </c>
      <c r="CA9">
        <v>62403</v>
      </c>
    </row>
    <row r="10" spans="1:79">
      <c r="A10" t="s">
        <v>166</v>
      </c>
      <c r="B10">
        <v>2580</v>
      </c>
      <c r="C10">
        <v>81</v>
      </c>
      <c r="D10">
        <v>42</v>
      </c>
      <c r="E10">
        <v>161</v>
      </c>
      <c r="F10">
        <v>582</v>
      </c>
      <c r="G10">
        <v>148</v>
      </c>
      <c r="H10">
        <v>504</v>
      </c>
      <c r="I10">
        <v>75</v>
      </c>
      <c r="J10">
        <v>437</v>
      </c>
      <c r="K10">
        <v>107</v>
      </c>
      <c r="L10">
        <v>446</v>
      </c>
      <c r="M10">
        <v>500</v>
      </c>
      <c r="N10">
        <v>338</v>
      </c>
      <c r="O10">
        <v>163</v>
      </c>
      <c r="P10">
        <v>1650</v>
      </c>
      <c r="Q10">
        <v>4</v>
      </c>
      <c r="R10">
        <v>105</v>
      </c>
      <c r="S10">
        <v>128</v>
      </c>
      <c r="T10">
        <v>605</v>
      </c>
      <c r="U10">
        <v>131</v>
      </c>
      <c r="V10">
        <v>174</v>
      </c>
      <c r="W10">
        <v>163</v>
      </c>
      <c r="X10">
        <v>169</v>
      </c>
      <c r="Y10">
        <v>171</v>
      </c>
      <c r="Z10">
        <v>3264</v>
      </c>
      <c r="AA10">
        <v>26</v>
      </c>
      <c r="AB10">
        <v>3212</v>
      </c>
      <c r="AC10">
        <v>26</v>
      </c>
      <c r="AD10">
        <v>211</v>
      </c>
      <c r="AE10">
        <v>2</v>
      </c>
      <c r="AF10">
        <v>187</v>
      </c>
      <c r="AG10">
        <v>20</v>
      </c>
      <c r="AH10">
        <v>7355</v>
      </c>
      <c r="AI10">
        <v>1706</v>
      </c>
      <c r="AJ10">
        <v>462</v>
      </c>
      <c r="AK10">
        <v>355</v>
      </c>
      <c r="AL10">
        <v>1504</v>
      </c>
      <c r="AM10">
        <v>547</v>
      </c>
      <c r="AN10">
        <v>443</v>
      </c>
      <c r="AO10">
        <v>804</v>
      </c>
      <c r="AP10">
        <v>666</v>
      </c>
      <c r="AQ10">
        <v>872</v>
      </c>
      <c r="AR10">
        <v>10017</v>
      </c>
      <c r="AS10">
        <v>156</v>
      </c>
      <c r="AT10">
        <v>998</v>
      </c>
      <c r="AU10">
        <v>305</v>
      </c>
      <c r="AV10">
        <v>1639</v>
      </c>
      <c r="AW10">
        <v>2368</v>
      </c>
      <c r="AX10">
        <v>1144</v>
      </c>
      <c r="AY10">
        <v>1101</v>
      </c>
      <c r="AZ10">
        <v>588</v>
      </c>
      <c r="BA10">
        <v>1720</v>
      </c>
      <c r="BB10">
        <v>31429</v>
      </c>
      <c r="BC10">
        <v>1759</v>
      </c>
      <c r="BD10">
        <v>3341</v>
      </c>
      <c r="BE10">
        <v>436</v>
      </c>
      <c r="BF10">
        <v>3912</v>
      </c>
      <c r="BG10">
        <v>5201</v>
      </c>
      <c r="BH10">
        <v>2874</v>
      </c>
      <c r="BI10">
        <v>4375</v>
      </c>
      <c r="BJ10">
        <v>7963</v>
      </c>
      <c r="BK10">
        <v>1566</v>
      </c>
      <c r="BL10">
        <v>10230</v>
      </c>
      <c r="BM10">
        <v>206</v>
      </c>
      <c r="BN10">
        <v>425</v>
      </c>
      <c r="BO10">
        <v>314</v>
      </c>
      <c r="BP10">
        <v>1547</v>
      </c>
      <c r="BQ10">
        <v>557</v>
      </c>
      <c r="BR10">
        <v>1762</v>
      </c>
      <c r="BS10">
        <v>1140</v>
      </c>
      <c r="BT10">
        <v>4278</v>
      </c>
      <c r="BU10">
        <v>864</v>
      </c>
      <c r="BV10">
        <v>25</v>
      </c>
      <c r="BW10">
        <v>1</v>
      </c>
      <c r="BX10">
        <v>0</v>
      </c>
      <c r="BY10">
        <v>773</v>
      </c>
      <c r="BZ10">
        <v>62</v>
      </c>
      <c r="CA10">
        <v>68099</v>
      </c>
    </row>
    <row r="11" spans="1:79">
      <c r="A11" t="s">
        <v>167</v>
      </c>
      <c r="B11">
        <v>2944</v>
      </c>
      <c r="C11">
        <v>106</v>
      </c>
      <c r="D11">
        <v>51</v>
      </c>
      <c r="E11">
        <v>185</v>
      </c>
      <c r="F11">
        <v>598</v>
      </c>
      <c r="G11">
        <v>218</v>
      </c>
      <c r="H11">
        <v>575</v>
      </c>
      <c r="I11">
        <v>88</v>
      </c>
      <c r="J11">
        <v>525</v>
      </c>
      <c r="K11">
        <v>104</v>
      </c>
      <c r="L11">
        <v>497</v>
      </c>
      <c r="M11">
        <v>503</v>
      </c>
      <c r="N11">
        <v>341</v>
      </c>
      <c r="O11">
        <v>163</v>
      </c>
      <c r="P11">
        <v>1751</v>
      </c>
      <c r="Q11">
        <v>1</v>
      </c>
      <c r="R11">
        <v>131</v>
      </c>
      <c r="S11">
        <v>166</v>
      </c>
      <c r="T11">
        <v>522</v>
      </c>
      <c r="U11">
        <v>205</v>
      </c>
      <c r="V11">
        <v>182</v>
      </c>
      <c r="W11">
        <v>157</v>
      </c>
      <c r="X11">
        <v>182</v>
      </c>
      <c r="Y11">
        <v>200</v>
      </c>
      <c r="Z11">
        <v>3887</v>
      </c>
      <c r="AA11">
        <v>14</v>
      </c>
      <c r="AB11">
        <v>3823</v>
      </c>
      <c r="AC11">
        <v>50</v>
      </c>
      <c r="AD11">
        <v>251</v>
      </c>
      <c r="AE11">
        <v>2</v>
      </c>
      <c r="AF11">
        <v>226</v>
      </c>
      <c r="AG11">
        <v>23</v>
      </c>
      <c r="AH11">
        <v>8598</v>
      </c>
      <c r="AI11">
        <v>1862</v>
      </c>
      <c r="AJ11">
        <v>797</v>
      </c>
      <c r="AK11">
        <v>370</v>
      </c>
      <c r="AL11">
        <v>1691</v>
      </c>
      <c r="AM11">
        <v>598</v>
      </c>
      <c r="AN11">
        <v>584</v>
      </c>
      <c r="AO11">
        <v>980</v>
      </c>
      <c r="AP11">
        <v>774</v>
      </c>
      <c r="AQ11">
        <v>943</v>
      </c>
      <c r="AR11">
        <v>11349</v>
      </c>
      <c r="AS11">
        <v>168</v>
      </c>
      <c r="AT11">
        <v>1084</v>
      </c>
      <c r="AU11">
        <v>327</v>
      </c>
      <c r="AV11">
        <v>2048</v>
      </c>
      <c r="AW11">
        <v>2416</v>
      </c>
      <c r="AX11">
        <v>1211</v>
      </c>
      <c r="AY11">
        <v>1459</v>
      </c>
      <c r="AZ11">
        <v>689</v>
      </c>
      <c r="BA11">
        <v>1951</v>
      </c>
      <c r="BB11">
        <v>36394</v>
      </c>
      <c r="BC11">
        <v>1845</v>
      </c>
      <c r="BD11">
        <v>3914</v>
      </c>
      <c r="BE11">
        <v>558</v>
      </c>
      <c r="BF11">
        <v>4379</v>
      </c>
      <c r="BG11">
        <v>5969</v>
      </c>
      <c r="BH11">
        <v>3684</v>
      </c>
      <c r="BI11">
        <v>5298</v>
      </c>
      <c r="BJ11">
        <v>8433</v>
      </c>
      <c r="BK11">
        <v>2313</v>
      </c>
      <c r="BL11">
        <v>10963</v>
      </c>
      <c r="BM11">
        <v>218</v>
      </c>
      <c r="BN11">
        <v>457</v>
      </c>
      <c r="BO11">
        <v>359</v>
      </c>
      <c r="BP11">
        <v>1703</v>
      </c>
      <c r="BQ11">
        <v>568</v>
      </c>
      <c r="BR11">
        <v>1887</v>
      </c>
      <c r="BS11">
        <v>1230</v>
      </c>
      <c r="BT11">
        <v>4541</v>
      </c>
      <c r="BU11">
        <v>828</v>
      </c>
      <c r="BV11">
        <v>27</v>
      </c>
      <c r="BW11">
        <v>1</v>
      </c>
      <c r="BX11">
        <v>0</v>
      </c>
      <c r="BY11">
        <v>731</v>
      </c>
      <c r="BZ11">
        <v>68</v>
      </c>
      <c r="CA11">
        <v>77469</v>
      </c>
    </row>
    <row r="12" spans="1:79">
      <c r="A12" t="s">
        <v>168</v>
      </c>
      <c r="B12">
        <v>2918</v>
      </c>
      <c r="C12">
        <v>92</v>
      </c>
      <c r="D12">
        <v>56</v>
      </c>
      <c r="E12">
        <v>201</v>
      </c>
      <c r="F12">
        <v>605</v>
      </c>
      <c r="G12">
        <v>165</v>
      </c>
      <c r="H12">
        <v>597</v>
      </c>
      <c r="I12">
        <v>87</v>
      </c>
      <c r="J12">
        <v>484</v>
      </c>
      <c r="K12">
        <v>105</v>
      </c>
      <c r="L12">
        <v>527</v>
      </c>
      <c r="M12">
        <v>511</v>
      </c>
      <c r="N12">
        <v>341</v>
      </c>
      <c r="O12">
        <v>170</v>
      </c>
      <c r="P12">
        <v>1512</v>
      </c>
      <c r="Q12">
        <v>0</v>
      </c>
      <c r="R12">
        <v>100</v>
      </c>
      <c r="S12">
        <v>144</v>
      </c>
      <c r="T12">
        <v>419</v>
      </c>
      <c r="U12">
        <v>155</v>
      </c>
      <c r="V12">
        <v>166</v>
      </c>
      <c r="W12">
        <v>131</v>
      </c>
      <c r="X12">
        <v>171</v>
      </c>
      <c r="Y12">
        <v>217</v>
      </c>
      <c r="Z12">
        <v>4900</v>
      </c>
      <c r="AA12">
        <v>15</v>
      </c>
      <c r="AB12">
        <v>4800</v>
      </c>
      <c r="AC12">
        <v>83</v>
      </c>
      <c r="AD12">
        <v>267</v>
      </c>
      <c r="AE12">
        <v>4</v>
      </c>
      <c r="AF12">
        <v>236</v>
      </c>
      <c r="AG12">
        <v>23</v>
      </c>
      <c r="AH12">
        <v>9076</v>
      </c>
      <c r="AI12">
        <v>2007</v>
      </c>
      <c r="AJ12">
        <v>795</v>
      </c>
      <c r="AK12">
        <v>404</v>
      </c>
      <c r="AL12">
        <v>1937</v>
      </c>
      <c r="AM12">
        <v>623</v>
      </c>
      <c r="AN12">
        <v>746</v>
      </c>
      <c r="AO12">
        <v>869</v>
      </c>
      <c r="AP12">
        <v>719</v>
      </c>
      <c r="AQ12">
        <v>978</v>
      </c>
      <c r="AR12">
        <v>10611</v>
      </c>
      <c r="AS12">
        <v>159</v>
      </c>
      <c r="AT12">
        <v>1119</v>
      </c>
      <c r="AU12">
        <v>319</v>
      </c>
      <c r="AV12">
        <v>1770</v>
      </c>
      <c r="AW12">
        <v>2319</v>
      </c>
      <c r="AX12">
        <v>1208</v>
      </c>
      <c r="AY12">
        <v>1264</v>
      </c>
      <c r="AZ12">
        <v>601</v>
      </c>
      <c r="BA12">
        <v>1851</v>
      </c>
      <c r="BB12">
        <v>36809</v>
      </c>
      <c r="BC12">
        <v>2037</v>
      </c>
      <c r="BD12">
        <v>4107</v>
      </c>
      <c r="BE12">
        <v>606</v>
      </c>
      <c r="BF12">
        <v>4567</v>
      </c>
      <c r="BG12">
        <v>5882</v>
      </c>
      <c r="BH12">
        <v>3724</v>
      </c>
      <c r="BI12">
        <v>5100</v>
      </c>
      <c r="BJ12">
        <v>8243</v>
      </c>
      <c r="BK12">
        <v>2547</v>
      </c>
      <c r="BL12">
        <v>11054</v>
      </c>
      <c r="BM12">
        <v>225</v>
      </c>
      <c r="BN12">
        <v>495</v>
      </c>
      <c r="BO12">
        <v>343</v>
      </c>
      <c r="BP12">
        <v>1802</v>
      </c>
      <c r="BQ12">
        <v>610</v>
      </c>
      <c r="BR12">
        <v>1892</v>
      </c>
      <c r="BS12">
        <v>1241</v>
      </c>
      <c r="BT12">
        <v>4447</v>
      </c>
      <c r="BU12">
        <v>752</v>
      </c>
      <c r="BV12">
        <v>31</v>
      </c>
      <c r="BW12">
        <v>9</v>
      </c>
      <c r="BX12">
        <v>0</v>
      </c>
      <c r="BY12">
        <v>643</v>
      </c>
      <c r="BZ12">
        <v>68</v>
      </c>
      <c r="CA12">
        <v>78410</v>
      </c>
    </row>
    <row r="13" spans="1:79">
      <c r="A13" t="s">
        <v>169</v>
      </c>
      <c r="B13">
        <v>3189</v>
      </c>
      <c r="C13">
        <v>120</v>
      </c>
      <c r="D13">
        <v>69</v>
      </c>
      <c r="E13">
        <v>193</v>
      </c>
      <c r="F13">
        <v>631</v>
      </c>
      <c r="G13">
        <v>204</v>
      </c>
      <c r="H13">
        <v>590</v>
      </c>
      <c r="I13">
        <v>90</v>
      </c>
      <c r="J13">
        <v>582</v>
      </c>
      <c r="K13">
        <v>134</v>
      </c>
      <c r="L13">
        <v>579</v>
      </c>
      <c r="M13">
        <v>543</v>
      </c>
      <c r="N13">
        <v>401</v>
      </c>
      <c r="O13">
        <v>143</v>
      </c>
      <c r="P13">
        <v>1558</v>
      </c>
      <c r="Q13">
        <v>1</v>
      </c>
      <c r="R13">
        <v>91</v>
      </c>
      <c r="S13">
        <v>130</v>
      </c>
      <c r="T13">
        <v>462</v>
      </c>
      <c r="U13">
        <v>124</v>
      </c>
      <c r="V13">
        <v>149</v>
      </c>
      <c r="W13">
        <v>165</v>
      </c>
      <c r="X13">
        <v>199</v>
      </c>
      <c r="Y13">
        <v>241</v>
      </c>
      <c r="Z13">
        <v>5026</v>
      </c>
      <c r="AA13">
        <v>13</v>
      </c>
      <c r="AB13">
        <v>4916</v>
      </c>
      <c r="AC13">
        <v>94</v>
      </c>
      <c r="AD13">
        <v>270</v>
      </c>
      <c r="AE13">
        <v>9</v>
      </c>
      <c r="AF13">
        <v>240</v>
      </c>
      <c r="AG13">
        <v>21</v>
      </c>
      <c r="AH13">
        <v>9397</v>
      </c>
      <c r="AI13">
        <v>2070</v>
      </c>
      <c r="AJ13">
        <v>634</v>
      </c>
      <c r="AK13">
        <v>425</v>
      </c>
      <c r="AL13">
        <v>2215</v>
      </c>
      <c r="AM13">
        <v>676</v>
      </c>
      <c r="AN13">
        <v>661</v>
      </c>
      <c r="AO13">
        <v>926</v>
      </c>
      <c r="AP13">
        <v>754</v>
      </c>
      <c r="AQ13">
        <v>1039</v>
      </c>
      <c r="AR13">
        <v>11529</v>
      </c>
      <c r="AS13">
        <v>159</v>
      </c>
      <c r="AT13">
        <v>1143</v>
      </c>
      <c r="AU13">
        <v>368</v>
      </c>
      <c r="AV13">
        <v>1833</v>
      </c>
      <c r="AW13">
        <v>2385</v>
      </c>
      <c r="AX13">
        <v>1336</v>
      </c>
      <c r="AY13">
        <v>1466</v>
      </c>
      <c r="AZ13">
        <v>692</v>
      </c>
      <c r="BA13">
        <v>2151</v>
      </c>
      <c r="BB13">
        <v>38698</v>
      </c>
      <c r="BC13">
        <v>1952</v>
      </c>
      <c r="BD13">
        <v>4032</v>
      </c>
      <c r="BE13">
        <v>596</v>
      </c>
      <c r="BF13">
        <v>5040</v>
      </c>
      <c r="BG13">
        <v>6496</v>
      </c>
      <c r="BH13">
        <v>3764</v>
      </c>
      <c r="BI13">
        <v>5085</v>
      </c>
      <c r="BJ13">
        <v>9590</v>
      </c>
      <c r="BK13">
        <v>2139</v>
      </c>
      <c r="BL13">
        <v>12287</v>
      </c>
      <c r="BM13">
        <v>258</v>
      </c>
      <c r="BN13">
        <v>613</v>
      </c>
      <c r="BO13">
        <v>358</v>
      </c>
      <c r="BP13">
        <v>2049</v>
      </c>
      <c r="BQ13">
        <v>658</v>
      </c>
      <c r="BR13">
        <v>2138</v>
      </c>
      <c r="BS13">
        <v>1315</v>
      </c>
      <c r="BT13">
        <v>4897</v>
      </c>
      <c r="BU13">
        <v>918</v>
      </c>
      <c r="BV13">
        <v>37</v>
      </c>
      <c r="BW13">
        <v>9</v>
      </c>
      <c r="BX13">
        <v>0</v>
      </c>
      <c r="BY13">
        <v>796</v>
      </c>
      <c r="BZ13">
        <v>75</v>
      </c>
      <c r="CA13">
        <v>83420</v>
      </c>
    </row>
    <row r="14" spans="1:79">
      <c r="A14" t="s">
        <v>170</v>
      </c>
      <c r="B14">
        <v>3663</v>
      </c>
      <c r="C14">
        <v>120</v>
      </c>
      <c r="D14">
        <v>59</v>
      </c>
      <c r="E14">
        <v>239</v>
      </c>
      <c r="F14">
        <v>729</v>
      </c>
      <c r="G14">
        <v>230</v>
      </c>
      <c r="H14">
        <v>666</v>
      </c>
      <c r="I14">
        <v>104</v>
      </c>
      <c r="J14">
        <v>678</v>
      </c>
      <c r="K14">
        <v>155</v>
      </c>
      <c r="L14">
        <v>683</v>
      </c>
      <c r="M14">
        <v>589</v>
      </c>
      <c r="N14">
        <v>434</v>
      </c>
      <c r="O14">
        <v>155</v>
      </c>
      <c r="P14">
        <v>1624</v>
      </c>
      <c r="Q14">
        <v>0</v>
      </c>
      <c r="R14">
        <v>64</v>
      </c>
      <c r="S14">
        <v>118</v>
      </c>
      <c r="T14">
        <v>480</v>
      </c>
      <c r="U14">
        <v>173</v>
      </c>
      <c r="V14">
        <v>139</v>
      </c>
      <c r="W14">
        <v>191</v>
      </c>
      <c r="X14">
        <v>200</v>
      </c>
      <c r="Y14">
        <v>259</v>
      </c>
      <c r="Z14">
        <v>4324</v>
      </c>
      <c r="AA14">
        <v>28</v>
      </c>
      <c r="AB14">
        <v>4223</v>
      </c>
      <c r="AC14">
        <v>72</v>
      </c>
      <c r="AD14">
        <v>270</v>
      </c>
      <c r="AE14">
        <v>6</v>
      </c>
      <c r="AF14">
        <v>238</v>
      </c>
      <c r="AG14">
        <v>24</v>
      </c>
      <c r="AH14">
        <v>11034</v>
      </c>
      <c r="AI14">
        <v>2265</v>
      </c>
      <c r="AJ14">
        <v>779</v>
      </c>
      <c r="AK14">
        <v>472</v>
      </c>
      <c r="AL14">
        <v>2843</v>
      </c>
      <c r="AM14">
        <v>825</v>
      </c>
      <c r="AN14">
        <v>775</v>
      </c>
      <c r="AO14">
        <v>1010</v>
      </c>
      <c r="AP14">
        <v>871</v>
      </c>
      <c r="AQ14">
        <v>1197</v>
      </c>
      <c r="AR14">
        <v>13020</v>
      </c>
      <c r="AS14">
        <v>137</v>
      </c>
      <c r="AT14">
        <v>1318</v>
      </c>
      <c r="AU14">
        <v>419</v>
      </c>
      <c r="AV14">
        <v>2092</v>
      </c>
      <c r="AW14">
        <v>2600</v>
      </c>
      <c r="AX14">
        <v>1555</v>
      </c>
      <c r="AY14">
        <v>1609</v>
      </c>
      <c r="AZ14">
        <v>874</v>
      </c>
      <c r="BA14">
        <v>2415</v>
      </c>
      <c r="BB14">
        <v>44331</v>
      </c>
      <c r="BC14">
        <v>2163</v>
      </c>
      <c r="BD14">
        <v>4455</v>
      </c>
      <c r="BE14">
        <v>531</v>
      </c>
      <c r="BF14">
        <v>5855</v>
      </c>
      <c r="BG14">
        <v>7089</v>
      </c>
      <c r="BH14">
        <v>4140</v>
      </c>
      <c r="BI14">
        <v>5716</v>
      </c>
      <c r="BJ14">
        <v>11724</v>
      </c>
      <c r="BK14">
        <v>2660</v>
      </c>
      <c r="BL14">
        <v>14555</v>
      </c>
      <c r="BM14">
        <v>309</v>
      </c>
      <c r="BN14">
        <v>751</v>
      </c>
      <c r="BO14">
        <v>360</v>
      </c>
      <c r="BP14">
        <v>2419</v>
      </c>
      <c r="BQ14">
        <v>780</v>
      </c>
      <c r="BR14">
        <v>2457</v>
      </c>
      <c r="BS14">
        <v>1421</v>
      </c>
      <c r="BT14">
        <v>6058</v>
      </c>
      <c r="BU14">
        <v>3369</v>
      </c>
      <c r="BV14">
        <v>43</v>
      </c>
      <c r="BW14">
        <v>4</v>
      </c>
      <c r="BX14">
        <v>0</v>
      </c>
      <c r="BY14">
        <v>3174</v>
      </c>
      <c r="BZ14">
        <v>148</v>
      </c>
      <c r="CA14">
        <v>96773</v>
      </c>
    </row>
    <row r="15" spans="1:79">
      <c r="A15" t="s">
        <v>171</v>
      </c>
      <c r="B15">
        <v>3841</v>
      </c>
      <c r="C15">
        <v>125</v>
      </c>
      <c r="D15">
        <v>98</v>
      </c>
      <c r="E15">
        <v>274</v>
      </c>
      <c r="F15">
        <v>779</v>
      </c>
      <c r="G15">
        <v>253</v>
      </c>
      <c r="H15">
        <v>742</v>
      </c>
      <c r="I15">
        <v>106</v>
      </c>
      <c r="J15">
        <v>630</v>
      </c>
      <c r="K15">
        <v>144</v>
      </c>
      <c r="L15">
        <v>693</v>
      </c>
      <c r="M15">
        <v>672</v>
      </c>
      <c r="N15">
        <v>496</v>
      </c>
      <c r="O15">
        <v>176</v>
      </c>
      <c r="P15">
        <v>1624</v>
      </c>
      <c r="Q15">
        <v>0</v>
      </c>
      <c r="R15">
        <v>68</v>
      </c>
      <c r="S15">
        <v>104</v>
      </c>
      <c r="T15">
        <v>486</v>
      </c>
      <c r="U15">
        <v>203</v>
      </c>
      <c r="V15">
        <v>139</v>
      </c>
      <c r="W15">
        <v>157</v>
      </c>
      <c r="X15">
        <v>182</v>
      </c>
      <c r="Y15">
        <v>282</v>
      </c>
      <c r="Z15">
        <v>5909</v>
      </c>
      <c r="AA15">
        <v>26</v>
      </c>
      <c r="AB15">
        <v>5797</v>
      </c>
      <c r="AC15">
        <v>86</v>
      </c>
      <c r="AD15">
        <v>287</v>
      </c>
      <c r="AE15">
        <v>6</v>
      </c>
      <c r="AF15">
        <v>244</v>
      </c>
      <c r="AG15">
        <v>34</v>
      </c>
      <c r="AH15">
        <v>11768</v>
      </c>
      <c r="AI15">
        <v>2557</v>
      </c>
      <c r="AJ15">
        <v>660</v>
      </c>
      <c r="AK15">
        <v>500</v>
      </c>
      <c r="AL15">
        <v>3212</v>
      </c>
      <c r="AM15">
        <v>884</v>
      </c>
      <c r="AN15">
        <v>746</v>
      </c>
      <c r="AO15">
        <v>1041</v>
      </c>
      <c r="AP15">
        <v>901</v>
      </c>
      <c r="AQ15">
        <v>1261</v>
      </c>
      <c r="AR15">
        <v>12926</v>
      </c>
      <c r="AS15">
        <v>159</v>
      </c>
      <c r="AT15">
        <v>1231</v>
      </c>
      <c r="AU15">
        <v>510</v>
      </c>
      <c r="AV15">
        <v>2186</v>
      </c>
      <c r="AW15">
        <v>2579</v>
      </c>
      <c r="AX15">
        <v>1678</v>
      </c>
      <c r="AY15">
        <v>1413</v>
      </c>
      <c r="AZ15">
        <v>794</v>
      </c>
      <c r="BA15">
        <v>2384</v>
      </c>
      <c r="BB15">
        <v>47802</v>
      </c>
      <c r="BC15">
        <v>2363</v>
      </c>
      <c r="BD15">
        <v>4063</v>
      </c>
      <c r="BE15">
        <v>436</v>
      </c>
      <c r="BF15">
        <v>5355</v>
      </c>
      <c r="BG15">
        <v>7199</v>
      </c>
      <c r="BH15">
        <v>5907</v>
      </c>
      <c r="BI15">
        <v>5897</v>
      </c>
      <c r="BJ15">
        <v>12373</v>
      </c>
      <c r="BK15">
        <v>4208</v>
      </c>
      <c r="BL15">
        <v>14516</v>
      </c>
      <c r="BM15">
        <v>325</v>
      </c>
      <c r="BN15">
        <v>893</v>
      </c>
      <c r="BO15">
        <v>382</v>
      </c>
      <c r="BP15">
        <v>2573</v>
      </c>
      <c r="BQ15">
        <v>782</v>
      </c>
      <c r="BR15">
        <v>2494</v>
      </c>
      <c r="BS15">
        <v>1447</v>
      </c>
      <c r="BT15">
        <v>5617</v>
      </c>
      <c r="BU15">
        <v>2168</v>
      </c>
      <c r="BV15">
        <v>37</v>
      </c>
      <c r="BW15">
        <v>7</v>
      </c>
      <c r="BX15">
        <v>5</v>
      </c>
      <c r="BY15">
        <v>2005</v>
      </c>
      <c r="BZ15">
        <v>112</v>
      </c>
      <c r="CA15">
        <v>101517</v>
      </c>
    </row>
    <row r="16" spans="1:79">
      <c r="A16" t="s">
        <v>172</v>
      </c>
      <c r="B16">
        <v>4082</v>
      </c>
      <c r="C16">
        <v>97</v>
      </c>
      <c r="D16">
        <v>162</v>
      </c>
      <c r="E16">
        <v>277</v>
      </c>
      <c r="F16">
        <v>803</v>
      </c>
      <c r="G16">
        <v>296</v>
      </c>
      <c r="H16">
        <v>744</v>
      </c>
      <c r="I16">
        <v>118</v>
      </c>
      <c r="J16">
        <v>602</v>
      </c>
      <c r="K16">
        <v>152</v>
      </c>
      <c r="L16">
        <v>827</v>
      </c>
      <c r="M16">
        <v>797</v>
      </c>
      <c r="N16">
        <v>611</v>
      </c>
      <c r="O16">
        <v>186</v>
      </c>
      <c r="P16">
        <v>2043</v>
      </c>
      <c r="Q16">
        <v>0</v>
      </c>
      <c r="R16">
        <v>91</v>
      </c>
      <c r="S16">
        <v>117</v>
      </c>
      <c r="T16">
        <v>666</v>
      </c>
      <c r="U16">
        <v>337</v>
      </c>
      <c r="V16">
        <v>146</v>
      </c>
      <c r="W16">
        <v>176</v>
      </c>
      <c r="X16">
        <v>233</v>
      </c>
      <c r="Y16">
        <v>272</v>
      </c>
      <c r="Z16">
        <v>9490</v>
      </c>
      <c r="AA16">
        <v>16</v>
      </c>
      <c r="AB16">
        <v>9315</v>
      </c>
      <c r="AC16">
        <v>162</v>
      </c>
      <c r="AD16">
        <v>283</v>
      </c>
      <c r="AE16">
        <v>9</v>
      </c>
      <c r="AF16">
        <v>237</v>
      </c>
      <c r="AG16">
        <v>35</v>
      </c>
      <c r="AH16">
        <v>13312</v>
      </c>
      <c r="AI16">
        <v>2904</v>
      </c>
      <c r="AJ16">
        <v>745</v>
      </c>
      <c r="AK16">
        <v>546</v>
      </c>
      <c r="AL16">
        <v>4002</v>
      </c>
      <c r="AM16">
        <v>954</v>
      </c>
      <c r="AN16">
        <v>729</v>
      </c>
      <c r="AO16">
        <v>1141</v>
      </c>
      <c r="AP16">
        <v>974</v>
      </c>
      <c r="AQ16">
        <v>1318</v>
      </c>
      <c r="AR16">
        <v>14169</v>
      </c>
      <c r="AS16">
        <v>177</v>
      </c>
      <c r="AT16">
        <v>1312</v>
      </c>
      <c r="AU16">
        <v>571</v>
      </c>
      <c r="AV16">
        <v>2467</v>
      </c>
      <c r="AW16">
        <v>2662</v>
      </c>
      <c r="AX16">
        <v>1940</v>
      </c>
      <c r="AY16">
        <v>1506</v>
      </c>
      <c r="AZ16">
        <v>846</v>
      </c>
      <c r="BA16">
        <v>2684</v>
      </c>
      <c r="BB16">
        <v>54476</v>
      </c>
      <c r="BC16">
        <v>2721</v>
      </c>
      <c r="BD16">
        <v>3972</v>
      </c>
      <c r="BE16">
        <v>435</v>
      </c>
      <c r="BF16">
        <v>5576</v>
      </c>
      <c r="BG16">
        <v>8498</v>
      </c>
      <c r="BH16">
        <v>8231</v>
      </c>
      <c r="BI16">
        <v>6765</v>
      </c>
      <c r="BJ16">
        <v>14122</v>
      </c>
      <c r="BK16">
        <v>4154</v>
      </c>
      <c r="BL16">
        <v>16457</v>
      </c>
      <c r="BM16">
        <v>375</v>
      </c>
      <c r="BN16">
        <v>1110</v>
      </c>
      <c r="BO16">
        <v>454</v>
      </c>
      <c r="BP16">
        <v>3058</v>
      </c>
      <c r="BQ16">
        <v>903</v>
      </c>
      <c r="BR16">
        <v>2656</v>
      </c>
      <c r="BS16">
        <v>1597</v>
      </c>
      <c r="BT16">
        <v>6298</v>
      </c>
      <c r="BU16">
        <v>1849</v>
      </c>
      <c r="BV16">
        <v>59</v>
      </c>
      <c r="BW16">
        <v>9</v>
      </c>
      <c r="BX16">
        <v>1</v>
      </c>
      <c r="BY16">
        <v>1646</v>
      </c>
      <c r="BZ16">
        <v>134</v>
      </c>
      <c r="CA16">
        <v>116954</v>
      </c>
    </row>
    <row r="17" spans="1:79">
      <c r="A17" t="s">
        <v>173</v>
      </c>
      <c r="B17">
        <v>4461</v>
      </c>
      <c r="C17">
        <v>68</v>
      </c>
      <c r="D17">
        <v>175</v>
      </c>
      <c r="E17">
        <v>328</v>
      </c>
      <c r="F17">
        <v>905</v>
      </c>
      <c r="G17">
        <v>299</v>
      </c>
      <c r="H17">
        <v>798</v>
      </c>
      <c r="I17">
        <v>128</v>
      </c>
      <c r="J17">
        <v>604</v>
      </c>
      <c r="K17">
        <v>236</v>
      </c>
      <c r="L17">
        <v>918</v>
      </c>
      <c r="M17">
        <v>935</v>
      </c>
      <c r="N17">
        <v>719</v>
      </c>
      <c r="O17">
        <v>217</v>
      </c>
      <c r="P17">
        <v>1744</v>
      </c>
      <c r="Q17">
        <v>2</v>
      </c>
      <c r="R17">
        <v>41</v>
      </c>
      <c r="S17">
        <v>131</v>
      </c>
      <c r="T17">
        <v>435</v>
      </c>
      <c r="U17">
        <v>247</v>
      </c>
      <c r="V17">
        <v>145</v>
      </c>
      <c r="W17">
        <v>204</v>
      </c>
      <c r="X17">
        <v>266</v>
      </c>
      <c r="Y17">
        <v>269</v>
      </c>
      <c r="Z17">
        <v>9942</v>
      </c>
      <c r="AA17">
        <v>12</v>
      </c>
      <c r="AB17">
        <v>9801</v>
      </c>
      <c r="AC17">
        <v>131</v>
      </c>
      <c r="AD17">
        <v>285</v>
      </c>
      <c r="AE17">
        <v>16</v>
      </c>
      <c r="AF17">
        <v>238</v>
      </c>
      <c r="AG17">
        <v>33</v>
      </c>
      <c r="AH17">
        <v>14584</v>
      </c>
      <c r="AI17">
        <v>2694</v>
      </c>
      <c r="AJ17">
        <v>1089</v>
      </c>
      <c r="AK17">
        <v>564</v>
      </c>
      <c r="AL17">
        <v>4618</v>
      </c>
      <c r="AM17">
        <v>1170</v>
      </c>
      <c r="AN17">
        <v>832</v>
      </c>
      <c r="AO17">
        <v>1197</v>
      </c>
      <c r="AP17">
        <v>981</v>
      </c>
      <c r="AQ17">
        <v>1439</v>
      </c>
      <c r="AR17">
        <v>14186</v>
      </c>
      <c r="AS17">
        <v>198</v>
      </c>
      <c r="AT17">
        <v>1530</v>
      </c>
      <c r="AU17">
        <v>532</v>
      </c>
      <c r="AV17">
        <v>2320</v>
      </c>
      <c r="AW17">
        <v>2515</v>
      </c>
      <c r="AX17">
        <v>1884</v>
      </c>
      <c r="AY17">
        <v>1584</v>
      </c>
      <c r="AZ17">
        <v>911</v>
      </c>
      <c r="BA17">
        <v>2714</v>
      </c>
      <c r="BB17">
        <v>52218</v>
      </c>
      <c r="BC17">
        <v>3056</v>
      </c>
      <c r="BD17">
        <v>3902</v>
      </c>
      <c r="BE17">
        <v>520</v>
      </c>
      <c r="BF17">
        <v>6114</v>
      </c>
      <c r="BG17">
        <v>7830</v>
      </c>
      <c r="BH17">
        <v>7056</v>
      </c>
      <c r="BI17">
        <v>6614</v>
      </c>
      <c r="BJ17">
        <v>14209</v>
      </c>
      <c r="BK17">
        <v>2922</v>
      </c>
      <c r="BL17">
        <v>17042</v>
      </c>
      <c r="BM17">
        <v>389</v>
      </c>
      <c r="BN17">
        <v>1129</v>
      </c>
      <c r="BO17">
        <v>477</v>
      </c>
      <c r="BP17">
        <v>3168</v>
      </c>
      <c r="BQ17">
        <v>939</v>
      </c>
      <c r="BR17">
        <v>2972</v>
      </c>
      <c r="BS17">
        <v>1613</v>
      </c>
      <c r="BT17">
        <v>6354</v>
      </c>
      <c r="BU17">
        <v>2345</v>
      </c>
      <c r="BV17">
        <v>43</v>
      </c>
      <c r="BW17">
        <v>7</v>
      </c>
      <c r="BX17">
        <v>0</v>
      </c>
      <c r="BY17">
        <v>2155</v>
      </c>
      <c r="BZ17">
        <v>138</v>
      </c>
      <c r="CA17">
        <v>117745</v>
      </c>
    </row>
    <row r="18" spans="1:79">
      <c r="A18" t="s">
        <v>174</v>
      </c>
      <c r="B18">
        <v>4773</v>
      </c>
      <c r="C18">
        <v>85</v>
      </c>
      <c r="D18">
        <v>219</v>
      </c>
      <c r="E18">
        <v>296</v>
      </c>
      <c r="F18">
        <v>918</v>
      </c>
      <c r="G18">
        <v>302</v>
      </c>
      <c r="H18">
        <v>869</v>
      </c>
      <c r="I18">
        <v>151</v>
      </c>
      <c r="J18">
        <v>666</v>
      </c>
      <c r="K18">
        <v>302</v>
      </c>
      <c r="L18">
        <v>967</v>
      </c>
      <c r="M18">
        <v>968</v>
      </c>
      <c r="N18">
        <v>681</v>
      </c>
      <c r="O18">
        <v>284</v>
      </c>
      <c r="P18">
        <v>1885</v>
      </c>
      <c r="Q18">
        <v>3</v>
      </c>
      <c r="R18">
        <v>45</v>
      </c>
      <c r="S18">
        <v>122</v>
      </c>
      <c r="T18">
        <v>561</v>
      </c>
      <c r="U18">
        <v>251</v>
      </c>
      <c r="V18">
        <v>163</v>
      </c>
      <c r="W18">
        <v>206</v>
      </c>
      <c r="X18">
        <v>251</v>
      </c>
      <c r="Y18">
        <v>283</v>
      </c>
      <c r="Z18">
        <v>9305</v>
      </c>
      <c r="AA18">
        <v>22</v>
      </c>
      <c r="AB18">
        <v>9163</v>
      </c>
      <c r="AC18">
        <v>121</v>
      </c>
      <c r="AD18">
        <v>339</v>
      </c>
      <c r="AE18">
        <v>18</v>
      </c>
      <c r="AF18">
        <v>283</v>
      </c>
      <c r="AG18">
        <v>40</v>
      </c>
      <c r="AH18">
        <v>14744</v>
      </c>
      <c r="AI18">
        <v>2452</v>
      </c>
      <c r="AJ18">
        <v>708</v>
      </c>
      <c r="AK18">
        <v>543</v>
      </c>
      <c r="AL18">
        <v>5198</v>
      </c>
      <c r="AM18">
        <v>1215</v>
      </c>
      <c r="AN18">
        <v>789</v>
      </c>
      <c r="AO18">
        <v>1299</v>
      </c>
      <c r="AP18">
        <v>1028</v>
      </c>
      <c r="AQ18">
        <v>1511</v>
      </c>
      <c r="AR18">
        <v>15602</v>
      </c>
      <c r="AS18">
        <v>215</v>
      </c>
      <c r="AT18">
        <v>1710</v>
      </c>
      <c r="AU18">
        <v>663</v>
      </c>
      <c r="AV18">
        <v>2441</v>
      </c>
      <c r="AW18">
        <v>2707</v>
      </c>
      <c r="AX18">
        <v>2087</v>
      </c>
      <c r="AY18">
        <v>1837</v>
      </c>
      <c r="AZ18">
        <v>955</v>
      </c>
      <c r="BA18">
        <v>2985</v>
      </c>
      <c r="BB18">
        <v>58457</v>
      </c>
      <c r="BC18">
        <v>3097</v>
      </c>
      <c r="BD18">
        <v>4456</v>
      </c>
      <c r="BE18">
        <v>601</v>
      </c>
      <c r="BF18">
        <v>6709</v>
      </c>
      <c r="BG18">
        <v>7961</v>
      </c>
      <c r="BH18">
        <v>6795</v>
      </c>
      <c r="BI18">
        <v>6788</v>
      </c>
      <c r="BJ18">
        <v>15832</v>
      </c>
      <c r="BK18">
        <v>6217</v>
      </c>
      <c r="BL18">
        <v>18388</v>
      </c>
      <c r="BM18">
        <v>419</v>
      </c>
      <c r="BN18">
        <v>1384</v>
      </c>
      <c r="BO18">
        <v>467</v>
      </c>
      <c r="BP18">
        <v>3342</v>
      </c>
      <c r="BQ18">
        <v>1033</v>
      </c>
      <c r="BR18">
        <v>2982</v>
      </c>
      <c r="BS18">
        <v>1556</v>
      </c>
      <c r="BT18">
        <v>7205</v>
      </c>
      <c r="BU18">
        <v>3203</v>
      </c>
      <c r="BV18">
        <v>40</v>
      </c>
      <c r="BW18">
        <v>8</v>
      </c>
      <c r="BX18">
        <v>0</v>
      </c>
      <c r="BY18">
        <v>2513</v>
      </c>
      <c r="BZ18">
        <v>643</v>
      </c>
      <c r="CA18">
        <v>127665</v>
      </c>
    </row>
    <row r="19" spans="1:79">
      <c r="A19" t="s">
        <v>175</v>
      </c>
      <c r="B19">
        <v>5171</v>
      </c>
      <c r="C19">
        <v>82</v>
      </c>
      <c r="D19">
        <v>234</v>
      </c>
      <c r="E19">
        <v>319</v>
      </c>
      <c r="F19">
        <v>949</v>
      </c>
      <c r="G19">
        <v>409</v>
      </c>
      <c r="H19">
        <v>957</v>
      </c>
      <c r="I19">
        <v>192</v>
      </c>
      <c r="J19">
        <v>670</v>
      </c>
      <c r="K19">
        <v>310</v>
      </c>
      <c r="L19">
        <v>1049</v>
      </c>
      <c r="M19">
        <v>960</v>
      </c>
      <c r="N19">
        <v>705</v>
      </c>
      <c r="O19">
        <v>254</v>
      </c>
      <c r="P19">
        <v>1939</v>
      </c>
      <c r="Q19">
        <v>2</v>
      </c>
      <c r="R19">
        <v>71</v>
      </c>
      <c r="S19">
        <v>133</v>
      </c>
      <c r="T19">
        <v>598</v>
      </c>
      <c r="U19">
        <v>233</v>
      </c>
      <c r="V19">
        <v>167</v>
      </c>
      <c r="W19">
        <v>189</v>
      </c>
      <c r="X19">
        <v>270</v>
      </c>
      <c r="Y19">
        <v>274</v>
      </c>
      <c r="Z19">
        <v>10031</v>
      </c>
      <c r="AA19">
        <v>17</v>
      </c>
      <c r="AB19">
        <v>9917</v>
      </c>
      <c r="AC19">
        <v>99</v>
      </c>
      <c r="AD19">
        <v>355</v>
      </c>
      <c r="AE19">
        <v>25</v>
      </c>
      <c r="AF19">
        <v>290</v>
      </c>
      <c r="AG19">
        <v>42</v>
      </c>
      <c r="AH19">
        <v>14936</v>
      </c>
      <c r="AI19">
        <v>2371</v>
      </c>
      <c r="AJ19">
        <v>692</v>
      </c>
      <c r="AK19">
        <v>537</v>
      </c>
      <c r="AL19">
        <v>5526</v>
      </c>
      <c r="AM19">
        <v>1268</v>
      </c>
      <c r="AN19">
        <v>767</v>
      </c>
      <c r="AO19">
        <v>1279</v>
      </c>
      <c r="AP19">
        <v>1040</v>
      </c>
      <c r="AQ19">
        <v>1458</v>
      </c>
      <c r="AR19">
        <v>15809</v>
      </c>
      <c r="AS19">
        <v>174</v>
      </c>
      <c r="AT19">
        <v>1731</v>
      </c>
      <c r="AU19">
        <v>657</v>
      </c>
      <c r="AV19">
        <v>2475</v>
      </c>
      <c r="AW19">
        <v>2551</v>
      </c>
      <c r="AX19">
        <v>2054</v>
      </c>
      <c r="AY19">
        <v>1998</v>
      </c>
      <c r="AZ19">
        <v>1044</v>
      </c>
      <c r="BA19">
        <v>3120</v>
      </c>
      <c r="BB19">
        <v>59167</v>
      </c>
      <c r="BC19">
        <v>3011</v>
      </c>
      <c r="BD19">
        <v>4559</v>
      </c>
      <c r="BE19">
        <v>813</v>
      </c>
      <c r="BF19">
        <v>6956</v>
      </c>
      <c r="BG19">
        <v>7519</v>
      </c>
      <c r="BH19">
        <v>7028</v>
      </c>
      <c r="BI19">
        <v>6897</v>
      </c>
      <c r="BJ19">
        <v>17210</v>
      </c>
      <c r="BK19">
        <v>5172</v>
      </c>
      <c r="BL19">
        <v>18348</v>
      </c>
      <c r="BM19">
        <v>451</v>
      </c>
      <c r="BN19">
        <v>1515</v>
      </c>
      <c r="BO19">
        <v>469</v>
      </c>
      <c r="BP19">
        <v>3363</v>
      </c>
      <c r="BQ19">
        <v>917</v>
      </c>
      <c r="BR19">
        <v>3065</v>
      </c>
      <c r="BS19">
        <v>1378</v>
      </c>
      <c r="BT19">
        <v>7188</v>
      </c>
      <c r="BU19">
        <v>3269</v>
      </c>
      <c r="BV19">
        <v>29</v>
      </c>
      <c r="BW19">
        <v>2</v>
      </c>
      <c r="BX19">
        <v>0</v>
      </c>
      <c r="BY19">
        <v>2913</v>
      </c>
      <c r="BZ19">
        <v>321</v>
      </c>
      <c r="CA19">
        <v>129984</v>
      </c>
    </row>
    <row r="20" spans="1:79">
      <c r="A20" t="s">
        <v>176</v>
      </c>
      <c r="B20">
        <v>5271</v>
      </c>
      <c r="C20">
        <v>66</v>
      </c>
      <c r="D20">
        <v>285</v>
      </c>
      <c r="E20">
        <v>354</v>
      </c>
      <c r="F20">
        <v>920</v>
      </c>
      <c r="G20">
        <v>381</v>
      </c>
      <c r="H20">
        <v>1061</v>
      </c>
      <c r="I20">
        <v>174</v>
      </c>
      <c r="J20">
        <v>671</v>
      </c>
      <c r="K20">
        <v>267</v>
      </c>
      <c r="L20">
        <v>1091</v>
      </c>
      <c r="M20">
        <v>951</v>
      </c>
      <c r="N20">
        <v>785</v>
      </c>
      <c r="O20">
        <v>165</v>
      </c>
      <c r="P20">
        <v>1892</v>
      </c>
      <c r="Q20">
        <v>0</v>
      </c>
      <c r="R20">
        <v>64</v>
      </c>
      <c r="S20">
        <v>135</v>
      </c>
      <c r="T20">
        <v>601</v>
      </c>
      <c r="U20">
        <v>240</v>
      </c>
      <c r="V20">
        <v>155</v>
      </c>
      <c r="W20">
        <v>178</v>
      </c>
      <c r="X20">
        <v>254</v>
      </c>
      <c r="Y20">
        <v>262</v>
      </c>
      <c r="Z20">
        <v>12864</v>
      </c>
      <c r="AA20">
        <v>18</v>
      </c>
      <c r="AB20">
        <v>12700</v>
      </c>
      <c r="AC20">
        <v>147</v>
      </c>
      <c r="AD20">
        <v>380</v>
      </c>
      <c r="AE20">
        <v>18</v>
      </c>
      <c r="AF20">
        <v>323</v>
      </c>
      <c r="AG20">
        <v>43</v>
      </c>
      <c r="AH20">
        <v>16359</v>
      </c>
      <c r="AI20">
        <v>2572</v>
      </c>
      <c r="AJ20">
        <v>725</v>
      </c>
      <c r="AK20">
        <v>531</v>
      </c>
      <c r="AL20">
        <v>6525</v>
      </c>
      <c r="AM20">
        <v>1295</v>
      </c>
      <c r="AN20">
        <v>883</v>
      </c>
      <c r="AO20">
        <v>1243</v>
      </c>
      <c r="AP20">
        <v>1068</v>
      </c>
      <c r="AQ20">
        <v>1521</v>
      </c>
      <c r="AR20">
        <v>16724</v>
      </c>
      <c r="AS20">
        <v>164</v>
      </c>
      <c r="AT20">
        <v>1767</v>
      </c>
      <c r="AU20">
        <v>666</v>
      </c>
      <c r="AV20">
        <v>2508</v>
      </c>
      <c r="AW20">
        <v>2483</v>
      </c>
      <c r="AX20">
        <v>2167</v>
      </c>
      <c r="AY20">
        <v>2493</v>
      </c>
      <c r="AZ20">
        <v>965</v>
      </c>
      <c r="BA20">
        <v>3515</v>
      </c>
      <c r="BB20">
        <v>64231</v>
      </c>
      <c r="BC20">
        <v>3121</v>
      </c>
      <c r="BD20">
        <v>5517</v>
      </c>
      <c r="BE20">
        <v>645</v>
      </c>
      <c r="BF20">
        <v>7720</v>
      </c>
      <c r="BG20">
        <v>8206</v>
      </c>
      <c r="BH20">
        <v>8514</v>
      </c>
      <c r="BI20">
        <v>7517</v>
      </c>
      <c r="BJ20">
        <v>18417</v>
      </c>
      <c r="BK20">
        <v>4576</v>
      </c>
      <c r="BL20">
        <v>19867</v>
      </c>
      <c r="BM20">
        <v>494</v>
      </c>
      <c r="BN20">
        <v>1799</v>
      </c>
      <c r="BO20">
        <v>528</v>
      </c>
      <c r="BP20">
        <v>3625</v>
      </c>
      <c r="BQ20">
        <v>961</v>
      </c>
      <c r="BR20">
        <v>3478</v>
      </c>
      <c r="BS20">
        <v>1337</v>
      </c>
      <c r="BT20">
        <v>7653</v>
      </c>
      <c r="BU20">
        <v>2707</v>
      </c>
      <c r="BV20">
        <v>29</v>
      </c>
      <c r="BW20">
        <v>7</v>
      </c>
      <c r="BX20">
        <v>17</v>
      </c>
      <c r="BY20">
        <v>2453</v>
      </c>
      <c r="BZ20">
        <v>202</v>
      </c>
      <c r="CA20">
        <v>141247</v>
      </c>
    </row>
    <row r="21" spans="1:79">
      <c r="A21" t="s">
        <v>177</v>
      </c>
      <c r="B21">
        <v>5773</v>
      </c>
      <c r="C21">
        <v>94</v>
      </c>
      <c r="D21">
        <v>364</v>
      </c>
      <c r="E21">
        <v>394</v>
      </c>
      <c r="F21">
        <v>987</v>
      </c>
      <c r="G21">
        <v>425</v>
      </c>
      <c r="H21">
        <v>1126</v>
      </c>
      <c r="I21">
        <v>182</v>
      </c>
      <c r="J21">
        <v>740</v>
      </c>
      <c r="K21">
        <v>286</v>
      </c>
      <c r="L21">
        <v>1172</v>
      </c>
      <c r="M21">
        <v>1030</v>
      </c>
      <c r="N21">
        <v>850</v>
      </c>
      <c r="O21">
        <v>182</v>
      </c>
      <c r="P21">
        <v>1952</v>
      </c>
      <c r="Q21">
        <v>0</v>
      </c>
      <c r="R21">
        <v>67</v>
      </c>
      <c r="S21">
        <v>152</v>
      </c>
      <c r="T21">
        <v>581</v>
      </c>
      <c r="U21">
        <v>236</v>
      </c>
      <c r="V21">
        <v>143</v>
      </c>
      <c r="W21">
        <v>179</v>
      </c>
      <c r="X21">
        <v>333</v>
      </c>
      <c r="Y21">
        <v>260</v>
      </c>
      <c r="Z21">
        <v>17218</v>
      </c>
      <c r="AA21">
        <v>23</v>
      </c>
      <c r="AB21">
        <v>17040</v>
      </c>
      <c r="AC21">
        <v>155</v>
      </c>
      <c r="AD21">
        <v>368</v>
      </c>
      <c r="AE21">
        <v>19</v>
      </c>
      <c r="AF21">
        <v>305</v>
      </c>
      <c r="AG21">
        <v>44</v>
      </c>
      <c r="AH21">
        <v>18091</v>
      </c>
      <c r="AI21">
        <v>2892</v>
      </c>
      <c r="AJ21">
        <v>1034</v>
      </c>
      <c r="AK21">
        <v>537</v>
      </c>
      <c r="AL21">
        <v>7149</v>
      </c>
      <c r="AM21">
        <v>1430</v>
      </c>
      <c r="AN21">
        <v>1023</v>
      </c>
      <c r="AO21">
        <v>1334</v>
      </c>
      <c r="AP21">
        <v>1111</v>
      </c>
      <c r="AQ21">
        <v>1585</v>
      </c>
      <c r="AR21">
        <v>18142</v>
      </c>
      <c r="AS21">
        <v>140</v>
      </c>
      <c r="AT21">
        <v>1926</v>
      </c>
      <c r="AU21">
        <v>589</v>
      </c>
      <c r="AV21">
        <v>2564</v>
      </c>
      <c r="AW21">
        <v>2312</v>
      </c>
      <c r="AX21">
        <v>2132</v>
      </c>
      <c r="AY21">
        <v>3453</v>
      </c>
      <c r="AZ21">
        <v>1096</v>
      </c>
      <c r="BA21">
        <v>3927</v>
      </c>
      <c r="BB21">
        <v>68797</v>
      </c>
      <c r="BC21">
        <v>3503</v>
      </c>
      <c r="BD21">
        <v>6243</v>
      </c>
      <c r="BE21">
        <v>870</v>
      </c>
      <c r="BF21">
        <v>8156</v>
      </c>
      <c r="BG21">
        <v>8790</v>
      </c>
      <c r="BH21">
        <v>8528</v>
      </c>
      <c r="BI21">
        <v>7791</v>
      </c>
      <c r="BJ21">
        <v>20400</v>
      </c>
      <c r="BK21">
        <v>4514</v>
      </c>
      <c r="BL21">
        <v>21271</v>
      </c>
      <c r="BM21">
        <v>511</v>
      </c>
      <c r="BN21">
        <v>1962</v>
      </c>
      <c r="BO21">
        <v>562</v>
      </c>
      <c r="BP21">
        <v>4085</v>
      </c>
      <c r="BQ21">
        <v>1051</v>
      </c>
      <c r="BR21">
        <v>3686</v>
      </c>
      <c r="BS21">
        <v>1322</v>
      </c>
      <c r="BT21">
        <v>8091</v>
      </c>
      <c r="BU21">
        <v>2966</v>
      </c>
      <c r="BV21">
        <v>30</v>
      </c>
      <c r="BW21">
        <v>3</v>
      </c>
      <c r="BX21">
        <v>0</v>
      </c>
      <c r="BY21">
        <v>2797</v>
      </c>
      <c r="BZ21">
        <v>136</v>
      </c>
      <c r="CA21">
        <v>155612</v>
      </c>
    </row>
    <row r="22" spans="1:79">
      <c r="A22" t="s">
        <v>178</v>
      </c>
      <c r="B22">
        <v>6390</v>
      </c>
      <c r="C22">
        <v>124</v>
      </c>
      <c r="D22">
        <v>382</v>
      </c>
      <c r="E22">
        <v>440</v>
      </c>
      <c r="F22">
        <v>1132</v>
      </c>
      <c r="G22">
        <v>498</v>
      </c>
      <c r="H22">
        <v>1239</v>
      </c>
      <c r="I22">
        <v>187</v>
      </c>
      <c r="J22">
        <v>796</v>
      </c>
      <c r="K22">
        <v>357</v>
      </c>
      <c r="L22">
        <v>1240</v>
      </c>
      <c r="M22">
        <v>1277</v>
      </c>
      <c r="N22">
        <v>1047</v>
      </c>
      <c r="O22">
        <v>232</v>
      </c>
      <c r="P22">
        <v>2215</v>
      </c>
      <c r="Q22">
        <v>0</v>
      </c>
      <c r="R22">
        <v>63</v>
      </c>
      <c r="S22">
        <v>186</v>
      </c>
      <c r="T22">
        <v>549</v>
      </c>
      <c r="U22">
        <v>245</v>
      </c>
      <c r="V22">
        <v>149</v>
      </c>
      <c r="W22">
        <v>171</v>
      </c>
      <c r="X22">
        <v>561</v>
      </c>
      <c r="Y22">
        <v>292</v>
      </c>
      <c r="Z22">
        <v>23182</v>
      </c>
      <c r="AA22">
        <v>19</v>
      </c>
      <c r="AB22">
        <v>22358</v>
      </c>
      <c r="AC22">
        <v>805</v>
      </c>
      <c r="AD22">
        <v>479</v>
      </c>
      <c r="AE22">
        <v>19</v>
      </c>
      <c r="AF22">
        <v>409</v>
      </c>
      <c r="AG22">
        <v>51</v>
      </c>
      <c r="AH22">
        <v>18978</v>
      </c>
      <c r="AI22">
        <v>3200</v>
      </c>
      <c r="AJ22">
        <v>1092</v>
      </c>
      <c r="AK22">
        <v>603</v>
      </c>
      <c r="AL22">
        <v>7280</v>
      </c>
      <c r="AM22">
        <v>1551</v>
      </c>
      <c r="AN22">
        <v>778</v>
      </c>
      <c r="AO22">
        <v>1527</v>
      </c>
      <c r="AP22">
        <v>1218</v>
      </c>
      <c r="AQ22">
        <v>1730</v>
      </c>
      <c r="AR22">
        <v>19451</v>
      </c>
      <c r="AS22">
        <v>146</v>
      </c>
      <c r="AT22">
        <v>2321</v>
      </c>
      <c r="AU22">
        <v>630</v>
      </c>
      <c r="AV22">
        <v>2627</v>
      </c>
      <c r="AW22">
        <v>2437</v>
      </c>
      <c r="AX22">
        <v>2266</v>
      </c>
      <c r="AY22">
        <v>3297</v>
      </c>
      <c r="AZ22">
        <v>1481</v>
      </c>
      <c r="BA22">
        <v>4239</v>
      </c>
      <c r="BB22">
        <v>74839</v>
      </c>
      <c r="BC22">
        <v>3661</v>
      </c>
      <c r="BD22">
        <v>6831</v>
      </c>
      <c r="BE22">
        <v>726</v>
      </c>
      <c r="BF22">
        <v>9314</v>
      </c>
      <c r="BG22">
        <v>9699</v>
      </c>
      <c r="BH22">
        <v>9771</v>
      </c>
      <c r="BI22">
        <v>8427</v>
      </c>
      <c r="BJ22">
        <v>21484</v>
      </c>
      <c r="BK22">
        <v>4925</v>
      </c>
      <c r="BL22">
        <v>23218</v>
      </c>
      <c r="BM22">
        <v>591</v>
      </c>
      <c r="BN22">
        <v>2249</v>
      </c>
      <c r="BO22">
        <v>599</v>
      </c>
      <c r="BP22">
        <v>4352</v>
      </c>
      <c r="BQ22">
        <v>1163</v>
      </c>
      <c r="BR22">
        <v>4061</v>
      </c>
      <c r="BS22">
        <v>1317</v>
      </c>
      <c r="BT22">
        <v>8884</v>
      </c>
      <c r="BU22">
        <v>5994</v>
      </c>
      <c r="BV22">
        <v>41</v>
      </c>
      <c r="BW22">
        <v>1</v>
      </c>
      <c r="BX22">
        <v>0</v>
      </c>
      <c r="BY22">
        <v>5791</v>
      </c>
      <c r="BZ22">
        <v>161</v>
      </c>
      <c r="CA22">
        <v>176022</v>
      </c>
    </row>
    <row r="23" spans="1:79">
      <c r="A23" t="s">
        <v>179</v>
      </c>
      <c r="B23">
        <v>7193</v>
      </c>
      <c r="C23">
        <v>108</v>
      </c>
      <c r="D23">
        <v>475</v>
      </c>
      <c r="E23">
        <v>483</v>
      </c>
      <c r="F23">
        <v>1153</v>
      </c>
      <c r="G23">
        <v>568</v>
      </c>
      <c r="H23">
        <v>1405</v>
      </c>
      <c r="I23">
        <v>225</v>
      </c>
      <c r="J23">
        <v>907</v>
      </c>
      <c r="K23">
        <v>508</v>
      </c>
      <c r="L23">
        <v>1361</v>
      </c>
      <c r="M23">
        <v>1427</v>
      </c>
      <c r="N23">
        <v>1210</v>
      </c>
      <c r="O23">
        <v>221</v>
      </c>
      <c r="P23">
        <v>2472</v>
      </c>
      <c r="Q23">
        <v>0</v>
      </c>
      <c r="R23">
        <v>71</v>
      </c>
      <c r="S23">
        <v>167</v>
      </c>
      <c r="T23">
        <v>642</v>
      </c>
      <c r="U23">
        <v>286</v>
      </c>
      <c r="V23">
        <v>141</v>
      </c>
      <c r="W23">
        <v>179</v>
      </c>
      <c r="X23">
        <v>690</v>
      </c>
      <c r="Y23">
        <v>296</v>
      </c>
      <c r="Z23">
        <v>24442</v>
      </c>
      <c r="AA23">
        <v>19</v>
      </c>
      <c r="AB23">
        <v>23419</v>
      </c>
      <c r="AC23">
        <v>1006</v>
      </c>
      <c r="AD23">
        <v>536</v>
      </c>
      <c r="AE23">
        <v>29</v>
      </c>
      <c r="AF23">
        <v>455</v>
      </c>
      <c r="AG23">
        <v>50</v>
      </c>
      <c r="AH23">
        <v>20432</v>
      </c>
      <c r="AI23">
        <v>3388</v>
      </c>
      <c r="AJ23">
        <v>1072</v>
      </c>
      <c r="AK23">
        <v>599</v>
      </c>
      <c r="AL23">
        <v>7993</v>
      </c>
      <c r="AM23">
        <v>1609</v>
      </c>
      <c r="AN23">
        <v>924</v>
      </c>
      <c r="AO23">
        <v>1743</v>
      </c>
      <c r="AP23">
        <v>1305</v>
      </c>
      <c r="AQ23">
        <v>1799</v>
      </c>
      <c r="AR23">
        <v>21253</v>
      </c>
      <c r="AS23">
        <v>172</v>
      </c>
      <c r="AT23">
        <v>2460</v>
      </c>
      <c r="AU23">
        <v>647</v>
      </c>
      <c r="AV23">
        <v>2750</v>
      </c>
      <c r="AW23">
        <v>2473</v>
      </c>
      <c r="AX23">
        <v>2382</v>
      </c>
      <c r="AY23">
        <v>3794</v>
      </c>
      <c r="AZ23">
        <v>1880</v>
      </c>
      <c r="BA23">
        <v>4694</v>
      </c>
      <c r="BB23">
        <v>78961</v>
      </c>
      <c r="BC23">
        <v>3950</v>
      </c>
      <c r="BD23">
        <v>7087</v>
      </c>
      <c r="BE23">
        <v>809</v>
      </c>
      <c r="BF23">
        <v>9910</v>
      </c>
      <c r="BG23">
        <v>8979</v>
      </c>
      <c r="BH23">
        <v>10917</v>
      </c>
      <c r="BI23">
        <v>8909</v>
      </c>
      <c r="BJ23">
        <v>24309</v>
      </c>
      <c r="BK23">
        <v>4092</v>
      </c>
      <c r="BL23">
        <v>24491</v>
      </c>
      <c r="BM23">
        <v>662</v>
      </c>
      <c r="BN23">
        <v>2435</v>
      </c>
      <c r="BO23">
        <v>658</v>
      </c>
      <c r="BP23">
        <v>4465</v>
      </c>
      <c r="BQ23">
        <v>1170</v>
      </c>
      <c r="BR23">
        <v>4222</v>
      </c>
      <c r="BS23">
        <v>1346</v>
      </c>
      <c r="BT23">
        <v>9527</v>
      </c>
      <c r="BU23">
        <v>6580</v>
      </c>
      <c r="BV23">
        <v>38</v>
      </c>
      <c r="BW23">
        <v>3</v>
      </c>
      <c r="BX23">
        <v>0</v>
      </c>
      <c r="BY23">
        <v>6128</v>
      </c>
      <c r="BZ23">
        <v>408</v>
      </c>
      <c r="CA23">
        <v>187786</v>
      </c>
    </row>
    <row r="24" spans="1:79">
      <c r="A24" t="s">
        <v>180</v>
      </c>
      <c r="B24">
        <v>8286</v>
      </c>
      <c r="C24">
        <v>139</v>
      </c>
      <c r="D24">
        <v>491</v>
      </c>
      <c r="E24">
        <v>679</v>
      </c>
      <c r="F24">
        <v>1215</v>
      </c>
      <c r="G24">
        <v>764</v>
      </c>
      <c r="H24">
        <v>1655</v>
      </c>
      <c r="I24">
        <v>237</v>
      </c>
      <c r="J24">
        <v>1087</v>
      </c>
      <c r="K24">
        <v>566</v>
      </c>
      <c r="L24">
        <v>1449</v>
      </c>
      <c r="M24">
        <v>1658</v>
      </c>
      <c r="N24">
        <v>1470</v>
      </c>
      <c r="O24">
        <v>187</v>
      </c>
      <c r="P24">
        <v>2876</v>
      </c>
      <c r="Q24">
        <v>0</v>
      </c>
      <c r="R24">
        <v>58</v>
      </c>
      <c r="S24">
        <v>228</v>
      </c>
      <c r="T24">
        <v>662</v>
      </c>
      <c r="U24">
        <v>324</v>
      </c>
      <c r="V24">
        <v>140</v>
      </c>
      <c r="W24">
        <v>547</v>
      </c>
      <c r="X24">
        <v>580</v>
      </c>
      <c r="Y24">
        <v>337</v>
      </c>
      <c r="Z24">
        <v>35493</v>
      </c>
      <c r="AA24">
        <v>27</v>
      </c>
      <c r="AB24">
        <v>33635</v>
      </c>
      <c r="AC24">
        <v>1831</v>
      </c>
      <c r="AD24">
        <v>603</v>
      </c>
      <c r="AE24">
        <v>39</v>
      </c>
      <c r="AF24">
        <v>498</v>
      </c>
      <c r="AG24">
        <v>68</v>
      </c>
      <c r="AH24">
        <v>23851</v>
      </c>
      <c r="AI24">
        <v>3633</v>
      </c>
      <c r="AJ24">
        <v>1827</v>
      </c>
      <c r="AK24">
        <v>700</v>
      </c>
      <c r="AL24">
        <v>8337</v>
      </c>
      <c r="AM24">
        <v>1706</v>
      </c>
      <c r="AN24">
        <v>2252</v>
      </c>
      <c r="AO24">
        <v>1827</v>
      </c>
      <c r="AP24">
        <v>1413</v>
      </c>
      <c r="AQ24">
        <v>2150</v>
      </c>
      <c r="AR24">
        <v>25103</v>
      </c>
      <c r="AS24">
        <v>189</v>
      </c>
      <c r="AT24">
        <v>2712</v>
      </c>
      <c r="AU24">
        <v>711</v>
      </c>
      <c r="AV24">
        <v>2896</v>
      </c>
      <c r="AW24">
        <v>2606</v>
      </c>
      <c r="AX24">
        <v>2752</v>
      </c>
      <c r="AY24">
        <v>5404</v>
      </c>
      <c r="AZ24">
        <v>2274</v>
      </c>
      <c r="BA24">
        <v>5564</v>
      </c>
      <c r="BB24">
        <v>88025</v>
      </c>
      <c r="BC24">
        <v>5094</v>
      </c>
      <c r="BD24">
        <v>8613</v>
      </c>
      <c r="BE24">
        <v>786</v>
      </c>
      <c r="BF24">
        <v>10930</v>
      </c>
      <c r="BG24">
        <v>8946</v>
      </c>
      <c r="BH24">
        <v>11197</v>
      </c>
      <c r="BI24">
        <v>9836</v>
      </c>
      <c r="BJ24">
        <v>26458</v>
      </c>
      <c r="BK24">
        <v>6167</v>
      </c>
      <c r="BL24">
        <v>27859</v>
      </c>
      <c r="BM24">
        <v>785</v>
      </c>
      <c r="BN24">
        <v>2803</v>
      </c>
      <c r="BO24">
        <v>762</v>
      </c>
      <c r="BP24">
        <v>5049</v>
      </c>
      <c r="BQ24">
        <v>1303</v>
      </c>
      <c r="BR24">
        <v>4843</v>
      </c>
      <c r="BS24">
        <v>1426</v>
      </c>
      <c r="BT24">
        <v>10892</v>
      </c>
      <c r="BU24">
        <v>12185</v>
      </c>
      <c r="BV24">
        <v>51</v>
      </c>
      <c r="BW24">
        <v>6</v>
      </c>
      <c r="BX24">
        <v>0</v>
      </c>
      <c r="BY24">
        <v>9733</v>
      </c>
      <c r="BZ24">
        <v>2399</v>
      </c>
      <c r="CA24">
        <v>225944</v>
      </c>
    </row>
    <row r="25" spans="1:79">
      <c r="A25" t="s">
        <v>181</v>
      </c>
      <c r="B25">
        <v>8638</v>
      </c>
      <c r="C25">
        <v>101</v>
      </c>
      <c r="D25">
        <v>574</v>
      </c>
      <c r="E25">
        <v>542</v>
      </c>
      <c r="F25">
        <v>1267</v>
      </c>
      <c r="G25">
        <v>833</v>
      </c>
      <c r="H25">
        <v>1611</v>
      </c>
      <c r="I25">
        <v>285</v>
      </c>
      <c r="J25">
        <v>1209</v>
      </c>
      <c r="K25">
        <v>595</v>
      </c>
      <c r="L25">
        <v>1623</v>
      </c>
      <c r="M25">
        <v>1748</v>
      </c>
      <c r="N25">
        <v>1470</v>
      </c>
      <c r="O25">
        <v>277</v>
      </c>
      <c r="P25">
        <v>2002</v>
      </c>
      <c r="Q25">
        <v>0</v>
      </c>
      <c r="R25">
        <v>50</v>
      </c>
      <c r="S25">
        <v>129</v>
      </c>
      <c r="T25">
        <v>568</v>
      </c>
      <c r="U25">
        <v>181</v>
      </c>
      <c r="V25">
        <v>138</v>
      </c>
      <c r="W25">
        <v>154</v>
      </c>
      <c r="X25">
        <v>443</v>
      </c>
      <c r="Y25">
        <v>338</v>
      </c>
      <c r="Z25">
        <v>25411</v>
      </c>
      <c r="AA25">
        <v>25</v>
      </c>
      <c r="AB25">
        <v>23124</v>
      </c>
      <c r="AC25">
        <v>2263</v>
      </c>
      <c r="AD25">
        <v>561</v>
      </c>
      <c r="AE25">
        <v>30</v>
      </c>
      <c r="AF25">
        <v>467</v>
      </c>
      <c r="AG25">
        <v>64</v>
      </c>
      <c r="AH25">
        <v>21929</v>
      </c>
      <c r="AI25">
        <v>3199</v>
      </c>
      <c r="AJ25">
        <v>1341</v>
      </c>
      <c r="AK25">
        <v>619</v>
      </c>
      <c r="AL25">
        <v>9371</v>
      </c>
      <c r="AM25">
        <v>1841</v>
      </c>
      <c r="AN25">
        <v>941</v>
      </c>
      <c r="AO25">
        <v>1303</v>
      </c>
      <c r="AP25">
        <v>1349</v>
      </c>
      <c r="AQ25">
        <v>1965</v>
      </c>
      <c r="AR25">
        <v>21693</v>
      </c>
      <c r="AS25">
        <v>142</v>
      </c>
      <c r="AT25">
        <v>2633</v>
      </c>
      <c r="AU25">
        <v>629</v>
      </c>
      <c r="AV25">
        <v>2628</v>
      </c>
      <c r="AW25">
        <v>2431</v>
      </c>
      <c r="AX25">
        <v>2634</v>
      </c>
      <c r="AY25">
        <v>3621</v>
      </c>
      <c r="AZ25">
        <v>1804</v>
      </c>
      <c r="BA25">
        <v>5166</v>
      </c>
      <c r="BB25">
        <v>76445</v>
      </c>
      <c r="BC25">
        <v>4818</v>
      </c>
      <c r="BD25">
        <v>6918</v>
      </c>
      <c r="BE25">
        <v>635</v>
      </c>
      <c r="BF25">
        <v>12115</v>
      </c>
      <c r="BG25">
        <v>8520</v>
      </c>
      <c r="BH25">
        <v>11691</v>
      </c>
      <c r="BI25">
        <v>9569</v>
      </c>
      <c r="BJ25">
        <v>19969</v>
      </c>
      <c r="BK25">
        <v>2205</v>
      </c>
      <c r="BL25">
        <v>27390</v>
      </c>
      <c r="BM25">
        <v>787</v>
      </c>
      <c r="BN25">
        <v>2633</v>
      </c>
      <c r="BO25">
        <v>782</v>
      </c>
      <c r="BP25">
        <v>5122</v>
      </c>
      <c r="BQ25">
        <v>1315</v>
      </c>
      <c r="BR25">
        <v>4772</v>
      </c>
      <c r="BS25">
        <v>1461</v>
      </c>
      <c r="BT25">
        <v>10521</v>
      </c>
      <c r="BU25">
        <v>14745</v>
      </c>
      <c r="BV25">
        <v>51</v>
      </c>
      <c r="BW25">
        <v>4</v>
      </c>
      <c r="BX25">
        <v>0</v>
      </c>
      <c r="BY25">
        <v>9198</v>
      </c>
      <c r="BZ25">
        <v>5487</v>
      </c>
      <c r="CA25">
        <v>200564</v>
      </c>
    </row>
    <row r="26" spans="1:79">
      <c r="A26" t="s">
        <v>182</v>
      </c>
      <c r="B26">
        <v>8646</v>
      </c>
      <c r="C26">
        <v>114</v>
      </c>
      <c r="D26">
        <v>574</v>
      </c>
      <c r="E26">
        <v>670</v>
      </c>
      <c r="F26">
        <v>1271</v>
      </c>
      <c r="G26">
        <v>770</v>
      </c>
      <c r="H26">
        <v>1557</v>
      </c>
      <c r="I26">
        <v>306</v>
      </c>
      <c r="J26">
        <v>1185</v>
      </c>
      <c r="K26">
        <v>561</v>
      </c>
      <c r="L26">
        <v>1638</v>
      </c>
      <c r="M26">
        <v>1707</v>
      </c>
      <c r="N26">
        <v>1454</v>
      </c>
      <c r="O26">
        <v>252</v>
      </c>
      <c r="P26">
        <v>2330</v>
      </c>
      <c r="Q26">
        <v>0</v>
      </c>
      <c r="R26">
        <v>52</v>
      </c>
      <c r="S26">
        <v>128</v>
      </c>
      <c r="T26">
        <v>672</v>
      </c>
      <c r="U26">
        <v>188</v>
      </c>
      <c r="V26">
        <v>108</v>
      </c>
      <c r="W26">
        <v>197</v>
      </c>
      <c r="X26">
        <v>677</v>
      </c>
      <c r="Y26">
        <v>309</v>
      </c>
      <c r="Z26">
        <v>28843</v>
      </c>
      <c r="AA26">
        <v>43</v>
      </c>
      <c r="AB26">
        <v>26722</v>
      </c>
      <c r="AC26">
        <v>2078</v>
      </c>
      <c r="AD26">
        <v>527</v>
      </c>
      <c r="AE26">
        <v>37</v>
      </c>
      <c r="AF26">
        <v>432</v>
      </c>
      <c r="AG26">
        <v>56</v>
      </c>
      <c r="AH26">
        <v>22836</v>
      </c>
      <c r="AI26">
        <v>3385</v>
      </c>
      <c r="AJ26">
        <v>1101</v>
      </c>
      <c r="AK26">
        <v>628</v>
      </c>
      <c r="AL26">
        <v>9625</v>
      </c>
      <c r="AM26">
        <v>1837</v>
      </c>
      <c r="AN26">
        <v>1325</v>
      </c>
      <c r="AO26">
        <v>1461</v>
      </c>
      <c r="AP26">
        <v>1407</v>
      </c>
      <c r="AQ26">
        <v>2067</v>
      </c>
      <c r="AR26">
        <v>22878</v>
      </c>
      <c r="AS26">
        <v>141</v>
      </c>
      <c r="AT26">
        <v>2957</v>
      </c>
      <c r="AU26">
        <v>717</v>
      </c>
      <c r="AV26">
        <v>2835</v>
      </c>
      <c r="AW26">
        <v>2431</v>
      </c>
      <c r="AX26">
        <v>2546</v>
      </c>
      <c r="AY26">
        <v>3726</v>
      </c>
      <c r="AZ26">
        <v>2482</v>
      </c>
      <c r="BA26">
        <v>5047</v>
      </c>
      <c r="BB26">
        <v>82234</v>
      </c>
      <c r="BC26">
        <v>4256</v>
      </c>
      <c r="BD26">
        <v>6931</v>
      </c>
      <c r="BE26">
        <v>631</v>
      </c>
      <c r="BF26">
        <v>10491</v>
      </c>
      <c r="BG26">
        <v>9547</v>
      </c>
      <c r="BH26">
        <v>11418</v>
      </c>
      <c r="BI26">
        <v>10716</v>
      </c>
      <c r="BJ26">
        <v>26292</v>
      </c>
      <c r="BK26">
        <v>1953</v>
      </c>
      <c r="BL26">
        <v>27280</v>
      </c>
      <c r="BM26">
        <v>867</v>
      </c>
      <c r="BN26">
        <v>2629</v>
      </c>
      <c r="BO26">
        <v>760</v>
      </c>
      <c r="BP26">
        <v>5379</v>
      </c>
      <c r="BQ26">
        <v>1343</v>
      </c>
      <c r="BR26">
        <v>4771</v>
      </c>
      <c r="BS26">
        <v>1365</v>
      </c>
      <c r="BT26">
        <v>10164</v>
      </c>
      <c r="BU26">
        <v>13197</v>
      </c>
      <c r="BV26">
        <v>38</v>
      </c>
      <c r="BW26">
        <v>13</v>
      </c>
      <c r="BX26">
        <v>2</v>
      </c>
      <c r="BY26">
        <v>7048</v>
      </c>
      <c r="BZ26">
        <v>6099</v>
      </c>
      <c r="CA26">
        <v>210478</v>
      </c>
    </row>
    <row r="27" spans="1:79">
      <c r="A27" t="s">
        <v>183</v>
      </c>
      <c r="B27">
        <v>9250</v>
      </c>
      <c r="C27">
        <v>111</v>
      </c>
      <c r="D27">
        <v>552</v>
      </c>
      <c r="E27">
        <v>670</v>
      </c>
      <c r="F27">
        <v>1305</v>
      </c>
      <c r="G27">
        <v>804</v>
      </c>
      <c r="H27">
        <v>1842</v>
      </c>
      <c r="I27">
        <v>378</v>
      </c>
      <c r="J27">
        <v>1355</v>
      </c>
      <c r="K27">
        <v>549</v>
      </c>
      <c r="L27">
        <v>1683</v>
      </c>
      <c r="M27">
        <v>1814</v>
      </c>
      <c r="N27">
        <v>1537</v>
      </c>
      <c r="O27">
        <v>278</v>
      </c>
      <c r="P27">
        <v>2767</v>
      </c>
      <c r="Q27">
        <v>0</v>
      </c>
      <c r="R27">
        <v>46</v>
      </c>
      <c r="S27">
        <v>150</v>
      </c>
      <c r="T27">
        <v>659</v>
      </c>
      <c r="U27">
        <v>183</v>
      </c>
      <c r="V27">
        <v>114</v>
      </c>
      <c r="W27">
        <v>288</v>
      </c>
      <c r="X27">
        <v>989</v>
      </c>
      <c r="Y27">
        <v>340</v>
      </c>
      <c r="Z27">
        <v>38282</v>
      </c>
      <c r="AA27">
        <v>66</v>
      </c>
      <c r="AB27">
        <v>35795</v>
      </c>
      <c r="AC27">
        <v>2418</v>
      </c>
      <c r="AD27">
        <v>544</v>
      </c>
      <c r="AE27">
        <v>40</v>
      </c>
      <c r="AF27">
        <v>438</v>
      </c>
      <c r="AG27">
        <v>65</v>
      </c>
      <c r="AH27">
        <v>24339</v>
      </c>
      <c r="AI27">
        <v>3062</v>
      </c>
      <c r="AJ27">
        <v>1425</v>
      </c>
      <c r="AK27">
        <v>637</v>
      </c>
      <c r="AL27">
        <v>10569</v>
      </c>
      <c r="AM27">
        <v>1878</v>
      </c>
      <c r="AN27">
        <v>1614</v>
      </c>
      <c r="AO27">
        <v>1556</v>
      </c>
      <c r="AP27">
        <v>1429</v>
      </c>
      <c r="AQ27">
        <v>2176</v>
      </c>
      <c r="AR27">
        <v>24853</v>
      </c>
      <c r="AS27">
        <v>149</v>
      </c>
      <c r="AT27">
        <v>3523</v>
      </c>
      <c r="AU27">
        <v>763</v>
      </c>
      <c r="AV27">
        <v>2579</v>
      </c>
      <c r="AW27">
        <v>2472</v>
      </c>
      <c r="AX27">
        <v>2410</v>
      </c>
      <c r="AY27">
        <v>3590</v>
      </c>
      <c r="AZ27">
        <v>3254</v>
      </c>
      <c r="BA27">
        <v>6122</v>
      </c>
      <c r="BB27">
        <v>83760</v>
      </c>
      <c r="BC27">
        <v>4601</v>
      </c>
      <c r="BD27">
        <v>8450</v>
      </c>
      <c r="BE27">
        <v>682</v>
      </c>
      <c r="BF27">
        <v>10415</v>
      </c>
      <c r="BG27">
        <v>9361</v>
      </c>
      <c r="BH27">
        <v>11505</v>
      </c>
      <c r="BI27">
        <v>11284</v>
      </c>
      <c r="BJ27">
        <v>24708</v>
      </c>
      <c r="BK27">
        <v>2755</v>
      </c>
      <c r="BL27">
        <v>28094</v>
      </c>
      <c r="BM27">
        <v>1125</v>
      </c>
      <c r="BN27">
        <v>2782</v>
      </c>
      <c r="BO27">
        <v>829</v>
      </c>
      <c r="BP27">
        <v>5681</v>
      </c>
      <c r="BQ27">
        <v>1324</v>
      </c>
      <c r="BR27">
        <v>4822</v>
      </c>
      <c r="BS27">
        <v>1388</v>
      </c>
      <c r="BT27">
        <v>10147</v>
      </c>
      <c r="BU27">
        <v>13193</v>
      </c>
      <c r="BV27">
        <v>45</v>
      </c>
      <c r="BW27">
        <v>19</v>
      </c>
      <c r="BX27">
        <v>4</v>
      </c>
      <c r="BY27">
        <v>6398</v>
      </c>
      <c r="BZ27">
        <v>6728</v>
      </c>
      <c r="CA27">
        <v>226898</v>
      </c>
    </row>
    <row r="28" spans="1:79">
      <c r="A28" t="s">
        <v>184</v>
      </c>
      <c r="B28">
        <v>9598</v>
      </c>
      <c r="C28">
        <v>100</v>
      </c>
      <c r="D28">
        <v>619</v>
      </c>
      <c r="E28">
        <v>634</v>
      </c>
      <c r="F28">
        <v>1416</v>
      </c>
      <c r="G28">
        <v>849</v>
      </c>
      <c r="H28">
        <v>1804</v>
      </c>
      <c r="I28">
        <v>356</v>
      </c>
      <c r="J28">
        <v>1351</v>
      </c>
      <c r="K28">
        <v>635</v>
      </c>
      <c r="L28">
        <v>1828</v>
      </c>
      <c r="M28">
        <v>1995</v>
      </c>
      <c r="N28">
        <v>1686</v>
      </c>
      <c r="O28">
        <v>309</v>
      </c>
      <c r="P28">
        <v>2518</v>
      </c>
      <c r="Q28">
        <v>1</v>
      </c>
      <c r="R28">
        <v>58</v>
      </c>
      <c r="S28">
        <v>134</v>
      </c>
      <c r="T28">
        <v>635</v>
      </c>
      <c r="U28">
        <v>145</v>
      </c>
      <c r="V28">
        <v>91</v>
      </c>
      <c r="W28">
        <v>313</v>
      </c>
      <c r="X28">
        <v>732</v>
      </c>
      <c r="Y28">
        <v>408</v>
      </c>
      <c r="Z28">
        <v>40854</v>
      </c>
      <c r="AA28">
        <v>18</v>
      </c>
      <c r="AB28">
        <v>38217</v>
      </c>
      <c r="AC28">
        <v>2620</v>
      </c>
      <c r="AD28">
        <v>545</v>
      </c>
      <c r="AE28">
        <v>61</v>
      </c>
      <c r="AF28">
        <v>411</v>
      </c>
      <c r="AG28">
        <v>74</v>
      </c>
      <c r="AH28">
        <v>24486</v>
      </c>
      <c r="AI28">
        <v>2937</v>
      </c>
      <c r="AJ28">
        <v>1695</v>
      </c>
      <c r="AK28">
        <v>617</v>
      </c>
      <c r="AL28">
        <v>10411</v>
      </c>
      <c r="AM28">
        <v>1988</v>
      </c>
      <c r="AN28">
        <v>1649</v>
      </c>
      <c r="AO28">
        <v>1517</v>
      </c>
      <c r="AP28">
        <v>1442</v>
      </c>
      <c r="AQ28">
        <v>2232</v>
      </c>
      <c r="AR28">
        <v>25978</v>
      </c>
      <c r="AS28">
        <v>142</v>
      </c>
      <c r="AT28">
        <v>3991</v>
      </c>
      <c r="AU28">
        <v>804</v>
      </c>
      <c r="AV28">
        <v>2658</v>
      </c>
      <c r="AW28">
        <v>2501</v>
      </c>
      <c r="AX28">
        <v>2427</v>
      </c>
      <c r="AY28">
        <v>4317</v>
      </c>
      <c r="AZ28">
        <v>2538</v>
      </c>
      <c r="BA28">
        <v>6598</v>
      </c>
      <c r="BB28">
        <v>95687</v>
      </c>
      <c r="BC28">
        <v>5014</v>
      </c>
      <c r="BD28">
        <v>11748</v>
      </c>
      <c r="BE28">
        <v>702</v>
      </c>
      <c r="BF28">
        <v>12213</v>
      </c>
      <c r="BG28">
        <v>9214</v>
      </c>
      <c r="BH28">
        <v>11469</v>
      </c>
      <c r="BI28">
        <v>11303</v>
      </c>
      <c r="BJ28">
        <v>30452</v>
      </c>
      <c r="BK28">
        <v>3572</v>
      </c>
      <c r="BL28">
        <v>29103</v>
      </c>
      <c r="BM28">
        <v>1341</v>
      </c>
      <c r="BN28">
        <v>2904</v>
      </c>
      <c r="BO28">
        <v>926</v>
      </c>
      <c r="BP28">
        <v>5893</v>
      </c>
      <c r="BQ28">
        <v>1480</v>
      </c>
      <c r="BR28">
        <v>5251</v>
      </c>
      <c r="BS28">
        <v>1413</v>
      </c>
      <c r="BT28">
        <v>9896</v>
      </c>
      <c r="BU28">
        <v>11087</v>
      </c>
      <c r="BV28">
        <v>45</v>
      </c>
      <c r="BW28">
        <v>44</v>
      </c>
      <c r="BX28">
        <v>4</v>
      </c>
      <c r="BY28">
        <v>5841</v>
      </c>
      <c r="BZ28">
        <v>5154</v>
      </c>
      <c r="CA28">
        <v>241855</v>
      </c>
    </row>
    <row r="29" spans="1:79">
      <c r="A29" t="s">
        <v>185</v>
      </c>
      <c r="B29">
        <v>10637</v>
      </c>
      <c r="C29">
        <v>97</v>
      </c>
      <c r="D29">
        <v>627</v>
      </c>
      <c r="E29">
        <v>744</v>
      </c>
      <c r="F29">
        <v>1604</v>
      </c>
      <c r="G29">
        <v>1020</v>
      </c>
      <c r="H29">
        <v>1940</v>
      </c>
      <c r="I29">
        <v>379</v>
      </c>
      <c r="J29">
        <v>1430</v>
      </c>
      <c r="K29">
        <v>737</v>
      </c>
      <c r="L29">
        <v>2059</v>
      </c>
      <c r="M29">
        <v>2424</v>
      </c>
      <c r="N29">
        <v>1922</v>
      </c>
      <c r="O29">
        <v>503</v>
      </c>
      <c r="P29">
        <v>2349</v>
      </c>
      <c r="Q29">
        <v>1</v>
      </c>
      <c r="R29">
        <v>68</v>
      </c>
      <c r="S29">
        <v>105</v>
      </c>
      <c r="T29">
        <v>649</v>
      </c>
      <c r="U29">
        <v>179</v>
      </c>
      <c r="V29">
        <v>97</v>
      </c>
      <c r="W29">
        <v>278</v>
      </c>
      <c r="X29">
        <v>538</v>
      </c>
      <c r="Y29">
        <v>429</v>
      </c>
      <c r="Z29">
        <v>42161</v>
      </c>
      <c r="AA29">
        <v>37</v>
      </c>
      <c r="AB29">
        <v>39314</v>
      </c>
      <c r="AC29">
        <v>2812</v>
      </c>
      <c r="AD29">
        <v>537</v>
      </c>
      <c r="AE29">
        <v>56</v>
      </c>
      <c r="AF29">
        <v>423</v>
      </c>
      <c r="AG29">
        <v>53</v>
      </c>
      <c r="AH29">
        <v>24001</v>
      </c>
      <c r="AI29">
        <v>2260</v>
      </c>
      <c r="AJ29">
        <v>1369</v>
      </c>
      <c r="AK29">
        <v>643</v>
      </c>
      <c r="AL29">
        <v>10221</v>
      </c>
      <c r="AM29">
        <v>2219</v>
      </c>
      <c r="AN29">
        <v>1526</v>
      </c>
      <c r="AO29">
        <v>1718</v>
      </c>
      <c r="AP29">
        <v>1582</v>
      </c>
      <c r="AQ29">
        <v>2462</v>
      </c>
      <c r="AR29">
        <v>26623</v>
      </c>
      <c r="AS29">
        <v>145</v>
      </c>
      <c r="AT29">
        <v>3616</v>
      </c>
      <c r="AU29">
        <v>864</v>
      </c>
      <c r="AV29">
        <v>2689</v>
      </c>
      <c r="AW29">
        <v>2716</v>
      </c>
      <c r="AX29">
        <v>2674</v>
      </c>
      <c r="AY29">
        <v>3591</v>
      </c>
      <c r="AZ29">
        <v>2628</v>
      </c>
      <c r="BA29">
        <v>7695</v>
      </c>
      <c r="BB29">
        <v>91667</v>
      </c>
      <c r="BC29">
        <v>4669</v>
      </c>
      <c r="BD29">
        <v>7641</v>
      </c>
      <c r="BE29">
        <v>555</v>
      </c>
      <c r="BF29">
        <v>14510</v>
      </c>
      <c r="BG29">
        <v>9358</v>
      </c>
      <c r="BH29">
        <v>11560</v>
      </c>
      <c r="BI29">
        <v>11343</v>
      </c>
      <c r="BJ29">
        <v>29669</v>
      </c>
      <c r="BK29">
        <v>2361</v>
      </c>
      <c r="BL29">
        <v>31223</v>
      </c>
      <c r="BM29">
        <v>1401</v>
      </c>
      <c r="BN29">
        <v>3177</v>
      </c>
      <c r="BO29">
        <v>1062</v>
      </c>
      <c r="BP29">
        <v>6509</v>
      </c>
      <c r="BQ29">
        <v>1611</v>
      </c>
      <c r="BR29">
        <v>5245</v>
      </c>
      <c r="BS29">
        <v>1522</v>
      </c>
      <c r="BT29">
        <v>10695</v>
      </c>
      <c r="BU29">
        <v>9406</v>
      </c>
      <c r="BV29">
        <v>18</v>
      </c>
      <c r="BW29">
        <v>47</v>
      </c>
      <c r="BX29">
        <v>8</v>
      </c>
      <c r="BY29">
        <v>4796</v>
      </c>
      <c r="BZ29">
        <v>4543</v>
      </c>
      <c r="CA29">
        <v>241024</v>
      </c>
    </row>
    <row r="30" spans="1:79">
      <c r="A30" t="s">
        <v>186</v>
      </c>
      <c r="B30">
        <v>12141</v>
      </c>
      <c r="C30">
        <v>108</v>
      </c>
      <c r="D30">
        <v>727</v>
      </c>
      <c r="E30">
        <v>896</v>
      </c>
      <c r="F30">
        <v>1805</v>
      </c>
      <c r="G30">
        <v>1131</v>
      </c>
      <c r="H30">
        <v>2260</v>
      </c>
      <c r="I30">
        <v>449</v>
      </c>
      <c r="J30">
        <v>1690</v>
      </c>
      <c r="K30">
        <v>805</v>
      </c>
      <c r="L30">
        <v>2265</v>
      </c>
      <c r="M30">
        <v>2732</v>
      </c>
      <c r="N30">
        <v>2027</v>
      </c>
      <c r="O30">
        <v>708</v>
      </c>
      <c r="P30">
        <v>2917</v>
      </c>
      <c r="Q30">
        <v>2</v>
      </c>
      <c r="R30">
        <v>94</v>
      </c>
      <c r="S30">
        <v>112</v>
      </c>
      <c r="T30">
        <v>800</v>
      </c>
      <c r="U30">
        <v>215</v>
      </c>
      <c r="V30">
        <v>102</v>
      </c>
      <c r="W30">
        <v>335</v>
      </c>
      <c r="X30">
        <v>758</v>
      </c>
      <c r="Y30">
        <v>497</v>
      </c>
      <c r="Z30">
        <v>39807</v>
      </c>
      <c r="AA30">
        <v>56</v>
      </c>
      <c r="AB30">
        <v>39423</v>
      </c>
      <c r="AC30">
        <v>326</v>
      </c>
      <c r="AD30">
        <v>606</v>
      </c>
      <c r="AE30">
        <v>59</v>
      </c>
      <c r="AF30">
        <v>503</v>
      </c>
      <c r="AG30">
        <v>47</v>
      </c>
      <c r="AH30">
        <v>25159</v>
      </c>
      <c r="AI30">
        <v>2372</v>
      </c>
      <c r="AJ30">
        <v>1475</v>
      </c>
      <c r="AK30">
        <v>699</v>
      </c>
      <c r="AL30">
        <v>9923</v>
      </c>
      <c r="AM30">
        <v>2434</v>
      </c>
      <c r="AN30">
        <v>1763</v>
      </c>
      <c r="AO30">
        <v>1908</v>
      </c>
      <c r="AP30">
        <v>1729</v>
      </c>
      <c r="AQ30">
        <v>2857</v>
      </c>
      <c r="AR30">
        <v>28807</v>
      </c>
      <c r="AS30">
        <v>176</v>
      </c>
      <c r="AT30">
        <v>3425</v>
      </c>
      <c r="AU30">
        <v>1050</v>
      </c>
      <c r="AV30">
        <v>2892</v>
      </c>
      <c r="AW30">
        <v>3016</v>
      </c>
      <c r="AX30">
        <v>3200</v>
      </c>
      <c r="AY30">
        <v>4439</v>
      </c>
      <c r="AZ30">
        <v>3032</v>
      </c>
      <c r="BA30">
        <v>7580</v>
      </c>
      <c r="BB30">
        <v>94960</v>
      </c>
      <c r="BC30">
        <v>4889</v>
      </c>
      <c r="BD30">
        <v>7087</v>
      </c>
      <c r="BE30">
        <v>546</v>
      </c>
      <c r="BF30">
        <v>16643</v>
      </c>
      <c r="BG30">
        <v>9877</v>
      </c>
      <c r="BH30">
        <v>12366</v>
      </c>
      <c r="BI30">
        <v>12018</v>
      </c>
      <c r="BJ30">
        <v>28533</v>
      </c>
      <c r="BK30">
        <v>3003</v>
      </c>
      <c r="BL30">
        <v>34800</v>
      </c>
      <c r="BM30">
        <v>1425</v>
      </c>
      <c r="BN30">
        <v>3625</v>
      </c>
      <c r="BO30">
        <v>1177</v>
      </c>
      <c r="BP30">
        <v>7251</v>
      </c>
      <c r="BQ30">
        <v>1781</v>
      </c>
      <c r="BR30">
        <v>5968</v>
      </c>
      <c r="BS30">
        <v>1716</v>
      </c>
      <c r="BT30">
        <v>11859</v>
      </c>
      <c r="BU30">
        <v>10846</v>
      </c>
      <c r="BV30">
        <v>8</v>
      </c>
      <c r="BW30">
        <v>44</v>
      </c>
      <c r="BX30">
        <v>1</v>
      </c>
      <c r="BY30">
        <v>4004</v>
      </c>
      <c r="BZ30">
        <v>6784</v>
      </c>
      <c r="CA30">
        <v>252778</v>
      </c>
    </row>
    <row r="31" spans="1:79">
      <c r="A31" t="s">
        <v>187</v>
      </c>
      <c r="B31">
        <v>13523</v>
      </c>
      <c r="C31">
        <v>99</v>
      </c>
      <c r="D31">
        <v>810</v>
      </c>
      <c r="E31">
        <v>955</v>
      </c>
      <c r="F31">
        <v>1772</v>
      </c>
      <c r="G31">
        <v>1271</v>
      </c>
      <c r="H31">
        <v>2535</v>
      </c>
      <c r="I31">
        <v>513</v>
      </c>
      <c r="J31">
        <v>2051</v>
      </c>
      <c r="K31">
        <v>857</v>
      </c>
      <c r="L31">
        <v>2656</v>
      </c>
      <c r="M31">
        <v>3205</v>
      </c>
      <c r="N31">
        <v>2244</v>
      </c>
      <c r="O31">
        <v>964</v>
      </c>
      <c r="P31">
        <v>3217</v>
      </c>
      <c r="Q31">
        <v>5</v>
      </c>
      <c r="R31">
        <v>105</v>
      </c>
      <c r="S31">
        <v>106</v>
      </c>
      <c r="T31">
        <v>881</v>
      </c>
      <c r="U31">
        <v>232</v>
      </c>
      <c r="V31">
        <v>106</v>
      </c>
      <c r="W31">
        <v>361</v>
      </c>
      <c r="X31">
        <v>837</v>
      </c>
      <c r="Y31">
        <v>582</v>
      </c>
      <c r="Z31">
        <v>28851</v>
      </c>
      <c r="AA31">
        <v>68</v>
      </c>
      <c r="AB31">
        <v>28513</v>
      </c>
      <c r="AC31">
        <v>269</v>
      </c>
      <c r="AD31">
        <v>655</v>
      </c>
      <c r="AE31">
        <v>81</v>
      </c>
      <c r="AF31">
        <v>528</v>
      </c>
      <c r="AG31">
        <v>46</v>
      </c>
      <c r="AH31">
        <v>27192</v>
      </c>
      <c r="AI31">
        <v>2672</v>
      </c>
      <c r="AJ31">
        <v>1662</v>
      </c>
      <c r="AK31">
        <v>895</v>
      </c>
      <c r="AL31">
        <v>10335</v>
      </c>
      <c r="AM31">
        <v>2916</v>
      </c>
      <c r="AN31">
        <v>1865</v>
      </c>
      <c r="AO31">
        <v>1964</v>
      </c>
      <c r="AP31">
        <v>1977</v>
      </c>
      <c r="AQ31">
        <v>2902</v>
      </c>
      <c r="AR31">
        <v>32521</v>
      </c>
      <c r="AS31">
        <v>214</v>
      </c>
      <c r="AT31">
        <v>3483</v>
      </c>
      <c r="AU31">
        <v>1250</v>
      </c>
      <c r="AV31">
        <v>3114</v>
      </c>
      <c r="AW31">
        <v>3602</v>
      </c>
      <c r="AX31">
        <v>3670</v>
      </c>
      <c r="AY31">
        <v>5041</v>
      </c>
      <c r="AZ31">
        <v>3025</v>
      </c>
      <c r="BA31">
        <v>9127</v>
      </c>
      <c r="BB31">
        <v>106113</v>
      </c>
      <c r="BC31">
        <v>4517</v>
      </c>
      <c r="BD31">
        <v>9391</v>
      </c>
      <c r="BE31">
        <v>563</v>
      </c>
      <c r="BF31">
        <v>17025</v>
      </c>
      <c r="BG31">
        <v>11278</v>
      </c>
      <c r="BH31">
        <v>14511</v>
      </c>
      <c r="BI31">
        <v>13478</v>
      </c>
      <c r="BJ31">
        <v>32660</v>
      </c>
      <c r="BK31">
        <v>2688</v>
      </c>
      <c r="BL31">
        <v>40375</v>
      </c>
      <c r="BM31">
        <v>1685</v>
      </c>
      <c r="BN31">
        <v>4337</v>
      </c>
      <c r="BO31">
        <v>1405</v>
      </c>
      <c r="BP31">
        <v>8808</v>
      </c>
      <c r="BQ31">
        <v>2219</v>
      </c>
      <c r="BR31">
        <v>6594</v>
      </c>
      <c r="BS31">
        <v>2081</v>
      </c>
      <c r="BT31">
        <v>13248</v>
      </c>
      <c r="BU31">
        <v>11424</v>
      </c>
      <c r="BV31">
        <v>5</v>
      </c>
      <c r="BW31">
        <v>47</v>
      </c>
      <c r="BX31">
        <v>5</v>
      </c>
      <c r="BY31">
        <v>4456</v>
      </c>
      <c r="BZ31">
        <v>6909</v>
      </c>
      <c r="CA31">
        <v>267074</v>
      </c>
    </row>
    <row r="32" spans="1:79">
      <c r="A32" t="s">
        <v>188</v>
      </c>
      <c r="B32">
        <v>13977</v>
      </c>
      <c r="C32">
        <v>121</v>
      </c>
      <c r="D32">
        <v>780</v>
      </c>
      <c r="E32">
        <v>1075</v>
      </c>
      <c r="F32">
        <v>1852</v>
      </c>
      <c r="G32">
        <v>1265</v>
      </c>
      <c r="H32">
        <v>2601</v>
      </c>
      <c r="I32">
        <v>483</v>
      </c>
      <c r="J32">
        <v>1975</v>
      </c>
      <c r="K32">
        <v>919</v>
      </c>
      <c r="L32">
        <v>2908</v>
      </c>
      <c r="M32">
        <v>3271</v>
      </c>
      <c r="N32">
        <v>2241</v>
      </c>
      <c r="O32">
        <v>1027</v>
      </c>
      <c r="P32">
        <v>3206</v>
      </c>
      <c r="Q32">
        <v>5</v>
      </c>
      <c r="R32">
        <v>88</v>
      </c>
      <c r="S32">
        <v>102</v>
      </c>
      <c r="T32">
        <v>816</v>
      </c>
      <c r="U32">
        <v>212</v>
      </c>
      <c r="V32">
        <v>99</v>
      </c>
      <c r="W32">
        <v>311</v>
      </c>
      <c r="X32">
        <v>1017</v>
      </c>
      <c r="Y32">
        <v>551</v>
      </c>
      <c r="Z32">
        <v>23604</v>
      </c>
      <c r="AA32">
        <v>51</v>
      </c>
      <c r="AB32">
        <v>23315</v>
      </c>
      <c r="AC32">
        <v>238</v>
      </c>
      <c r="AD32">
        <v>700</v>
      </c>
      <c r="AE32">
        <v>61</v>
      </c>
      <c r="AF32">
        <v>596</v>
      </c>
      <c r="AG32">
        <v>44</v>
      </c>
      <c r="AH32">
        <v>27705</v>
      </c>
      <c r="AI32">
        <v>2410</v>
      </c>
      <c r="AJ32">
        <v>1567</v>
      </c>
      <c r="AK32">
        <v>997</v>
      </c>
      <c r="AL32">
        <v>11226</v>
      </c>
      <c r="AM32">
        <v>2938</v>
      </c>
      <c r="AN32">
        <v>1682</v>
      </c>
      <c r="AO32">
        <v>1958</v>
      </c>
      <c r="AP32">
        <v>1947</v>
      </c>
      <c r="AQ32">
        <v>2978</v>
      </c>
      <c r="AR32">
        <v>28223</v>
      </c>
      <c r="AS32">
        <v>164</v>
      </c>
      <c r="AT32">
        <v>3399</v>
      </c>
      <c r="AU32">
        <v>1305</v>
      </c>
      <c r="AV32">
        <v>2999</v>
      </c>
      <c r="AW32">
        <v>3577</v>
      </c>
      <c r="AX32">
        <v>3847</v>
      </c>
      <c r="AY32">
        <v>2532</v>
      </c>
      <c r="AZ32">
        <v>2691</v>
      </c>
      <c r="BA32">
        <v>7710</v>
      </c>
      <c r="BB32">
        <v>103332</v>
      </c>
      <c r="BC32">
        <v>4429</v>
      </c>
      <c r="BD32">
        <v>7665</v>
      </c>
      <c r="BE32">
        <v>595</v>
      </c>
      <c r="BF32">
        <v>14478</v>
      </c>
      <c r="BG32">
        <v>9773</v>
      </c>
      <c r="BH32">
        <v>14598</v>
      </c>
      <c r="BI32">
        <v>13089</v>
      </c>
      <c r="BJ32">
        <v>34412</v>
      </c>
      <c r="BK32">
        <v>4295</v>
      </c>
      <c r="BL32">
        <v>40365</v>
      </c>
      <c r="BM32">
        <v>1661</v>
      </c>
      <c r="BN32">
        <v>4276</v>
      </c>
      <c r="BO32">
        <v>1462</v>
      </c>
      <c r="BP32">
        <v>8611</v>
      </c>
      <c r="BQ32">
        <v>2202</v>
      </c>
      <c r="BR32">
        <v>6756</v>
      </c>
      <c r="BS32">
        <v>1853</v>
      </c>
      <c r="BT32">
        <v>13547</v>
      </c>
      <c r="BU32">
        <v>9962</v>
      </c>
      <c r="BV32">
        <v>4</v>
      </c>
      <c r="BW32">
        <v>41</v>
      </c>
      <c r="BX32">
        <v>7</v>
      </c>
      <c r="BY32">
        <v>7468</v>
      </c>
      <c r="BZ32">
        <v>2440</v>
      </c>
      <c r="CA32">
        <v>254345</v>
      </c>
    </row>
    <row r="33" spans="1:79">
      <c r="A33" t="s">
        <v>189</v>
      </c>
      <c r="B33">
        <v>14304</v>
      </c>
      <c r="C33">
        <v>155</v>
      </c>
      <c r="D33">
        <v>833</v>
      </c>
      <c r="E33">
        <v>1321</v>
      </c>
      <c r="F33">
        <v>1950</v>
      </c>
      <c r="G33">
        <v>1309</v>
      </c>
      <c r="H33">
        <v>2684</v>
      </c>
      <c r="I33">
        <v>460</v>
      </c>
      <c r="J33">
        <v>2057</v>
      </c>
      <c r="K33">
        <v>939</v>
      </c>
      <c r="L33">
        <v>2593</v>
      </c>
      <c r="M33">
        <v>3285</v>
      </c>
      <c r="N33">
        <v>2280</v>
      </c>
      <c r="O33">
        <v>1006</v>
      </c>
      <c r="P33">
        <v>3544</v>
      </c>
      <c r="Q33">
        <v>3</v>
      </c>
      <c r="R33">
        <v>111</v>
      </c>
      <c r="S33">
        <v>165</v>
      </c>
      <c r="T33">
        <v>836</v>
      </c>
      <c r="U33">
        <v>232</v>
      </c>
      <c r="V33">
        <v>91</v>
      </c>
      <c r="W33">
        <v>286</v>
      </c>
      <c r="X33">
        <v>1221</v>
      </c>
      <c r="Y33">
        <v>597</v>
      </c>
      <c r="Z33">
        <v>29805</v>
      </c>
      <c r="AA33">
        <v>139</v>
      </c>
      <c r="AB33">
        <v>29365</v>
      </c>
      <c r="AC33">
        <v>303</v>
      </c>
      <c r="AD33">
        <v>702</v>
      </c>
      <c r="AE33">
        <v>56</v>
      </c>
      <c r="AF33">
        <v>591</v>
      </c>
      <c r="AG33">
        <v>53</v>
      </c>
      <c r="AH33">
        <v>28054</v>
      </c>
      <c r="AI33">
        <v>2363</v>
      </c>
      <c r="AJ33">
        <v>1578</v>
      </c>
      <c r="AK33">
        <v>1019</v>
      </c>
      <c r="AL33">
        <v>11138</v>
      </c>
      <c r="AM33">
        <v>3084</v>
      </c>
      <c r="AN33">
        <v>1640</v>
      </c>
      <c r="AO33">
        <v>2109</v>
      </c>
      <c r="AP33">
        <v>1994</v>
      </c>
      <c r="AQ33">
        <v>3131</v>
      </c>
      <c r="AR33">
        <v>28701</v>
      </c>
      <c r="AS33">
        <v>160</v>
      </c>
      <c r="AT33">
        <v>3580</v>
      </c>
      <c r="AU33">
        <v>1408</v>
      </c>
      <c r="AV33">
        <v>2935</v>
      </c>
      <c r="AW33">
        <v>3604</v>
      </c>
      <c r="AX33">
        <v>3794</v>
      </c>
      <c r="AY33">
        <v>3059</v>
      </c>
      <c r="AZ33">
        <v>2479</v>
      </c>
      <c r="BA33">
        <v>7685</v>
      </c>
      <c r="BB33">
        <v>117933</v>
      </c>
      <c r="BC33">
        <v>4763</v>
      </c>
      <c r="BD33">
        <v>8870</v>
      </c>
      <c r="BE33">
        <v>639</v>
      </c>
      <c r="BF33">
        <v>13380</v>
      </c>
      <c r="BG33">
        <v>10489</v>
      </c>
      <c r="BH33">
        <v>15584</v>
      </c>
      <c r="BI33">
        <v>14637</v>
      </c>
      <c r="BJ33">
        <v>37308</v>
      </c>
      <c r="BK33">
        <v>12266</v>
      </c>
      <c r="BL33">
        <v>40571</v>
      </c>
      <c r="BM33">
        <v>1629</v>
      </c>
      <c r="BN33">
        <v>4256</v>
      </c>
      <c r="BO33">
        <v>1537</v>
      </c>
      <c r="BP33">
        <v>8736</v>
      </c>
      <c r="BQ33">
        <v>2177</v>
      </c>
      <c r="BR33">
        <v>6544</v>
      </c>
      <c r="BS33">
        <v>1821</v>
      </c>
      <c r="BT33">
        <v>13867</v>
      </c>
      <c r="BU33">
        <v>21397</v>
      </c>
      <c r="BV33">
        <v>12</v>
      </c>
      <c r="BW33">
        <v>21</v>
      </c>
      <c r="BX33">
        <v>3</v>
      </c>
      <c r="BY33">
        <v>6220</v>
      </c>
      <c r="BZ33">
        <v>15140</v>
      </c>
      <c r="CA33">
        <v>288291</v>
      </c>
    </row>
    <row r="34" spans="1:79">
      <c r="A34" t="s">
        <v>190</v>
      </c>
      <c r="B34">
        <v>15132</v>
      </c>
      <c r="C34">
        <v>168</v>
      </c>
      <c r="D34">
        <v>822</v>
      </c>
      <c r="E34">
        <v>1420</v>
      </c>
      <c r="F34">
        <v>2013</v>
      </c>
      <c r="G34">
        <v>1479</v>
      </c>
      <c r="H34">
        <v>2647</v>
      </c>
      <c r="I34">
        <v>483</v>
      </c>
      <c r="J34">
        <v>2031</v>
      </c>
      <c r="K34">
        <v>1100</v>
      </c>
      <c r="L34">
        <v>2970</v>
      </c>
      <c r="M34">
        <v>3541</v>
      </c>
      <c r="N34">
        <v>2480</v>
      </c>
      <c r="O34">
        <v>1063</v>
      </c>
      <c r="P34">
        <v>3985</v>
      </c>
      <c r="Q34">
        <v>2</v>
      </c>
      <c r="R34">
        <v>115</v>
      </c>
      <c r="S34">
        <v>160</v>
      </c>
      <c r="T34">
        <v>1041</v>
      </c>
      <c r="U34">
        <v>284</v>
      </c>
      <c r="V34">
        <v>99</v>
      </c>
      <c r="W34">
        <v>316</v>
      </c>
      <c r="X34">
        <v>1306</v>
      </c>
      <c r="Y34">
        <v>662</v>
      </c>
      <c r="Z34">
        <v>40512</v>
      </c>
      <c r="AA34">
        <v>178</v>
      </c>
      <c r="AB34">
        <v>39947</v>
      </c>
      <c r="AC34">
        <v>390</v>
      </c>
      <c r="AD34">
        <v>756</v>
      </c>
      <c r="AE34">
        <v>70</v>
      </c>
      <c r="AF34">
        <v>627</v>
      </c>
      <c r="AG34">
        <v>54</v>
      </c>
      <c r="AH34">
        <v>29837</v>
      </c>
      <c r="AI34">
        <v>2507</v>
      </c>
      <c r="AJ34">
        <v>1107</v>
      </c>
      <c r="AK34">
        <v>1111</v>
      </c>
      <c r="AL34">
        <v>11782</v>
      </c>
      <c r="AM34">
        <v>3595</v>
      </c>
      <c r="AN34">
        <v>1915</v>
      </c>
      <c r="AO34">
        <v>2460</v>
      </c>
      <c r="AP34">
        <v>2196</v>
      </c>
      <c r="AQ34">
        <v>3161</v>
      </c>
      <c r="AR34">
        <v>32443</v>
      </c>
      <c r="AS34">
        <v>154</v>
      </c>
      <c r="AT34">
        <v>3966</v>
      </c>
      <c r="AU34">
        <v>1596</v>
      </c>
      <c r="AV34">
        <v>3163</v>
      </c>
      <c r="AW34">
        <v>3816</v>
      </c>
      <c r="AX34">
        <v>4038</v>
      </c>
      <c r="AY34">
        <v>3901</v>
      </c>
      <c r="AZ34">
        <v>2775</v>
      </c>
      <c r="BA34">
        <v>9039</v>
      </c>
      <c r="BB34">
        <v>121404</v>
      </c>
      <c r="BC34">
        <v>5936</v>
      </c>
      <c r="BD34">
        <v>10484</v>
      </c>
      <c r="BE34">
        <v>751</v>
      </c>
      <c r="BF34">
        <v>14952</v>
      </c>
      <c r="BG34">
        <v>11907</v>
      </c>
      <c r="BH34">
        <v>17166</v>
      </c>
      <c r="BI34">
        <v>16823</v>
      </c>
      <c r="BJ34">
        <v>39091</v>
      </c>
      <c r="BK34">
        <v>4294</v>
      </c>
      <c r="BL34">
        <v>44299</v>
      </c>
      <c r="BM34">
        <v>1789</v>
      </c>
      <c r="BN34">
        <v>4874</v>
      </c>
      <c r="BO34">
        <v>1843</v>
      </c>
      <c r="BP34">
        <v>9479</v>
      </c>
      <c r="BQ34">
        <v>2324</v>
      </c>
      <c r="BR34">
        <v>7364</v>
      </c>
      <c r="BS34">
        <v>1934</v>
      </c>
      <c r="BT34">
        <v>14691</v>
      </c>
      <c r="BU34">
        <v>12140</v>
      </c>
      <c r="BV34">
        <v>5</v>
      </c>
      <c r="BW34">
        <v>30</v>
      </c>
      <c r="BX34">
        <v>7</v>
      </c>
      <c r="BY34">
        <v>6385</v>
      </c>
      <c r="BZ34">
        <v>5711</v>
      </c>
      <c r="CA34">
        <v>304050</v>
      </c>
    </row>
    <row r="35" spans="1:79">
      <c r="A35" t="s">
        <v>191</v>
      </c>
      <c r="B35">
        <v>16938</v>
      </c>
      <c r="C35">
        <v>145</v>
      </c>
      <c r="D35">
        <v>1029</v>
      </c>
      <c r="E35">
        <v>1477</v>
      </c>
      <c r="F35">
        <v>2034</v>
      </c>
      <c r="G35">
        <v>1916</v>
      </c>
      <c r="H35">
        <v>2806</v>
      </c>
      <c r="I35">
        <v>485</v>
      </c>
      <c r="J35">
        <v>2131</v>
      </c>
      <c r="K35">
        <v>1238</v>
      </c>
      <c r="L35">
        <v>3678</v>
      </c>
      <c r="M35">
        <v>3798</v>
      </c>
      <c r="N35">
        <v>2688</v>
      </c>
      <c r="O35">
        <v>1113</v>
      </c>
      <c r="P35">
        <v>3138</v>
      </c>
      <c r="Q35">
        <v>7</v>
      </c>
      <c r="R35">
        <v>127</v>
      </c>
      <c r="S35">
        <v>147</v>
      </c>
      <c r="T35">
        <v>801</v>
      </c>
      <c r="U35">
        <v>260</v>
      </c>
      <c r="V35">
        <v>98</v>
      </c>
      <c r="W35">
        <v>286</v>
      </c>
      <c r="X35">
        <v>744</v>
      </c>
      <c r="Y35">
        <v>665</v>
      </c>
      <c r="Z35">
        <v>38794</v>
      </c>
      <c r="AA35">
        <v>203</v>
      </c>
      <c r="AB35">
        <v>38357</v>
      </c>
      <c r="AC35">
        <v>236</v>
      </c>
      <c r="AD35">
        <v>725</v>
      </c>
      <c r="AE35">
        <v>83</v>
      </c>
      <c r="AF35">
        <v>579</v>
      </c>
      <c r="AG35">
        <v>64</v>
      </c>
      <c r="AH35">
        <v>31024</v>
      </c>
      <c r="AI35">
        <v>2260</v>
      </c>
      <c r="AJ35">
        <v>1031</v>
      </c>
      <c r="AK35">
        <v>1084</v>
      </c>
      <c r="AL35">
        <v>13112</v>
      </c>
      <c r="AM35">
        <v>3865</v>
      </c>
      <c r="AN35">
        <v>2150</v>
      </c>
      <c r="AO35">
        <v>2211</v>
      </c>
      <c r="AP35">
        <v>2226</v>
      </c>
      <c r="AQ35">
        <v>3090</v>
      </c>
      <c r="AR35">
        <v>32286</v>
      </c>
      <c r="AS35">
        <v>143</v>
      </c>
      <c r="AT35">
        <v>4242</v>
      </c>
      <c r="AU35">
        <v>1517</v>
      </c>
      <c r="AV35">
        <v>3336</v>
      </c>
      <c r="AW35">
        <v>3834</v>
      </c>
      <c r="AX35">
        <v>4110</v>
      </c>
      <c r="AY35">
        <v>3271</v>
      </c>
      <c r="AZ35">
        <v>2874</v>
      </c>
      <c r="BA35">
        <v>8957</v>
      </c>
      <c r="BB35">
        <v>123286</v>
      </c>
      <c r="BC35">
        <v>6310</v>
      </c>
      <c r="BD35">
        <v>10688</v>
      </c>
      <c r="BE35">
        <v>864</v>
      </c>
      <c r="BF35">
        <v>15646</v>
      </c>
      <c r="BG35">
        <v>11737</v>
      </c>
      <c r="BH35">
        <v>17648</v>
      </c>
      <c r="BI35">
        <v>17451</v>
      </c>
      <c r="BJ35">
        <v>37286</v>
      </c>
      <c r="BK35">
        <v>5660</v>
      </c>
      <c r="BL35">
        <v>46308</v>
      </c>
      <c r="BM35">
        <v>1742</v>
      </c>
      <c r="BN35">
        <v>4983</v>
      </c>
      <c r="BO35">
        <v>1886</v>
      </c>
      <c r="BP35">
        <v>10205</v>
      </c>
      <c r="BQ35">
        <v>2564</v>
      </c>
      <c r="BR35">
        <v>7726</v>
      </c>
      <c r="BS35">
        <v>2078</v>
      </c>
      <c r="BT35">
        <v>15133</v>
      </c>
      <c r="BU35">
        <v>11251</v>
      </c>
      <c r="BV35">
        <v>5</v>
      </c>
      <c r="BW35">
        <v>33</v>
      </c>
      <c r="BX35">
        <v>2</v>
      </c>
      <c r="BY35">
        <v>6772</v>
      </c>
      <c r="BZ35">
        <v>4434</v>
      </c>
      <c r="CA35">
        <v>307549</v>
      </c>
    </row>
    <row r="36" spans="1:79">
      <c r="A36" t="s">
        <v>192</v>
      </c>
      <c r="B36">
        <v>17607</v>
      </c>
      <c r="C36">
        <v>157</v>
      </c>
      <c r="D36">
        <v>905</v>
      </c>
      <c r="E36">
        <v>1589</v>
      </c>
      <c r="F36">
        <v>1882</v>
      </c>
      <c r="G36">
        <v>2088</v>
      </c>
      <c r="H36">
        <v>3107</v>
      </c>
      <c r="I36">
        <v>489</v>
      </c>
      <c r="J36">
        <v>2208</v>
      </c>
      <c r="K36">
        <v>1355</v>
      </c>
      <c r="L36">
        <v>3824</v>
      </c>
      <c r="M36">
        <v>3475</v>
      </c>
      <c r="N36">
        <v>2585</v>
      </c>
      <c r="O36">
        <v>891</v>
      </c>
      <c r="P36">
        <v>3257</v>
      </c>
      <c r="Q36">
        <v>7</v>
      </c>
      <c r="R36">
        <v>141</v>
      </c>
      <c r="S36">
        <v>122</v>
      </c>
      <c r="T36">
        <v>801</v>
      </c>
      <c r="U36">
        <v>240</v>
      </c>
      <c r="V36">
        <v>97</v>
      </c>
      <c r="W36">
        <v>298</v>
      </c>
      <c r="X36">
        <v>870</v>
      </c>
      <c r="Y36">
        <v>686</v>
      </c>
      <c r="Z36">
        <v>23108</v>
      </c>
      <c r="AA36">
        <v>148</v>
      </c>
      <c r="AB36">
        <v>22720</v>
      </c>
      <c r="AC36">
        <v>242</v>
      </c>
      <c r="AD36">
        <v>766</v>
      </c>
      <c r="AE36">
        <v>85</v>
      </c>
      <c r="AF36">
        <v>627</v>
      </c>
      <c r="AG36">
        <v>55</v>
      </c>
      <c r="AH36">
        <v>33291</v>
      </c>
      <c r="AI36">
        <v>2668</v>
      </c>
      <c r="AJ36">
        <v>1043</v>
      </c>
      <c r="AK36">
        <v>1084</v>
      </c>
      <c r="AL36">
        <v>13802</v>
      </c>
      <c r="AM36">
        <v>3970</v>
      </c>
      <c r="AN36">
        <v>2122</v>
      </c>
      <c r="AO36">
        <v>2138</v>
      </c>
      <c r="AP36">
        <v>2294</v>
      </c>
      <c r="AQ36">
        <v>4167</v>
      </c>
      <c r="AR36">
        <v>34399</v>
      </c>
      <c r="AS36">
        <v>135</v>
      </c>
      <c r="AT36">
        <v>4089</v>
      </c>
      <c r="AU36">
        <v>1419</v>
      </c>
      <c r="AV36">
        <v>3274</v>
      </c>
      <c r="AW36">
        <v>5896</v>
      </c>
      <c r="AX36">
        <v>3869</v>
      </c>
      <c r="AY36">
        <v>3134</v>
      </c>
      <c r="AZ36">
        <v>3596</v>
      </c>
      <c r="BA36">
        <v>8988</v>
      </c>
      <c r="BB36">
        <v>119746</v>
      </c>
      <c r="BC36">
        <v>5691</v>
      </c>
      <c r="BD36">
        <v>10600</v>
      </c>
      <c r="BE36">
        <v>751</v>
      </c>
      <c r="BF36">
        <v>15673</v>
      </c>
      <c r="BG36">
        <v>12455</v>
      </c>
      <c r="BH36">
        <v>17588</v>
      </c>
      <c r="BI36">
        <v>17885</v>
      </c>
      <c r="BJ36">
        <v>33502</v>
      </c>
      <c r="BK36">
        <v>5595</v>
      </c>
      <c r="BL36">
        <v>46038</v>
      </c>
      <c r="BM36">
        <v>1726</v>
      </c>
      <c r="BN36">
        <v>5224</v>
      </c>
      <c r="BO36">
        <v>1512</v>
      </c>
      <c r="BP36">
        <v>10186</v>
      </c>
      <c r="BQ36">
        <v>2107</v>
      </c>
      <c r="BR36">
        <v>7758</v>
      </c>
      <c r="BS36">
        <v>1879</v>
      </c>
      <c r="BT36">
        <v>15649</v>
      </c>
      <c r="BU36">
        <v>11914</v>
      </c>
      <c r="BV36">
        <v>2</v>
      </c>
      <c r="BW36">
        <v>60</v>
      </c>
      <c r="BX36">
        <v>12</v>
      </c>
      <c r="BY36">
        <v>9208</v>
      </c>
      <c r="BZ36">
        <v>2632</v>
      </c>
      <c r="CA36">
        <v>293603</v>
      </c>
    </row>
    <row r="37" spans="1:79">
      <c r="A37" t="s">
        <v>193</v>
      </c>
      <c r="B37">
        <v>16410</v>
      </c>
      <c r="C37">
        <v>156</v>
      </c>
      <c r="D37">
        <v>966</v>
      </c>
      <c r="E37">
        <v>1438</v>
      </c>
      <c r="F37">
        <v>1874</v>
      </c>
      <c r="G37">
        <v>1727</v>
      </c>
      <c r="H37">
        <v>2837</v>
      </c>
      <c r="I37">
        <v>491</v>
      </c>
      <c r="J37">
        <v>2164</v>
      </c>
      <c r="K37">
        <v>1220</v>
      </c>
      <c r="L37">
        <v>3535</v>
      </c>
      <c r="M37">
        <v>3449</v>
      </c>
      <c r="N37">
        <v>2744</v>
      </c>
      <c r="O37">
        <v>704</v>
      </c>
      <c r="P37">
        <v>4247</v>
      </c>
      <c r="Q37">
        <v>2</v>
      </c>
      <c r="R37">
        <v>102</v>
      </c>
      <c r="S37">
        <v>134</v>
      </c>
      <c r="T37">
        <v>1051</v>
      </c>
      <c r="U37">
        <v>281</v>
      </c>
      <c r="V37">
        <v>115</v>
      </c>
      <c r="W37">
        <v>426</v>
      </c>
      <c r="X37">
        <v>1425</v>
      </c>
      <c r="Y37">
        <v>712</v>
      </c>
      <c r="Z37">
        <v>34552</v>
      </c>
      <c r="AA37">
        <v>200</v>
      </c>
      <c r="AB37">
        <v>34044</v>
      </c>
      <c r="AC37">
        <v>310</v>
      </c>
      <c r="AD37">
        <v>831</v>
      </c>
      <c r="AE37">
        <v>90</v>
      </c>
      <c r="AF37">
        <v>680</v>
      </c>
      <c r="AG37">
        <v>61</v>
      </c>
      <c r="AH37">
        <v>37021</v>
      </c>
      <c r="AI37">
        <v>3051</v>
      </c>
      <c r="AJ37">
        <v>1286</v>
      </c>
      <c r="AK37">
        <v>1152</v>
      </c>
      <c r="AL37">
        <v>14770</v>
      </c>
      <c r="AM37">
        <v>3861</v>
      </c>
      <c r="AN37">
        <v>3289</v>
      </c>
      <c r="AO37">
        <v>2677</v>
      </c>
      <c r="AP37">
        <v>2448</v>
      </c>
      <c r="AQ37">
        <v>4490</v>
      </c>
      <c r="AR37">
        <v>36977</v>
      </c>
      <c r="AS37">
        <v>174</v>
      </c>
      <c r="AT37">
        <v>4349</v>
      </c>
      <c r="AU37">
        <v>1678</v>
      </c>
      <c r="AV37">
        <v>3217</v>
      </c>
      <c r="AW37">
        <v>4692</v>
      </c>
      <c r="AX37">
        <v>4281</v>
      </c>
      <c r="AY37">
        <v>4050</v>
      </c>
      <c r="AZ37">
        <v>4056</v>
      </c>
      <c r="BA37">
        <v>10479</v>
      </c>
      <c r="BB37">
        <v>135405</v>
      </c>
      <c r="BC37">
        <v>5352</v>
      </c>
      <c r="BD37">
        <v>12971</v>
      </c>
      <c r="BE37">
        <v>971</v>
      </c>
      <c r="BF37">
        <v>16935</v>
      </c>
      <c r="BG37">
        <v>13204</v>
      </c>
      <c r="BH37">
        <v>17682</v>
      </c>
      <c r="BI37">
        <v>19654</v>
      </c>
      <c r="BJ37">
        <v>42876</v>
      </c>
      <c r="BK37">
        <v>5759</v>
      </c>
      <c r="BL37">
        <v>50131</v>
      </c>
      <c r="BM37">
        <v>1958</v>
      </c>
      <c r="BN37">
        <v>5647</v>
      </c>
      <c r="BO37">
        <v>1632</v>
      </c>
      <c r="BP37">
        <v>10984</v>
      </c>
      <c r="BQ37">
        <v>2411</v>
      </c>
      <c r="BR37">
        <v>8175</v>
      </c>
      <c r="BS37">
        <v>2067</v>
      </c>
      <c r="BT37">
        <v>17260</v>
      </c>
      <c r="BU37">
        <v>11211</v>
      </c>
      <c r="BV37">
        <v>4</v>
      </c>
      <c r="BW37">
        <v>56</v>
      </c>
      <c r="BX37">
        <v>11</v>
      </c>
      <c r="BY37">
        <v>6525</v>
      </c>
      <c r="BZ37">
        <v>4615</v>
      </c>
      <c r="CA37">
        <v>330234</v>
      </c>
    </row>
    <row r="38" spans="1:79">
      <c r="A38" t="s">
        <v>194</v>
      </c>
      <c r="B38">
        <v>19518</v>
      </c>
      <c r="C38">
        <v>167</v>
      </c>
      <c r="D38">
        <v>1070</v>
      </c>
      <c r="E38">
        <v>1809</v>
      </c>
      <c r="F38">
        <v>2449</v>
      </c>
      <c r="G38">
        <v>2011</v>
      </c>
      <c r="H38">
        <v>3163</v>
      </c>
      <c r="I38">
        <v>565</v>
      </c>
      <c r="J38">
        <v>2566</v>
      </c>
      <c r="K38">
        <v>1660</v>
      </c>
      <c r="L38">
        <v>4063</v>
      </c>
      <c r="M38">
        <v>3850</v>
      </c>
      <c r="N38">
        <v>3170</v>
      </c>
      <c r="O38">
        <v>682</v>
      </c>
      <c r="P38">
        <v>4653</v>
      </c>
      <c r="Q38">
        <v>4</v>
      </c>
      <c r="R38">
        <v>135</v>
      </c>
      <c r="S38">
        <v>148</v>
      </c>
      <c r="T38">
        <v>1444</v>
      </c>
      <c r="U38">
        <v>365</v>
      </c>
      <c r="V38">
        <v>125</v>
      </c>
      <c r="W38">
        <v>604</v>
      </c>
      <c r="X38">
        <v>945</v>
      </c>
      <c r="Y38">
        <v>881</v>
      </c>
      <c r="Z38">
        <v>65806</v>
      </c>
      <c r="AA38">
        <v>375</v>
      </c>
      <c r="AB38">
        <v>65082</v>
      </c>
      <c r="AC38">
        <v>352</v>
      </c>
      <c r="AD38">
        <v>1094</v>
      </c>
      <c r="AE38">
        <v>128</v>
      </c>
      <c r="AF38">
        <v>888</v>
      </c>
      <c r="AG38">
        <v>76</v>
      </c>
      <c r="AH38">
        <v>51393</v>
      </c>
      <c r="AI38">
        <v>3755</v>
      </c>
      <c r="AJ38">
        <v>3401</v>
      </c>
      <c r="AK38">
        <v>1267</v>
      </c>
      <c r="AL38">
        <v>19106</v>
      </c>
      <c r="AM38">
        <v>4657</v>
      </c>
      <c r="AN38">
        <v>5706</v>
      </c>
      <c r="AO38">
        <v>3148</v>
      </c>
      <c r="AP38">
        <v>2866</v>
      </c>
      <c r="AQ38">
        <v>7484</v>
      </c>
      <c r="AR38">
        <v>44021</v>
      </c>
      <c r="AS38">
        <v>202</v>
      </c>
      <c r="AT38">
        <v>5123</v>
      </c>
      <c r="AU38">
        <v>2045</v>
      </c>
      <c r="AV38">
        <v>3802</v>
      </c>
      <c r="AW38">
        <v>5323</v>
      </c>
      <c r="AX38">
        <v>4835</v>
      </c>
      <c r="AY38">
        <v>5214</v>
      </c>
      <c r="AZ38">
        <v>5023</v>
      </c>
      <c r="BA38">
        <v>12450</v>
      </c>
      <c r="BB38">
        <v>156900</v>
      </c>
      <c r="BC38">
        <v>6250</v>
      </c>
      <c r="BD38">
        <v>15810</v>
      </c>
      <c r="BE38">
        <v>1095</v>
      </c>
      <c r="BF38">
        <v>19875</v>
      </c>
      <c r="BG38">
        <v>14727</v>
      </c>
      <c r="BH38">
        <v>20341</v>
      </c>
      <c r="BI38">
        <v>23299</v>
      </c>
      <c r="BJ38">
        <v>50050</v>
      </c>
      <c r="BK38">
        <v>5454</v>
      </c>
      <c r="BL38">
        <v>57476</v>
      </c>
      <c r="BM38">
        <v>2136</v>
      </c>
      <c r="BN38">
        <v>6266</v>
      </c>
      <c r="BO38">
        <v>2203</v>
      </c>
      <c r="BP38">
        <v>12829</v>
      </c>
      <c r="BQ38">
        <v>3104</v>
      </c>
      <c r="BR38">
        <v>9104</v>
      </c>
      <c r="BS38">
        <v>2481</v>
      </c>
      <c r="BT38">
        <v>19352</v>
      </c>
      <c r="BU38">
        <v>12292</v>
      </c>
      <c r="BV38">
        <v>3</v>
      </c>
      <c r="BW38">
        <v>80</v>
      </c>
      <c r="BX38">
        <v>17</v>
      </c>
      <c r="BY38">
        <v>6959</v>
      </c>
      <c r="BZ38">
        <v>5229</v>
      </c>
      <c r="CA38">
        <v>417002</v>
      </c>
    </row>
    <row r="39" spans="1:79">
      <c r="A39" t="s">
        <v>195</v>
      </c>
      <c r="B39">
        <v>19684</v>
      </c>
      <c r="C39">
        <v>212</v>
      </c>
      <c r="D39">
        <v>1035</v>
      </c>
      <c r="E39">
        <v>2034</v>
      </c>
      <c r="F39">
        <v>2230</v>
      </c>
      <c r="G39">
        <v>2136</v>
      </c>
      <c r="H39">
        <v>3366</v>
      </c>
      <c r="I39">
        <v>611</v>
      </c>
      <c r="J39">
        <v>2582</v>
      </c>
      <c r="K39">
        <v>1438</v>
      </c>
      <c r="L39">
        <v>4035</v>
      </c>
      <c r="M39">
        <v>3518</v>
      </c>
      <c r="N39">
        <v>2928</v>
      </c>
      <c r="O39">
        <v>588</v>
      </c>
      <c r="P39">
        <v>3931</v>
      </c>
      <c r="Q39">
        <v>2</v>
      </c>
      <c r="R39">
        <v>120</v>
      </c>
      <c r="S39">
        <v>130</v>
      </c>
      <c r="T39">
        <v>841</v>
      </c>
      <c r="U39">
        <v>280</v>
      </c>
      <c r="V39">
        <v>119</v>
      </c>
      <c r="W39">
        <v>478</v>
      </c>
      <c r="X39">
        <v>1019</v>
      </c>
      <c r="Y39">
        <v>942</v>
      </c>
      <c r="Z39">
        <v>60651</v>
      </c>
      <c r="AA39">
        <v>306</v>
      </c>
      <c r="AB39">
        <v>60057</v>
      </c>
      <c r="AC39">
        <v>293</v>
      </c>
      <c r="AD39">
        <v>988</v>
      </c>
      <c r="AE39">
        <v>161</v>
      </c>
      <c r="AF39">
        <v>750</v>
      </c>
      <c r="AG39">
        <v>78</v>
      </c>
      <c r="AH39">
        <v>42831</v>
      </c>
      <c r="AI39">
        <v>2720</v>
      </c>
      <c r="AJ39">
        <v>2830</v>
      </c>
      <c r="AK39">
        <v>1148</v>
      </c>
      <c r="AL39">
        <v>17000</v>
      </c>
      <c r="AM39">
        <v>5168</v>
      </c>
      <c r="AN39">
        <v>3561</v>
      </c>
      <c r="AO39">
        <v>2728</v>
      </c>
      <c r="AP39">
        <v>2703</v>
      </c>
      <c r="AQ39">
        <v>4973</v>
      </c>
      <c r="AR39">
        <v>40640</v>
      </c>
      <c r="AS39">
        <v>176</v>
      </c>
      <c r="AT39">
        <v>5189</v>
      </c>
      <c r="AU39">
        <v>1733</v>
      </c>
      <c r="AV39">
        <v>3827</v>
      </c>
      <c r="AW39">
        <v>4277</v>
      </c>
      <c r="AX39">
        <v>4605</v>
      </c>
      <c r="AY39">
        <v>4746</v>
      </c>
      <c r="AZ39">
        <v>4174</v>
      </c>
      <c r="BA39">
        <v>11917</v>
      </c>
      <c r="BB39">
        <v>173355</v>
      </c>
      <c r="BC39">
        <v>7368</v>
      </c>
      <c r="BD39">
        <v>18321</v>
      </c>
      <c r="BE39">
        <v>1171</v>
      </c>
      <c r="BF39">
        <v>20852</v>
      </c>
      <c r="BG39">
        <v>12531</v>
      </c>
      <c r="BH39">
        <v>20204</v>
      </c>
      <c r="BI39">
        <v>23989</v>
      </c>
      <c r="BJ39">
        <v>62922</v>
      </c>
      <c r="BK39">
        <v>5995</v>
      </c>
      <c r="BL39">
        <v>55698</v>
      </c>
      <c r="BM39">
        <v>1960</v>
      </c>
      <c r="BN39">
        <v>5336</v>
      </c>
      <c r="BO39">
        <v>2249</v>
      </c>
      <c r="BP39">
        <v>12165</v>
      </c>
      <c r="BQ39">
        <v>2886</v>
      </c>
      <c r="BR39">
        <v>10010</v>
      </c>
      <c r="BS39">
        <v>2601</v>
      </c>
      <c r="BT39">
        <v>18494</v>
      </c>
      <c r="BU39">
        <v>12575</v>
      </c>
      <c r="BV39">
        <v>6</v>
      </c>
      <c r="BW39">
        <v>66</v>
      </c>
      <c r="BX39">
        <v>19</v>
      </c>
      <c r="BY39">
        <v>8565</v>
      </c>
      <c r="BZ39">
        <v>3917</v>
      </c>
      <c r="CA39">
        <v>413869</v>
      </c>
    </row>
    <row r="40" spans="1:79">
      <c r="A40" t="s">
        <v>275</v>
      </c>
      <c r="B40">
        <v>22309</v>
      </c>
      <c r="C40">
        <v>201</v>
      </c>
      <c r="D40">
        <v>1252</v>
      </c>
      <c r="E40">
        <v>1935</v>
      </c>
      <c r="F40">
        <v>2416</v>
      </c>
      <c r="G40">
        <v>2527</v>
      </c>
      <c r="H40">
        <v>3913</v>
      </c>
      <c r="I40">
        <v>688</v>
      </c>
      <c r="J40">
        <v>3250</v>
      </c>
      <c r="K40">
        <v>1647</v>
      </c>
      <c r="L40">
        <v>4481</v>
      </c>
      <c r="M40">
        <v>3349</v>
      </c>
      <c r="N40">
        <v>2906</v>
      </c>
      <c r="O40">
        <v>441</v>
      </c>
      <c r="P40">
        <v>4119</v>
      </c>
      <c r="Q40">
        <v>6</v>
      </c>
      <c r="R40">
        <v>151</v>
      </c>
      <c r="S40">
        <v>141</v>
      </c>
      <c r="T40">
        <v>917</v>
      </c>
      <c r="U40">
        <v>276</v>
      </c>
      <c r="V40">
        <v>121</v>
      </c>
      <c r="W40">
        <v>362</v>
      </c>
      <c r="X40">
        <v>1141</v>
      </c>
      <c r="Y40">
        <v>1007</v>
      </c>
      <c r="Z40">
        <v>56763</v>
      </c>
      <c r="AA40">
        <v>260</v>
      </c>
      <c r="AB40">
        <v>56197</v>
      </c>
      <c r="AC40">
        <v>306</v>
      </c>
      <c r="AD40">
        <v>1257</v>
      </c>
      <c r="AE40">
        <v>204</v>
      </c>
      <c r="AF40">
        <v>973</v>
      </c>
      <c r="AG40">
        <v>78</v>
      </c>
      <c r="AH40">
        <v>45025</v>
      </c>
      <c r="AI40">
        <v>2722</v>
      </c>
      <c r="AJ40">
        <v>2683</v>
      </c>
      <c r="AK40">
        <v>1265</v>
      </c>
      <c r="AL40">
        <v>17013</v>
      </c>
      <c r="AM40">
        <v>5566</v>
      </c>
      <c r="AN40">
        <v>4645</v>
      </c>
      <c r="AO40">
        <v>2957</v>
      </c>
      <c r="AP40">
        <v>2840</v>
      </c>
      <c r="AQ40">
        <v>5338</v>
      </c>
      <c r="AR40">
        <v>43618</v>
      </c>
      <c r="AS40">
        <v>150</v>
      </c>
      <c r="AT40">
        <v>5553</v>
      </c>
      <c r="AU40">
        <v>1776</v>
      </c>
      <c r="AV40">
        <v>4210</v>
      </c>
      <c r="AW40">
        <v>4547</v>
      </c>
      <c r="AX40">
        <v>4466</v>
      </c>
      <c r="AY40">
        <v>5953</v>
      </c>
      <c r="AZ40">
        <v>4284</v>
      </c>
      <c r="BA40">
        <v>12678</v>
      </c>
      <c r="BB40">
        <v>180723</v>
      </c>
      <c r="BC40">
        <v>7931</v>
      </c>
      <c r="BD40">
        <v>15322</v>
      </c>
      <c r="BE40">
        <v>1101</v>
      </c>
      <c r="BF40">
        <v>23741</v>
      </c>
      <c r="BG40">
        <v>14905</v>
      </c>
      <c r="BH40">
        <v>20140</v>
      </c>
      <c r="BI40">
        <v>28339</v>
      </c>
      <c r="BJ40">
        <v>62033</v>
      </c>
      <c r="BK40">
        <v>7213</v>
      </c>
      <c r="BL40">
        <v>59314</v>
      </c>
      <c r="BM40">
        <v>1973</v>
      </c>
      <c r="BN40">
        <v>5994</v>
      </c>
      <c r="BO40">
        <v>2215</v>
      </c>
      <c r="BP40">
        <v>12814</v>
      </c>
      <c r="BQ40">
        <v>2948</v>
      </c>
      <c r="BR40">
        <v>10291</v>
      </c>
      <c r="BS40">
        <v>2712</v>
      </c>
      <c r="BT40">
        <v>20362</v>
      </c>
      <c r="BU40">
        <v>13508</v>
      </c>
      <c r="BV40">
        <v>1</v>
      </c>
      <c r="BW40">
        <v>57</v>
      </c>
      <c r="BX40">
        <v>18</v>
      </c>
      <c r="BY40">
        <v>9876</v>
      </c>
      <c r="BZ40">
        <v>3553</v>
      </c>
      <c r="CA40">
        <v>429980</v>
      </c>
    </row>
    <row r="41" spans="1:79">
      <c r="D41">
        <f>SUM(D4:D40)</f>
        <v>16538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A40"/>
  <sheetViews>
    <sheetView zoomScale="130" zoomScaleNormal="130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D41" sqref="D41"/>
    </sheetView>
  </sheetViews>
  <sheetFormatPr defaultRowHeight="15"/>
  <cols>
    <col min="2" max="2" width="19.85546875" customWidth="1"/>
    <col min="3" max="3" width="20.85546875" customWidth="1"/>
    <col min="4" max="4" width="16" customWidth="1"/>
    <col min="5" max="5" width="23" customWidth="1"/>
    <col min="13" max="13" width="16.7109375" customWidth="1"/>
    <col min="14" max="14" width="11.42578125" customWidth="1"/>
    <col min="15" max="15" width="16.7109375" customWidth="1"/>
  </cols>
  <sheetData>
    <row r="1" spans="1:7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143</v>
      </c>
      <c r="BL3" t="s">
        <v>144</v>
      </c>
      <c r="BM3" t="s">
        <v>145</v>
      </c>
      <c r="BN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BU3" t="s">
        <v>153</v>
      </c>
      <c r="BV3" t="s">
        <v>154</v>
      </c>
      <c r="BW3" t="s">
        <v>155</v>
      </c>
      <c r="BX3" t="s">
        <v>156</v>
      </c>
      <c r="BY3" t="s">
        <v>157</v>
      </c>
      <c r="BZ3" t="s">
        <v>158</v>
      </c>
      <c r="CA3" t="s">
        <v>159</v>
      </c>
    </row>
    <row r="4" spans="1:79">
      <c r="A4" t="s">
        <v>160</v>
      </c>
      <c r="B4">
        <v>7908</v>
      </c>
      <c r="C4">
        <v>322</v>
      </c>
      <c r="D4">
        <v>2423</v>
      </c>
      <c r="E4">
        <v>529</v>
      </c>
      <c r="F4">
        <v>663</v>
      </c>
      <c r="G4">
        <v>2071</v>
      </c>
      <c r="H4">
        <v>604</v>
      </c>
      <c r="I4">
        <v>859</v>
      </c>
      <c r="J4">
        <v>68</v>
      </c>
      <c r="K4">
        <v>273</v>
      </c>
      <c r="L4">
        <v>91</v>
      </c>
      <c r="M4">
        <v>273</v>
      </c>
      <c r="N4">
        <v>250</v>
      </c>
      <c r="O4">
        <v>22</v>
      </c>
      <c r="P4">
        <v>13375</v>
      </c>
      <c r="Q4">
        <v>614</v>
      </c>
      <c r="R4">
        <v>63</v>
      </c>
      <c r="S4">
        <v>10</v>
      </c>
      <c r="T4">
        <v>439</v>
      </c>
      <c r="U4">
        <v>37</v>
      </c>
      <c r="V4">
        <v>6270</v>
      </c>
      <c r="W4">
        <v>221</v>
      </c>
      <c r="X4">
        <v>5595</v>
      </c>
      <c r="Y4">
        <v>124</v>
      </c>
      <c r="Z4">
        <v>6458</v>
      </c>
      <c r="AA4">
        <v>4636</v>
      </c>
      <c r="AB4">
        <v>1615</v>
      </c>
      <c r="AC4">
        <v>210</v>
      </c>
      <c r="AD4">
        <v>145</v>
      </c>
      <c r="AE4">
        <v>122</v>
      </c>
      <c r="AF4">
        <v>14</v>
      </c>
      <c r="AG4">
        <v>10</v>
      </c>
      <c r="AH4">
        <v>1041</v>
      </c>
      <c r="AI4">
        <v>102</v>
      </c>
      <c r="AJ4">
        <v>86</v>
      </c>
      <c r="AK4">
        <v>109</v>
      </c>
      <c r="AL4">
        <v>229</v>
      </c>
      <c r="AM4">
        <v>89</v>
      </c>
      <c r="AN4">
        <v>9</v>
      </c>
      <c r="AO4">
        <v>157</v>
      </c>
      <c r="AP4">
        <v>61</v>
      </c>
      <c r="AQ4">
        <v>199</v>
      </c>
      <c r="AR4">
        <v>5340</v>
      </c>
      <c r="AS4">
        <v>165</v>
      </c>
      <c r="AT4">
        <v>72</v>
      </c>
      <c r="AU4">
        <v>15</v>
      </c>
      <c r="AV4">
        <v>116</v>
      </c>
      <c r="AW4">
        <v>148</v>
      </c>
      <c r="AX4">
        <v>318</v>
      </c>
      <c r="AY4">
        <v>501</v>
      </c>
      <c r="AZ4">
        <v>3703</v>
      </c>
      <c r="BA4">
        <v>306</v>
      </c>
      <c r="BB4">
        <v>2742</v>
      </c>
      <c r="BC4">
        <v>366</v>
      </c>
      <c r="BD4">
        <v>336</v>
      </c>
      <c r="BE4">
        <v>39</v>
      </c>
      <c r="BF4">
        <v>322</v>
      </c>
      <c r="BG4">
        <v>406</v>
      </c>
      <c r="BH4">
        <v>142</v>
      </c>
      <c r="BI4">
        <v>280</v>
      </c>
      <c r="BJ4">
        <v>392</v>
      </c>
      <c r="BK4">
        <v>461</v>
      </c>
      <c r="BL4">
        <v>1077</v>
      </c>
      <c r="BM4">
        <v>31</v>
      </c>
      <c r="BN4">
        <v>36</v>
      </c>
      <c r="BO4">
        <v>2</v>
      </c>
      <c r="BP4">
        <v>65</v>
      </c>
      <c r="BQ4">
        <v>14</v>
      </c>
      <c r="BR4">
        <v>196</v>
      </c>
      <c r="BS4">
        <v>277</v>
      </c>
      <c r="BT4">
        <v>454</v>
      </c>
      <c r="BU4">
        <v>4003</v>
      </c>
      <c r="BV4">
        <v>156</v>
      </c>
      <c r="BW4">
        <v>196</v>
      </c>
      <c r="BX4">
        <v>1</v>
      </c>
      <c r="BY4">
        <v>2674</v>
      </c>
      <c r="BZ4">
        <v>979</v>
      </c>
      <c r="CA4">
        <v>42370</v>
      </c>
    </row>
    <row r="5" spans="1:79">
      <c r="A5" t="s">
        <v>161</v>
      </c>
      <c r="B5">
        <v>9491</v>
      </c>
      <c r="C5">
        <v>244</v>
      </c>
      <c r="D5">
        <v>2639</v>
      </c>
      <c r="E5">
        <v>682</v>
      </c>
      <c r="F5">
        <v>646</v>
      </c>
      <c r="G5">
        <v>3205</v>
      </c>
      <c r="H5">
        <v>514</v>
      </c>
      <c r="I5">
        <v>1128</v>
      </c>
      <c r="J5">
        <v>65</v>
      </c>
      <c r="K5">
        <v>267</v>
      </c>
      <c r="L5">
        <v>97</v>
      </c>
      <c r="M5">
        <v>227</v>
      </c>
      <c r="N5">
        <v>211</v>
      </c>
      <c r="O5">
        <v>17</v>
      </c>
      <c r="P5">
        <v>14125</v>
      </c>
      <c r="Q5">
        <v>515</v>
      </c>
      <c r="R5">
        <v>44</v>
      </c>
      <c r="S5">
        <v>14</v>
      </c>
      <c r="T5">
        <v>409</v>
      </c>
      <c r="U5">
        <v>33</v>
      </c>
      <c r="V5">
        <v>5642</v>
      </c>
      <c r="W5">
        <v>206</v>
      </c>
      <c r="X5">
        <v>7128</v>
      </c>
      <c r="Y5">
        <v>133</v>
      </c>
      <c r="Z5">
        <v>7232</v>
      </c>
      <c r="AA5">
        <v>5314</v>
      </c>
      <c r="AB5">
        <v>1660</v>
      </c>
      <c r="AC5">
        <v>260</v>
      </c>
      <c r="AD5">
        <v>111</v>
      </c>
      <c r="AE5">
        <v>100</v>
      </c>
      <c r="AF5">
        <v>1</v>
      </c>
      <c r="AG5">
        <v>10</v>
      </c>
      <c r="AH5">
        <v>1175</v>
      </c>
      <c r="AI5">
        <v>90</v>
      </c>
      <c r="AJ5">
        <v>117</v>
      </c>
      <c r="AK5">
        <v>236</v>
      </c>
      <c r="AL5">
        <v>246</v>
      </c>
      <c r="AM5">
        <v>92</v>
      </c>
      <c r="AN5">
        <v>9</v>
      </c>
      <c r="AO5">
        <v>145</v>
      </c>
      <c r="AP5">
        <v>57</v>
      </c>
      <c r="AQ5">
        <v>182</v>
      </c>
      <c r="AR5">
        <v>6062</v>
      </c>
      <c r="AS5">
        <v>151</v>
      </c>
      <c r="AT5">
        <v>62</v>
      </c>
      <c r="AU5">
        <v>13</v>
      </c>
      <c r="AV5">
        <v>137</v>
      </c>
      <c r="AW5">
        <v>168</v>
      </c>
      <c r="AX5">
        <v>447</v>
      </c>
      <c r="AY5">
        <v>584</v>
      </c>
      <c r="AZ5">
        <v>4153</v>
      </c>
      <c r="BA5">
        <v>348</v>
      </c>
      <c r="BB5">
        <v>3286</v>
      </c>
      <c r="BC5">
        <v>378</v>
      </c>
      <c r="BD5">
        <v>382</v>
      </c>
      <c r="BE5">
        <v>54</v>
      </c>
      <c r="BF5">
        <v>351</v>
      </c>
      <c r="BG5">
        <v>480</v>
      </c>
      <c r="BH5">
        <v>219</v>
      </c>
      <c r="BI5">
        <v>327</v>
      </c>
      <c r="BJ5">
        <v>508</v>
      </c>
      <c r="BK5">
        <v>587</v>
      </c>
      <c r="BL5">
        <v>1261</v>
      </c>
      <c r="BM5">
        <v>28</v>
      </c>
      <c r="BN5">
        <v>35</v>
      </c>
      <c r="BO5">
        <v>3</v>
      </c>
      <c r="BP5">
        <v>88</v>
      </c>
      <c r="BQ5">
        <v>23</v>
      </c>
      <c r="BR5">
        <v>241</v>
      </c>
      <c r="BS5">
        <v>250</v>
      </c>
      <c r="BT5">
        <v>589</v>
      </c>
      <c r="BU5">
        <v>4036</v>
      </c>
      <c r="BV5">
        <v>153</v>
      </c>
      <c r="BW5">
        <v>205</v>
      </c>
      <c r="BX5">
        <v>0</v>
      </c>
      <c r="BY5">
        <v>2590</v>
      </c>
      <c r="BZ5">
        <v>1087</v>
      </c>
      <c r="CA5">
        <v>47007</v>
      </c>
    </row>
    <row r="6" spans="1:79">
      <c r="A6" t="s">
        <v>162</v>
      </c>
      <c r="B6">
        <v>9726</v>
      </c>
      <c r="C6">
        <v>163</v>
      </c>
      <c r="D6">
        <v>3090</v>
      </c>
      <c r="E6">
        <v>676</v>
      </c>
      <c r="F6">
        <v>676</v>
      </c>
      <c r="G6">
        <v>3014</v>
      </c>
      <c r="H6">
        <v>581</v>
      </c>
      <c r="I6">
        <v>1101</v>
      </c>
      <c r="J6">
        <v>82</v>
      </c>
      <c r="K6">
        <v>238</v>
      </c>
      <c r="L6">
        <v>105</v>
      </c>
      <c r="M6">
        <v>285</v>
      </c>
      <c r="N6">
        <v>266</v>
      </c>
      <c r="O6">
        <v>19</v>
      </c>
      <c r="P6">
        <v>13459</v>
      </c>
      <c r="Q6">
        <v>528</v>
      </c>
      <c r="R6">
        <v>51</v>
      </c>
      <c r="S6">
        <v>8</v>
      </c>
      <c r="T6">
        <v>402</v>
      </c>
      <c r="U6">
        <v>21</v>
      </c>
      <c r="V6">
        <v>3939</v>
      </c>
      <c r="W6">
        <v>240</v>
      </c>
      <c r="X6">
        <v>8113</v>
      </c>
      <c r="Y6">
        <v>159</v>
      </c>
      <c r="Z6">
        <v>9594</v>
      </c>
      <c r="AA6">
        <v>6024</v>
      </c>
      <c r="AB6">
        <v>2882</v>
      </c>
      <c r="AC6">
        <v>690</v>
      </c>
      <c r="AD6">
        <v>131</v>
      </c>
      <c r="AE6">
        <v>113</v>
      </c>
      <c r="AF6">
        <v>1</v>
      </c>
      <c r="AG6">
        <v>12</v>
      </c>
      <c r="AH6">
        <v>1295</v>
      </c>
      <c r="AI6">
        <v>106</v>
      </c>
      <c r="AJ6">
        <v>175</v>
      </c>
      <c r="AK6">
        <v>221</v>
      </c>
      <c r="AL6">
        <v>293</v>
      </c>
      <c r="AM6">
        <v>105</v>
      </c>
      <c r="AN6">
        <v>12</v>
      </c>
      <c r="AO6">
        <v>136</v>
      </c>
      <c r="AP6">
        <v>76</v>
      </c>
      <c r="AQ6">
        <v>171</v>
      </c>
      <c r="AR6">
        <v>6257</v>
      </c>
      <c r="AS6">
        <v>180</v>
      </c>
      <c r="AT6">
        <v>67</v>
      </c>
      <c r="AU6">
        <v>33</v>
      </c>
      <c r="AV6">
        <v>168</v>
      </c>
      <c r="AW6">
        <v>196</v>
      </c>
      <c r="AX6">
        <v>464</v>
      </c>
      <c r="AY6">
        <v>909</v>
      </c>
      <c r="AZ6">
        <v>3833</v>
      </c>
      <c r="BA6">
        <v>407</v>
      </c>
      <c r="BB6">
        <v>4118</v>
      </c>
      <c r="BC6">
        <v>490</v>
      </c>
      <c r="BD6">
        <v>459</v>
      </c>
      <c r="BE6">
        <v>80</v>
      </c>
      <c r="BF6">
        <v>430</v>
      </c>
      <c r="BG6">
        <v>635</v>
      </c>
      <c r="BH6">
        <v>291</v>
      </c>
      <c r="BI6">
        <v>413</v>
      </c>
      <c r="BJ6">
        <v>736</v>
      </c>
      <c r="BK6">
        <v>583</v>
      </c>
      <c r="BL6">
        <v>1305</v>
      </c>
      <c r="BM6">
        <v>37</v>
      </c>
      <c r="BN6">
        <v>42</v>
      </c>
      <c r="BO6">
        <v>5</v>
      </c>
      <c r="BP6">
        <v>125</v>
      </c>
      <c r="BQ6">
        <v>22</v>
      </c>
      <c r="BR6">
        <v>252</v>
      </c>
      <c r="BS6">
        <v>241</v>
      </c>
      <c r="BT6">
        <v>582</v>
      </c>
      <c r="BU6">
        <v>4722</v>
      </c>
      <c r="BV6">
        <v>186</v>
      </c>
      <c r="BW6">
        <v>250</v>
      </c>
      <c r="BX6">
        <v>2</v>
      </c>
      <c r="BY6">
        <v>3440</v>
      </c>
      <c r="BZ6">
        <v>845</v>
      </c>
      <c r="CA6">
        <v>50891</v>
      </c>
    </row>
    <row r="7" spans="1:79">
      <c r="A7" t="s">
        <v>163</v>
      </c>
      <c r="B7">
        <v>9312</v>
      </c>
      <c r="C7">
        <v>182</v>
      </c>
      <c r="D7">
        <v>3239</v>
      </c>
      <c r="E7">
        <v>793</v>
      </c>
      <c r="F7">
        <v>739</v>
      </c>
      <c r="G7">
        <v>2411</v>
      </c>
      <c r="H7">
        <v>651</v>
      </c>
      <c r="I7">
        <v>765</v>
      </c>
      <c r="J7">
        <v>92</v>
      </c>
      <c r="K7">
        <v>304</v>
      </c>
      <c r="L7">
        <v>135</v>
      </c>
      <c r="M7">
        <v>332</v>
      </c>
      <c r="N7">
        <v>313</v>
      </c>
      <c r="O7">
        <v>21</v>
      </c>
      <c r="P7">
        <v>13677</v>
      </c>
      <c r="Q7">
        <v>346</v>
      </c>
      <c r="R7">
        <v>59</v>
      </c>
      <c r="S7">
        <v>8</v>
      </c>
      <c r="T7">
        <v>461</v>
      </c>
      <c r="U7">
        <v>20</v>
      </c>
      <c r="V7">
        <v>4371</v>
      </c>
      <c r="W7">
        <v>290</v>
      </c>
      <c r="X7">
        <v>7955</v>
      </c>
      <c r="Y7">
        <v>163</v>
      </c>
      <c r="Z7">
        <v>10879</v>
      </c>
      <c r="AA7">
        <v>6857</v>
      </c>
      <c r="AB7">
        <v>2915</v>
      </c>
      <c r="AC7">
        <v>1105</v>
      </c>
      <c r="AD7">
        <v>136</v>
      </c>
      <c r="AE7">
        <v>117</v>
      </c>
      <c r="AF7">
        <v>1</v>
      </c>
      <c r="AG7">
        <v>18</v>
      </c>
      <c r="AH7">
        <v>1534</v>
      </c>
      <c r="AI7">
        <v>106</v>
      </c>
      <c r="AJ7">
        <v>253</v>
      </c>
      <c r="AK7">
        <v>188</v>
      </c>
      <c r="AL7">
        <v>381</v>
      </c>
      <c r="AM7">
        <v>125</v>
      </c>
      <c r="AN7">
        <v>17</v>
      </c>
      <c r="AO7">
        <v>181</v>
      </c>
      <c r="AP7">
        <v>82</v>
      </c>
      <c r="AQ7">
        <v>198</v>
      </c>
      <c r="AR7">
        <v>6480</v>
      </c>
      <c r="AS7">
        <v>187</v>
      </c>
      <c r="AT7">
        <v>67</v>
      </c>
      <c r="AU7">
        <v>50</v>
      </c>
      <c r="AV7">
        <v>209</v>
      </c>
      <c r="AW7">
        <v>218</v>
      </c>
      <c r="AX7">
        <v>556</v>
      </c>
      <c r="AY7">
        <v>1027</v>
      </c>
      <c r="AZ7">
        <v>3621</v>
      </c>
      <c r="BA7">
        <v>549</v>
      </c>
      <c r="BB7">
        <v>4867</v>
      </c>
      <c r="BC7">
        <v>566</v>
      </c>
      <c r="BD7">
        <v>523</v>
      </c>
      <c r="BE7">
        <v>79</v>
      </c>
      <c r="BF7">
        <v>511</v>
      </c>
      <c r="BG7">
        <v>808</v>
      </c>
      <c r="BH7">
        <v>317</v>
      </c>
      <c r="BI7">
        <v>542</v>
      </c>
      <c r="BJ7">
        <v>820</v>
      </c>
      <c r="BK7">
        <v>696</v>
      </c>
      <c r="BL7">
        <v>1427</v>
      </c>
      <c r="BM7">
        <v>38</v>
      </c>
      <c r="BN7">
        <v>36</v>
      </c>
      <c r="BO7">
        <v>2</v>
      </c>
      <c r="BP7">
        <v>142</v>
      </c>
      <c r="BQ7">
        <v>30</v>
      </c>
      <c r="BR7">
        <v>311</v>
      </c>
      <c r="BS7">
        <v>260</v>
      </c>
      <c r="BT7">
        <v>604</v>
      </c>
      <c r="BU7">
        <v>5072</v>
      </c>
      <c r="BV7">
        <v>197</v>
      </c>
      <c r="BW7">
        <v>321</v>
      </c>
      <c r="BX7">
        <v>0</v>
      </c>
      <c r="BY7">
        <v>3702</v>
      </c>
      <c r="BZ7">
        <v>854</v>
      </c>
      <c r="CA7">
        <v>53721</v>
      </c>
    </row>
    <row r="8" spans="1:79">
      <c r="A8" t="s">
        <v>164</v>
      </c>
      <c r="B8">
        <v>10584</v>
      </c>
      <c r="C8">
        <v>226</v>
      </c>
      <c r="D8">
        <v>3669</v>
      </c>
      <c r="E8">
        <v>957</v>
      </c>
      <c r="F8">
        <v>913</v>
      </c>
      <c r="G8">
        <v>2449</v>
      </c>
      <c r="H8">
        <v>825</v>
      </c>
      <c r="I8">
        <v>888</v>
      </c>
      <c r="J8">
        <v>112</v>
      </c>
      <c r="K8">
        <v>405</v>
      </c>
      <c r="L8">
        <v>141</v>
      </c>
      <c r="M8">
        <v>378</v>
      </c>
      <c r="N8">
        <v>355</v>
      </c>
      <c r="O8">
        <v>22</v>
      </c>
      <c r="P8">
        <v>13495</v>
      </c>
      <c r="Q8">
        <v>398</v>
      </c>
      <c r="R8">
        <v>61</v>
      </c>
      <c r="S8">
        <v>11</v>
      </c>
      <c r="T8">
        <v>419</v>
      </c>
      <c r="U8">
        <v>9</v>
      </c>
      <c r="V8">
        <v>4539</v>
      </c>
      <c r="W8">
        <v>328</v>
      </c>
      <c r="X8">
        <v>7539</v>
      </c>
      <c r="Y8">
        <v>193</v>
      </c>
      <c r="Z8">
        <v>11613</v>
      </c>
      <c r="AA8">
        <v>7345</v>
      </c>
      <c r="AB8">
        <v>3123</v>
      </c>
      <c r="AC8">
        <v>1144</v>
      </c>
      <c r="AD8">
        <v>157</v>
      </c>
      <c r="AE8">
        <v>131</v>
      </c>
      <c r="AF8">
        <v>1</v>
      </c>
      <c r="AG8">
        <v>22</v>
      </c>
      <c r="AH8">
        <v>1818</v>
      </c>
      <c r="AI8">
        <v>77</v>
      </c>
      <c r="AJ8">
        <v>195</v>
      </c>
      <c r="AK8">
        <v>297</v>
      </c>
      <c r="AL8">
        <v>517</v>
      </c>
      <c r="AM8">
        <v>155</v>
      </c>
      <c r="AN8">
        <v>15</v>
      </c>
      <c r="AO8">
        <v>192</v>
      </c>
      <c r="AP8">
        <v>94</v>
      </c>
      <c r="AQ8">
        <v>275</v>
      </c>
      <c r="AR8">
        <v>7078</v>
      </c>
      <c r="AS8">
        <v>259</v>
      </c>
      <c r="AT8">
        <v>98</v>
      </c>
      <c r="AU8">
        <v>61</v>
      </c>
      <c r="AV8">
        <v>247</v>
      </c>
      <c r="AW8">
        <v>268</v>
      </c>
      <c r="AX8">
        <v>603</v>
      </c>
      <c r="AY8">
        <v>1179</v>
      </c>
      <c r="AZ8">
        <v>3816</v>
      </c>
      <c r="BA8">
        <v>547</v>
      </c>
      <c r="BB8">
        <v>5720</v>
      </c>
      <c r="BC8">
        <v>614</v>
      </c>
      <c r="BD8">
        <v>629</v>
      </c>
      <c r="BE8">
        <v>95</v>
      </c>
      <c r="BF8">
        <v>618</v>
      </c>
      <c r="BG8">
        <v>904</v>
      </c>
      <c r="BH8">
        <v>401</v>
      </c>
      <c r="BI8">
        <v>656</v>
      </c>
      <c r="BJ8">
        <v>887</v>
      </c>
      <c r="BK8">
        <v>917</v>
      </c>
      <c r="BL8">
        <v>1778</v>
      </c>
      <c r="BM8">
        <v>91</v>
      </c>
      <c r="BN8">
        <v>45</v>
      </c>
      <c r="BO8">
        <v>4</v>
      </c>
      <c r="BP8">
        <v>175</v>
      </c>
      <c r="BQ8">
        <v>36</v>
      </c>
      <c r="BR8">
        <v>367</v>
      </c>
      <c r="BS8">
        <v>338</v>
      </c>
      <c r="BT8">
        <v>716</v>
      </c>
      <c r="BU8">
        <v>5759</v>
      </c>
      <c r="BV8">
        <v>203</v>
      </c>
      <c r="BW8">
        <v>289</v>
      </c>
      <c r="BX8">
        <v>0</v>
      </c>
      <c r="BY8">
        <v>4476</v>
      </c>
      <c r="BZ8">
        <v>791</v>
      </c>
      <c r="CA8">
        <v>58377</v>
      </c>
    </row>
    <row r="9" spans="1:79">
      <c r="A9" t="s">
        <v>165</v>
      </c>
      <c r="B9">
        <v>12440</v>
      </c>
      <c r="C9">
        <v>289</v>
      </c>
      <c r="D9">
        <v>3958</v>
      </c>
      <c r="E9">
        <v>1169</v>
      </c>
      <c r="F9">
        <v>1058</v>
      </c>
      <c r="G9">
        <v>3102</v>
      </c>
      <c r="H9">
        <v>912</v>
      </c>
      <c r="I9">
        <v>1210</v>
      </c>
      <c r="J9">
        <v>146</v>
      </c>
      <c r="K9">
        <v>430</v>
      </c>
      <c r="L9">
        <v>161</v>
      </c>
      <c r="M9">
        <v>491</v>
      </c>
      <c r="N9">
        <v>457</v>
      </c>
      <c r="O9">
        <v>35</v>
      </c>
      <c r="P9">
        <v>12753</v>
      </c>
      <c r="Q9">
        <v>378</v>
      </c>
      <c r="R9">
        <v>84</v>
      </c>
      <c r="S9">
        <v>10</v>
      </c>
      <c r="T9">
        <v>531</v>
      </c>
      <c r="U9">
        <v>13</v>
      </c>
      <c r="V9">
        <v>3662</v>
      </c>
      <c r="W9">
        <v>370</v>
      </c>
      <c r="X9">
        <v>7499</v>
      </c>
      <c r="Y9">
        <v>206</v>
      </c>
      <c r="Z9">
        <v>11977</v>
      </c>
      <c r="AA9">
        <v>7798</v>
      </c>
      <c r="AB9">
        <v>2964</v>
      </c>
      <c r="AC9">
        <v>1221</v>
      </c>
      <c r="AD9">
        <v>212</v>
      </c>
      <c r="AE9">
        <v>173</v>
      </c>
      <c r="AF9">
        <v>2</v>
      </c>
      <c r="AG9">
        <v>34</v>
      </c>
      <c r="AH9">
        <v>2185</v>
      </c>
      <c r="AI9">
        <v>83</v>
      </c>
      <c r="AJ9">
        <v>221</v>
      </c>
      <c r="AK9">
        <v>354</v>
      </c>
      <c r="AL9">
        <v>639</v>
      </c>
      <c r="AM9">
        <v>191</v>
      </c>
      <c r="AN9">
        <v>14</v>
      </c>
      <c r="AO9">
        <v>211</v>
      </c>
      <c r="AP9">
        <v>111</v>
      </c>
      <c r="AQ9">
        <v>365</v>
      </c>
      <c r="AR9">
        <v>7572</v>
      </c>
      <c r="AS9">
        <v>327</v>
      </c>
      <c r="AT9">
        <v>117</v>
      </c>
      <c r="AU9">
        <v>88</v>
      </c>
      <c r="AV9">
        <v>253</v>
      </c>
      <c r="AW9">
        <v>355</v>
      </c>
      <c r="AX9">
        <v>580</v>
      </c>
      <c r="AY9">
        <v>1380</v>
      </c>
      <c r="AZ9">
        <v>3895</v>
      </c>
      <c r="BA9">
        <v>580</v>
      </c>
      <c r="BB9">
        <v>7019</v>
      </c>
      <c r="BC9">
        <v>624</v>
      </c>
      <c r="BD9">
        <v>801</v>
      </c>
      <c r="BE9">
        <v>97</v>
      </c>
      <c r="BF9">
        <v>817</v>
      </c>
      <c r="BG9">
        <v>1169</v>
      </c>
      <c r="BH9">
        <v>436</v>
      </c>
      <c r="BI9">
        <v>886</v>
      </c>
      <c r="BJ9">
        <v>1096</v>
      </c>
      <c r="BK9">
        <v>1094</v>
      </c>
      <c r="BL9">
        <v>1998</v>
      </c>
      <c r="BM9">
        <v>46</v>
      </c>
      <c r="BN9">
        <v>75</v>
      </c>
      <c r="BO9">
        <v>10</v>
      </c>
      <c r="BP9">
        <v>222</v>
      </c>
      <c r="BQ9">
        <v>52</v>
      </c>
      <c r="BR9">
        <v>388</v>
      </c>
      <c r="BS9">
        <v>445</v>
      </c>
      <c r="BT9">
        <v>762</v>
      </c>
      <c r="BU9">
        <v>6091</v>
      </c>
      <c r="BV9">
        <v>295</v>
      </c>
      <c r="BW9">
        <v>222</v>
      </c>
      <c r="BX9">
        <v>0</v>
      </c>
      <c r="BY9">
        <v>4683</v>
      </c>
      <c r="BZ9">
        <v>893</v>
      </c>
      <c r="CA9">
        <v>62739</v>
      </c>
    </row>
    <row r="10" spans="1:79">
      <c r="A10" t="s">
        <v>166</v>
      </c>
      <c r="B10">
        <v>13395</v>
      </c>
      <c r="C10">
        <v>359</v>
      </c>
      <c r="D10">
        <v>3799</v>
      </c>
      <c r="E10">
        <v>1423</v>
      </c>
      <c r="F10">
        <v>1092</v>
      </c>
      <c r="G10">
        <v>3340</v>
      </c>
      <c r="H10">
        <v>926</v>
      </c>
      <c r="I10">
        <v>1672</v>
      </c>
      <c r="J10">
        <v>173</v>
      </c>
      <c r="K10">
        <v>403</v>
      </c>
      <c r="L10">
        <v>207</v>
      </c>
      <c r="M10">
        <v>532</v>
      </c>
      <c r="N10">
        <v>493</v>
      </c>
      <c r="O10">
        <v>38</v>
      </c>
      <c r="P10">
        <v>13074</v>
      </c>
      <c r="Q10">
        <v>452</v>
      </c>
      <c r="R10">
        <v>128</v>
      </c>
      <c r="S10">
        <v>12</v>
      </c>
      <c r="T10">
        <v>531</v>
      </c>
      <c r="U10">
        <v>27</v>
      </c>
      <c r="V10">
        <v>4287</v>
      </c>
      <c r="W10">
        <v>352</v>
      </c>
      <c r="X10">
        <v>7074</v>
      </c>
      <c r="Y10">
        <v>211</v>
      </c>
      <c r="Z10">
        <v>10675</v>
      </c>
      <c r="AA10">
        <v>6750</v>
      </c>
      <c r="AB10">
        <v>2705</v>
      </c>
      <c r="AC10">
        <v>1216</v>
      </c>
      <c r="AD10">
        <v>226</v>
      </c>
      <c r="AE10">
        <v>184</v>
      </c>
      <c r="AF10">
        <v>7</v>
      </c>
      <c r="AG10">
        <v>32</v>
      </c>
      <c r="AH10">
        <v>2468</v>
      </c>
      <c r="AI10">
        <v>85</v>
      </c>
      <c r="AJ10">
        <v>277</v>
      </c>
      <c r="AK10">
        <v>372</v>
      </c>
      <c r="AL10">
        <v>729</v>
      </c>
      <c r="AM10">
        <v>235</v>
      </c>
      <c r="AN10">
        <v>23</v>
      </c>
      <c r="AO10">
        <v>209</v>
      </c>
      <c r="AP10">
        <v>123</v>
      </c>
      <c r="AQ10">
        <v>414</v>
      </c>
      <c r="AR10">
        <v>8287</v>
      </c>
      <c r="AS10">
        <v>426</v>
      </c>
      <c r="AT10">
        <v>126</v>
      </c>
      <c r="AU10">
        <v>89</v>
      </c>
      <c r="AV10">
        <v>253</v>
      </c>
      <c r="AW10">
        <v>417</v>
      </c>
      <c r="AX10">
        <v>787</v>
      </c>
      <c r="AY10">
        <v>1505</v>
      </c>
      <c r="AZ10">
        <v>3994</v>
      </c>
      <c r="BA10">
        <v>683</v>
      </c>
      <c r="BB10">
        <v>7602</v>
      </c>
      <c r="BC10">
        <v>602</v>
      </c>
      <c r="BD10">
        <v>806</v>
      </c>
      <c r="BE10">
        <v>120</v>
      </c>
      <c r="BF10">
        <v>935</v>
      </c>
      <c r="BG10">
        <v>1509</v>
      </c>
      <c r="BH10">
        <v>689</v>
      </c>
      <c r="BI10">
        <v>1088</v>
      </c>
      <c r="BJ10">
        <v>1014</v>
      </c>
      <c r="BK10">
        <v>843</v>
      </c>
      <c r="BL10">
        <v>2233</v>
      </c>
      <c r="BM10">
        <v>48</v>
      </c>
      <c r="BN10">
        <v>75</v>
      </c>
      <c r="BO10">
        <v>13</v>
      </c>
      <c r="BP10">
        <v>288</v>
      </c>
      <c r="BQ10">
        <v>56</v>
      </c>
      <c r="BR10">
        <v>444</v>
      </c>
      <c r="BS10">
        <v>483</v>
      </c>
      <c r="BT10">
        <v>828</v>
      </c>
      <c r="BU10">
        <v>6287</v>
      </c>
      <c r="BV10">
        <v>381</v>
      </c>
      <c r="BW10">
        <v>246</v>
      </c>
      <c r="BX10">
        <v>0</v>
      </c>
      <c r="BY10">
        <v>4671</v>
      </c>
      <c r="BZ10">
        <v>983</v>
      </c>
      <c r="CA10">
        <v>64775</v>
      </c>
    </row>
    <row r="11" spans="1:79">
      <c r="A11" t="s">
        <v>167</v>
      </c>
      <c r="B11">
        <v>13073</v>
      </c>
      <c r="C11">
        <v>576</v>
      </c>
      <c r="D11">
        <v>3539</v>
      </c>
      <c r="E11">
        <v>1495</v>
      </c>
      <c r="F11">
        <v>1160</v>
      </c>
      <c r="G11">
        <v>2689</v>
      </c>
      <c r="H11">
        <v>921</v>
      </c>
      <c r="I11">
        <v>1877</v>
      </c>
      <c r="J11">
        <v>181</v>
      </c>
      <c r="K11">
        <v>412</v>
      </c>
      <c r="L11">
        <v>223</v>
      </c>
      <c r="M11">
        <v>581</v>
      </c>
      <c r="N11">
        <v>542</v>
      </c>
      <c r="O11">
        <v>43</v>
      </c>
      <c r="P11">
        <v>14643</v>
      </c>
      <c r="Q11">
        <v>492</v>
      </c>
      <c r="R11">
        <v>122</v>
      </c>
      <c r="S11">
        <v>13</v>
      </c>
      <c r="T11">
        <v>647</v>
      </c>
      <c r="U11">
        <v>47</v>
      </c>
      <c r="V11">
        <v>4404</v>
      </c>
      <c r="W11">
        <v>427</v>
      </c>
      <c r="X11">
        <v>8270</v>
      </c>
      <c r="Y11">
        <v>225</v>
      </c>
      <c r="Z11">
        <v>11976</v>
      </c>
      <c r="AA11">
        <v>7433</v>
      </c>
      <c r="AB11">
        <v>3029</v>
      </c>
      <c r="AC11">
        <v>1518</v>
      </c>
      <c r="AD11">
        <v>256</v>
      </c>
      <c r="AE11">
        <v>216</v>
      </c>
      <c r="AF11">
        <v>2</v>
      </c>
      <c r="AG11">
        <v>38</v>
      </c>
      <c r="AH11">
        <v>2909</v>
      </c>
      <c r="AI11">
        <v>80</v>
      </c>
      <c r="AJ11">
        <v>356</v>
      </c>
      <c r="AK11">
        <v>425</v>
      </c>
      <c r="AL11">
        <v>834</v>
      </c>
      <c r="AM11">
        <v>279</v>
      </c>
      <c r="AN11">
        <v>29</v>
      </c>
      <c r="AO11">
        <v>340</v>
      </c>
      <c r="AP11">
        <v>159</v>
      </c>
      <c r="AQ11">
        <v>406</v>
      </c>
      <c r="AR11">
        <v>9789</v>
      </c>
      <c r="AS11">
        <v>504</v>
      </c>
      <c r="AT11">
        <v>151</v>
      </c>
      <c r="AU11">
        <v>103</v>
      </c>
      <c r="AV11">
        <v>280</v>
      </c>
      <c r="AW11">
        <v>518</v>
      </c>
      <c r="AX11">
        <v>680</v>
      </c>
      <c r="AY11">
        <v>1767</v>
      </c>
      <c r="AZ11">
        <v>5094</v>
      </c>
      <c r="BA11">
        <v>694</v>
      </c>
      <c r="BB11">
        <v>9163</v>
      </c>
      <c r="BC11">
        <v>799</v>
      </c>
      <c r="BD11">
        <v>1063</v>
      </c>
      <c r="BE11">
        <v>142</v>
      </c>
      <c r="BF11">
        <v>1015</v>
      </c>
      <c r="BG11">
        <v>1753</v>
      </c>
      <c r="BH11">
        <v>689</v>
      </c>
      <c r="BI11">
        <v>1359</v>
      </c>
      <c r="BJ11">
        <v>1126</v>
      </c>
      <c r="BK11">
        <v>1218</v>
      </c>
      <c r="BL11">
        <v>2495</v>
      </c>
      <c r="BM11">
        <v>65</v>
      </c>
      <c r="BN11">
        <v>86</v>
      </c>
      <c r="BO11">
        <v>12</v>
      </c>
      <c r="BP11">
        <v>302</v>
      </c>
      <c r="BQ11">
        <v>63</v>
      </c>
      <c r="BR11">
        <v>469</v>
      </c>
      <c r="BS11">
        <v>530</v>
      </c>
      <c r="BT11">
        <v>969</v>
      </c>
      <c r="BU11">
        <v>6785</v>
      </c>
      <c r="BV11">
        <v>424</v>
      </c>
      <c r="BW11">
        <v>163</v>
      </c>
      <c r="BX11">
        <v>0</v>
      </c>
      <c r="BY11">
        <v>5263</v>
      </c>
      <c r="BZ11">
        <v>935</v>
      </c>
      <c r="CA11">
        <v>71670</v>
      </c>
    </row>
    <row r="12" spans="1:79">
      <c r="A12" t="s">
        <v>168</v>
      </c>
      <c r="B12">
        <v>15805</v>
      </c>
      <c r="C12">
        <v>659</v>
      </c>
      <c r="D12">
        <v>2892</v>
      </c>
      <c r="E12">
        <v>1760</v>
      </c>
      <c r="F12">
        <v>1050</v>
      </c>
      <c r="G12">
        <v>5761</v>
      </c>
      <c r="H12">
        <v>1084</v>
      </c>
      <c r="I12">
        <v>1649</v>
      </c>
      <c r="J12">
        <v>196</v>
      </c>
      <c r="K12">
        <v>500</v>
      </c>
      <c r="L12">
        <v>253</v>
      </c>
      <c r="M12">
        <v>738</v>
      </c>
      <c r="N12">
        <v>677</v>
      </c>
      <c r="O12">
        <v>63</v>
      </c>
      <c r="P12">
        <v>15021</v>
      </c>
      <c r="Q12">
        <v>496</v>
      </c>
      <c r="R12">
        <v>218</v>
      </c>
      <c r="S12">
        <v>12</v>
      </c>
      <c r="T12">
        <v>621</v>
      </c>
      <c r="U12">
        <v>14</v>
      </c>
      <c r="V12">
        <v>4285</v>
      </c>
      <c r="W12">
        <v>384</v>
      </c>
      <c r="X12">
        <v>8771</v>
      </c>
      <c r="Y12">
        <v>222</v>
      </c>
      <c r="Z12">
        <v>13002</v>
      </c>
      <c r="AA12">
        <v>7818</v>
      </c>
      <c r="AB12">
        <v>3508</v>
      </c>
      <c r="AC12">
        <v>1676</v>
      </c>
      <c r="AD12">
        <v>236</v>
      </c>
      <c r="AE12">
        <v>194</v>
      </c>
      <c r="AF12">
        <v>10</v>
      </c>
      <c r="AG12">
        <v>33</v>
      </c>
      <c r="AH12">
        <v>3000</v>
      </c>
      <c r="AI12">
        <v>91</v>
      </c>
      <c r="AJ12">
        <v>333</v>
      </c>
      <c r="AK12">
        <v>420</v>
      </c>
      <c r="AL12">
        <v>942</v>
      </c>
      <c r="AM12">
        <v>300</v>
      </c>
      <c r="AN12">
        <v>23</v>
      </c>
      <c r="AO12">
        <v>299</v>
      </c>
      <c r="AP12">
        <v>153</v>
      </c>
      <c r="AQ12">
        <v>440</v>
      </c>
      <c r="AR12">
        <v>9426</v>
      </c>
      <c r="AS12">
        <v>471</v>
      </c>
      <c r="AT12">
        <v>159</v>
      </c>
      <c r="AU12">
        <v>109</v>
      </c>
      <c r="AV12">
        <v>343</v>
      </c>
      <c r="AW12">
        <v>566</v>
      </c>
      <c r="AX12">
        <v>770</v>
      </c>
      <c r="AY12">
        <v>1623</v>
      </c>
      <c r="AZ12">
        <v>4619</v>
      </c>
      <c r="BA12">
        <v>769</v>
      </c>
      <c r="BB12">
        <v>9959</v>
      </c>
      <c r="BC12">
        <v>878</v>
      </c>
      <c r="BD12">
        <v>1089</v>
      </c>
      <c r="BE12">
        <v>200</v>
      </c>
      <c r="BF12">
        <v>1219</v>
      </c>
      <c r="BG12">
        <v>1781</v>
      </c>
      <c r="BH12">
        <v>655</v>
      </c>
      <c r="BI12">
        <v>1347</v>
      </c>
      <c r="BJ12">
        <v>1538</v>
      </c>
      <c r="BK12">
        <v>1248</v>
      </c>
      <c r="BL12">
        <v>2812</v>
      </c>
      <c r="BM12">
        <v>85</v>
      </c>
      <c r="BN12">
        <v>99</v>
      </c>
      <c r="BO12">
        <v>14</v>
      </c>
      <c r="BP12">
        <v>339</v>
      </c>
      <c r="BQ12">
        <v>64</v>
      </c>
      <c r="BR12">
        <v>596</v>
      </c>
      <c r="BS12">
        <v>578</v>
      </c>
      <c r="BT12">
        <v>1038</v>
      </c>
      <c r="BU12">
        <v>6988</v>
      </c>
      <c r="BV12">
        <v>508</v>
      </c>
      <c r="BW12">
        <v>126</v>
      </c>
      <c r="BX12">
        <v>0</v>
      </c>
      <c r="BY12">
        <v>5236</v>
      </c>
      <c r="BZ12">
        <v>1117</v>
      </c>
      <c r="CA12">
        <v>76982</v>
      </c>
    </row>
    <row r="13" spans="1:79">
      <c r="A13" t="s">
        <v>169</v>
      </c>
      <c r="B13">
        <v>17201</v>
      </c>
      <c r="C13">
        <v>743</v>
      </c>
      <c r="D13">
        <v>3442</v>
      </c>
      <c r="E13">
        <v>1834</v>
      </c>
      <c r="F13">
        <v>1203</v>
      </c>
      <c r="G13">
        <v>6042</v>
      </c>
      <c r="H13">
        <v>1156</v>
      </c>
      <c r="I13">
        <v>1723</v>
      </c>
      <c r="J13">
        <v>193</v>
      </c>
      <c r="K13">
        <v>558</v>
      </c>
      <c r="L13">
        <v>303</v>
      </c>
      <c r="M13">
        <v>892</v>
      </c>
      <c r="N13">
        <v>835</v>
      </c>
      <c r="O13">
        <v>55</v>
      </c>
      <c r="P13">
        <v>17144</v>
      </c>
      <c r="Q13">
        <v>546</v>
      </c>
      <c r="R13">
        <v>255</v>
      </c>
      <c r="S13">
        <v>11</v>
      </c>
      <c r="T13">
        <v>683</v>
      </c>
      <c r="U13">
        <v>19</v>
      </c>
      <c r="V13">
        <v>5225</v>
      </c>
      <c r="W13">
        <v>383</v>
      </c>
      <c r="X13">
        <v>9801</v>
      </c>
      <c r="Y13">
        <v>227</v>
      </c>
      <c r="Z13">
        <v>14968</v>
      </c>
      <c r="AA13">
        <v>8821</v>
      </c>
      <c r="AB13">
        <v>4102</v>
      </c>
      <c r="AC13">
        <v>2043</v>
      </c>
      <c r="AD13">
        <v>270</v>
      </c>
      <c r="AE13">
        <v>196</v>
      </c>
      <c r="AF13">
        <v>30</v>
      </c>
      <c r="AG13">
        <v>44</v>
      </c>
      <c r="AH13">
        <v>3216</v>
      </c>
      <c r="AI13">
        <v>143</v>
      </c>
      <c r="AJ13">
        <v>328</v>
      </c>
      <c r="AK13">
        <v>439</v>
      </c>
      <c r="AL13">
        <v>1058</v>
      </c>
      <c r="AM13">
        <v>298</v>
      </c>
      <c r="AN13">
        <v>21</v>
      </c>
      <c r="AO13">
        <v>318</v>
      </c>
      <c r="AP13">
        <v>162</v>
      </c>
      <c r="AQ13">
        <v>446</v>
      </c>
      <c r="AR13">
        <v>9917</v>
      </c>
      <c r="AS13">
        <v>510</v>
      </c>
      <c r="AT13">
        <v>163</v>
      </c>
      <c r="AU13">
        <v>107</v>
      </c>
      <c r="AV13">
        <v>416</v>
      </c>
      <c r="AW13">
        <v>626</v>
      </c>
      <c r="AX13">
        <v>783</v>
      </c>
      <c r="AY13">
        <v>1666</v>
      </c>
      <c r="AZ13">
        <v>4897</v>
      </c>
      <c r="BA13">
        <v>749</v>
      </c>
      <c r="BB13">
        <v>11323</v>
      </c>
      <c r="BC13">
        <v>1035</v>
      </c>
      <c r="BD13">
        <v>1189</v>
      </c>
      <c r="BE13">
        <v>221</v>
      </c>
      <c r="BF13">
        <v>1146</v>
      </c>
      <c r="BG13">
        <v>1674</v>
      </c>
      <c r="BH13">
        <v>987</v>
      </c>
      <c r="BI13">
        <v>1262</v>
      </c>
      <c r="BJ13">
        <v>1869</v>
      </c>
      <c r="BK13">
        <v>1931</v>
      </c>
      <c r="BL13">
        <v>3054</v>
      </c>
      <c r="BM13">
        <v>87</v>
      </c>
      <c r="BN13">
        <v>97</v>
      </c>
      <c r="BO13">
        <v>14</v>
      </c>
      <c r="BP13">
        <v>376</v>
      </c>
      <c r="BQ13">
        <v>59</v>
      </c>
      <c r="BR13">
        <v>710</v>
      </c>
      <c r="BS13">
        <v>665</v>
      </c>
      <c r="BT13">
        <v>1043</v>
      </c>
      <c r="BU13">
        <v>6807</v>
      </c>
      <c r="BV13">
        <v>530</v>
      </c>
      <c r="BW13">
        <v>128</v>
      </c>
      <c r="BX13">
        <v>1</v>
      </c>
      <c r="BY13">
        <v>4923</v>
      </c>
      <c r="BZ13">
        <v>1220</v>
      </c>
      <c r="CA13">
        <v>84790</v>
      </c>
    </row>
    <row r="14" spans="1:79">
      <c r="A14" t="s">
        <v>170</v>
      </c>
      <c r="B14">
        <v>15156</v>
      </c>
      <c r="C14">
        <v>567</v>
      </c>
      <c r="D14">
        <v>3911</v>
      </c>
      <c r="E14">
        <v>2142</v>
      </c>
      <c r="F14">
        <v>1178</v>
      </c>
      <c r="G14">
        <v>5017</v>
      </c>
      <c r="H14">
        <v>1135</v>
      </c>
      <c r="I14">
        <v>180</v>
      </c>
      <c r="J14">
        <v>176</v>
      </c>
      <c r="K14">
        <v>545</v>
      </c>
      <c r="L14">
        <v>301</v>
      </c>
      <c r="M14">
        <v>1156</v>
      </c>
      <c r="N14">
        <v>1084</v>
      </c>
      <c r="O14">
        <v>70</v>
      </c>
      <c r="P14">
        <v>17909</v>
      </c>
      <c r="Q14">
        <v>510</v>
      </c>
      <c r="R14">
        <v>452</v>
      </c>
      <c r="S14">
        <v>10</v>
      </c>
      <c r="T14">
        <v>699</v>
      </c>
      <c r="U14">
        <v>22</v>
      </c>
      <c r="V14">
        <v>4503</v>
      </c>
      <c r="W14">
        <v>449</v>
      </c>
      <c r="X14">
        <v>11015</v>
      </c>
      <c r="Y14">
        <v>248</v>
      </c>
      <c r="Z14">
        <v>15077</v>
      </c>
      <c r="AA14">
        <v>9849</v>
      </c>
      <c r="AB14">
        <v>3374</v>
      </c>
      <c r="AC14">
        <v>1855</v>
      </c>
      <c r="AD14">
        <v>385</v>
      </c>
      <c r="AE14">
        <v>265</v>
      </c>
      <c r="AF14">
        <v>70</v>
      </c>
      <c r="AG14">
        <v>50</v>
      </c>
      <c r="AH14">
        <v>3387</v>
      </c>
      <c r="AI14">
        <v>139</v>
      </c>
      <c r="AJ14">
        <v>316</v>
      </c>
      <c r="AK14">
        <v>525</v>
      </c>
      <c r="AL14">
        <v>1225</v>
      </c>
      <c r="AM14">
        <v>283</v>
      </c>
      <c r="AN14">
        <v>32</v>
      </c>
      <c r="AO14">
        <v>237</v>
      </c>
      <c r="AP14">
        <v>164</v>
      </c>
      <c r="AQ14">
        <v>467</v>
      </c>
      <c r="AR14">
        <v>10423</v>
      </c>
      <c r="AS14">
        <v>497</v>
      </c>
      <c r="AT14">
        <v>169</v>
      </c>
      <c r="AU14">
        <v>104</v>
      </c>
      <c r="AV14">
        <v>421</v>
      </c>
      <c r="AW14">
        <v>593</v>
      </c>
      <c r="AX14">
        <v>698</v>
      </c>
      <c r="AY14">
        <v>1826</v>
      </c>
      <c r="AZ14">
        <v>5418</v>
      </c>
      <c r="BA14">
        <v>702</v>
      </c>
      <c r="BB14">
        <v>10654</v>
      </c>
      <c r="BC14">
        <v>808</v>
      </c>
      <c r="BD14">
        <v>1365</v>
      </c>
      <c r="BE14">
        <v>181</v>
      </c>
      <c r="BF14">
        <v>1034</v>
      </c>
      <c r="BG14">
        <v>1565</v>
      </c>
      <c r="BH14">
        <v>862</v>
      </c>
      <c r="BI14">
        <v>1277</v>
      </c>
      <c r="BJ14">
        <v>1863</v>
      </c>
      <c r="BK14">
        <v>1701</v>
      </c>
      <c r="BL14">
        <v>3342</v>
      </c>
      <c r="BM14">
        <v>85</v>
      </c>
      <c r="BN14">
        <v>98</v>
      </c>
      <c r="BO14">
        <v>12</v>
      </c>
      <c r="BP14">
        <v>365</v>
      </c>
      <c r="BQ14">
        <v>62</v>
      </c>
      <c r="BR14">
        <v>872</v>
      </c>
      <c r="BS14">
        <v>671</v>
      </c>
      <c r="BT14">
        <v>1180</v>
      </c>
      <c r="BU14">
        <v>11495</v>
      </c>
      <c r="BV14">
        <v>766</v>
      </c>
      <c r="BW14">
        <v>135</v>
      </c>
      <c r="BX14">
        <v>2</v>
      </c>
      <c r="BY14">
        <v>7642</v>
      </c>
      <c r="BZ14">
        <v>2948</v>
      </c>
      <c r="CA14">
        <v>88987</v>
      </c>
    </row>
    <row r="15" spans="1:79">
      <c r="A15" t="s">
        <v>171</v>
      </c>
      <c r="B15">
        <v>15876</v>
      </c>
      <c r="C15">
        <v>698</v>
      </c>
      <c r="D15">
        <v>4163</v>
      </c>
      <c r="E15">
        <v>2209</v>
      </c>
      <c r="F15">
        <v>1387</v>
      </c>
      <c r="G15">
        <v>4882</v>
      </c>
      <c r="H15">
        <v>1192</v>
      </c>
      <c r="I15">
        <v>164</v>
      </c>
      <c r="J15">
        <v>213</v>
      </c>
      <c r="K15">
        <v>626</v>
      </c>
      <c r="L15">
        <v>344</v>
      </c>
      <c r="M15">
        <v>1402</v>
      </c>
      <c r="N15">
        <v>1345</v>
      </c>
      <c r="O15">
        <v>57</v>
      </c>
      <c r="P15">
        <v>16667</v>
      </c>
      <c r="Q15">
        <v>343</v>
      </c>
      <c r="R15">
        <v>777</v>
      </c>
      <c r="S15">
        <v>13</v>
      </c>
      <c r="T15">
        <v>698</v>
      </c>
      <c r="U15">
        <v>30</v>
      </c>
      <c r="V15">
        <v>3972</v>
      </c>
      <c r="W15">
        <v>415</v>
      </c>
      <c r="X15">
        <v>10164</v>
      </c>
      <c r="Y15">
        <v>257</v>
      </c>
      <c r="Z15">
        <v>14464</v>
      </c>
      <c r="AA15">
        <v>8406</v>
      </c>
      <c r="AB15">
        <v>4174</v>
      </c>
      <c r="AC15">
        <v>1880</v>
      </c>
      <c r="AD15">
        <v>324</v>
      </c>
      <c r="AE15">
        <v>226</v>
      </c>
      <c r="AF15">
        <v>51</v>
      </c>
      <c r="AG15">
        <v>51</v>
      </c>
      <c r="AH15">
        <v>3854</v>
      </c>
      <c r="AI15">
        <v>159</v>
      </c>
      <c r="AJ15">
        <v>380</v>
      </c>
      <c r="AK15">
        <v>524</v>
      </c>
      <c r="AL15">
        <v>1481</v>
      </c>
      <c r="AM15">
        <v>334</v>
      </c>
      <c r="AN15">
        <v>31</v>
      </c>
      <c r="AO15">
        <v>232</v>
      </c>
      <c r="AP15">
        <v>178</v>
      </c>
      <c r="AQ15">
        <v>536</v>
      </c>
      <c r="AR15">
        <v>10678</v>
      </c>
      <c r="AS15">
        <v>430</v>
      </c>
      <c r="AT15">
        <v>180</v>
      </c>
      <c r="AU15">
        <v>138</v>
      </c>
      <c r="AV15">
        <v>470</v>
      </c>
      <c r="AW15">
        <v>604</v>
      </c>
      <c r="AX15">
        <v>868</v>
      </c>
      <c r="AY15">
        <v>1362</v>
      </c>
      <c r="AZ15">
        <v>5974</v>
      </c>
      <c r="BA15">
        <v>658</v>
      </c>
      <c r="BB15">
        <v>10987</v>
      </c>
      <c r="BC15">
        <v>793</v>
      </c>
      <c r="BD15">
        <v>1096</v>
      </c>
      <c r="BE15">
        <v>197</v>
      </c>
      <c r="BF15">
        <v>1029</v>
      </c>
      <c r="BG15">
        <v>1405</v>
      </c>
      <c r="BH15">
        <v>906</v>
      </c>
      <c r="BI15">
        <v>1298</v>
      </c>
      <c r="BJ15">
        <v>2441</v>
      </c>
      <c r="BK15">
        <v>1823</v>
      </c>
      <c r="BL15">
        <v>3624</v>
      </c>
      <c r="BM15">
        <v>77</v>
      </c>
      <c r="BN15">
        <v>127</v>
      </c>
      <c r="BO15">
        <v>12</v>
      </c>
      <c r="BP15">
        <v>331</v>
      </c>
      <c r="BQ15">
        <v>63</v>
      </c>
      <c r="BR15">
        <v>1004</v>
      </c>
      <c r="BS15">
        <v>784</v>
      </c>
      <c r="BT15">
        <v>1220</v>
      </c>
      <c r="BU15">
        <v>9016</v>
      </c>
      <c r="BV15">
        <v>1807</v>
      </c>
      <c r="BW15">
        <v>98</v>
      </c>
      <c r="BX15">
        <v>8</v>
      </c>
      <c r="BY15">
        <v>4810</v>
      </c>
      <c r="BZ15">
        <v>2295</v>
      </c>
      <c r="CA15">
        <v>86893</v>
      </c>
    </row>
    <row r="16" spans="1:79">
      <c r="A16" t="s">
        <v>172</v>
      </c>
      <c r="B16">
        <v>18965</v>
      </c>
      <c r="C16">
        <v>798</v>
      </c>
      <c r="D16">
        <v>5038</v>
      </c>
      <c r="E16">
        <v>2724</v>
      </c>
      <c r="F16">
        <v>1690</v>
      </c>
      <c r="G16">
        <v>5406</v>
      </c>
      <c r="H16">
        <v>1460</v>
      </c>
      <c r="I16">
        <v>209</v>
      </c>
      <c r="J16">
        <v>257</v>
      </c>
      <c r="K16">
        <v>977</v>
      </c>
      <c r="L16">
        <v>415</v>
      </c>
      <c r="M16">
        <v>1770</v>
      </c>
      <c r="N16">
        <v>1715</v>
      </c>
      <c r="O16">
        <v>56</v>
      </c>
      <c r="P16">
        <v>21235</v>
      </c>
      <c r="Q16">
        <v>594</v>
      </c>
      <c r="R16">
        <v>723</v>
      </c>
      <c r="S16">
        <v>11</v>
      </c>
      <c r="T16">
        <v>871</v>
      </c>
      <c r="U16">
        <v>52</v>
      </c>
      <c r="V16">
        <v>4879</v>
      </c>
      <c r="W16">
        <v>451</v>
      </c>
      <c r="X16">
        <v>13382</v>
      </c>
      <c r="Y16">
        <v>273</v>
      </c>
      <c r="Z16">
        <v>23041</v>
      </c>
      <c r="AA16">
        <v>9349</v>
      </c>
      <c r="AB16">
        <v>10465</v>
      </c>
      <c r="AC16">
        <v>3227</v>
      </c>
      <c r="AD16">
        <v>305</v>
      </c>
      <c r="AE16">
        <v>215</v>
      </c>
      <c r="AF16">
        <v>42</v>
      </c>
      <c r="AG16">
        <v>50</v>
      </c>
      <c r="AH16">
        <v>4717</v>
      </c>
      <c r="AI16">
        <v>123</v>
      </c>
      <c r="AJ16">
        <v>489</v>
      </c>
      <c r="AK16">
        <v>620</v>
      </c>
      <c r="AL16">
        <v>2016</v>
      </c>
      <c r="AM16">
        <v>377</v>
      </c>
      <c r="AN16">
        <v>74</v>
      </c>
      <c r="AO16">
        <v>218</v>
      </c>
      <c r="AP16">
        <v>201</v>
      </c>
      <c r="AQ16">
        <v>598</v>
      </c>
      <c r="AR16">
        <v>13572</v>
      </c>
      <c r="AS16">
        <v>504</v>
      </c>
      <c r="AT16">
        <v>165</v>
      </c>
      <c r="AU16">
        <v>174</v>
      </c>
      <c r="AV16">
        <v>565</v>
      </c>
      <c r="AW16">
        <v>600</v>
      </c>
      <c r="AX16">
        <v>1010</v>
      </c>
      <c r="AY16">
        <v>1172</v>
      </c>
      <c r="AZ16">
        <v>8715</v>
      </c>
      <c r="BA16">
        <v>666</v>
      </c>
      <c r="BB16">
        <v>12487</v>
      </c>
      <c r="BC16">
        <v>966</v>
      </c>
      <c r="BD16">
        <v>1235</v>
      </c>
      <c r="BE16">
        <v>256</v>
      </c>
      <c r="BF16">
        <v>1119</v>
      </c>
      <c r="BG16">
        <v>1404</v>
      </c>
      <c r="BH16">
        <v>1450</v>
      </c>
      <c r="BI16">
        <v>1502</v>
      </c>
      <c r="BJ16">
        <v>3275</v>
      </c>
      <c r="BK16">
        <v>1287</v>
      </c>
      <c r="BL16">
        <v>4169</v>
      </c>
      <c r="BM16">
        <v>84</v>
      </c>
      <c r="BN16">
        <v>121</v>
      </c>
      <c r="BO16">
        <v>14</v>
      </c>
      <c r="BP16">
        <v>340</v>
      </c>
      <c r="BQ16">
        <v>65</v>
      </c>
      <c r="BR16">
        <v>1132</v>
      </c>
      <c r="BS16">
        <v>1061</v>
      </c>
      <c r="BT16">
        <v>1349</v>
      </c>
      <c r="BU16">
        <v>10096</v>
      </c>
      <c r="BV16">
        <v>1792</v>
      </c>
      <c r="BW16">
        <v>83</v>
      </c>
      <c r="BX16">
        <v>5</v>
      </c>
      <c r="BY16">
        <v>4952</v>
      </c>
      <c r="BZ16">
        <v>3260</v>
      </c>
      <c r="CA16">
        <v>110355</v>
      </c>
    </row>
    <row r="17" spans="1:79">
      <c r="A17" t="s">
        <v>173</v>
      </c>
      <c r="B17">
        <v>21991</v>
      </c>
      <c r="C17">
        <v>1030</v>
      </c>
      <c r="D17">
        <v>6369</v>
      </c>
      <c r="E17">
        <v>3049</v>
      </c>
      <c r="F17">
        <v>1711</v>
      </c>
      <c r="G17">
        <v>6281</v>
      </c>
      <c r="H17">
        <v>1634</v>
      </c>
      <c r="I17">
        <v>224</v>
      </c>
      <c r="J17">
        <v>258</v>
      </c>
      <c r="K17">
        <v>997</v>
      </c>
      <c r="L17">
        <v>435</v>
      </c>
      <c r="M17">
        <v>2185</v>
      </c>
      <c r="N17">
        <v>2115</v>
      </c>
      <c r="O17">
        <v>72</v>
      </c>
      <c r="P17">
        <v>23771</v>
      </c>
      <c r="Q17">
        <v>828</v>
      </c>
      <c r="R17">
        <v>735</v>
      </c>
      <c r="S17">
        <v>17</v>
      </c>
      <c r="T17">
        <v>859</v>
      </c>
      <c r="U17">
        <v>51</v>
      </c>
      <c r="V17">
        <v>5582</v>
      </c>
      <c r="W17">
        <v>531</v>
      </c>
      <c r="X17">
        <v>14868</v>
      </c>
      <c r="Y17">
        <v>303</v>
      </c>
      <c r="Z17">
        <v>25428</v>
      </c>
      <c r="AA17">
        <v>12514</v>
      </c>
      <c r="AB17">
        <v>9212</v>
      </c>
      <c r="AC17">
        <v>3704</v>
      </c>
      <c r="AD17">
        <v>308</v>
      </c>
      <c r="AE17">
        <v>217</v>
      </c>
      <c r="AF17">
        <v>44</v>
      </c>
      <c r="AG17">
        <v>48</v>
      </c>
      <c r="AH17">
        <v>5421</v>
      </c>
      <c r="AI17">
        <v>136</v>
      </c>
      <c r="AJ17">
        <v>564</v>
      </c>
      <c r="AK17">
        <v>647</v>
      </c>
      <c r="AL17">
        <v>2434</v>
      </c>
      <c r="AM17">
        <v>394</v>
      </c>
      <c r="AN17">
        <v>152</v>
      </c>
      <c r="AO17">
        <v>234</v>
      </c>
      <c r="AP17">
        <v>229</v>
      </c>
      <c r="AQ17">
        <v>635</v>
      </c>
      <c r="AR17">
        <v>13919</v>
      </c>
      <c r="AS17">
        <v>545</v>
      </c>
      <c r="AT17">
        <v>173</v>
      </c>
      <c r="AU17">
        <v>217</v>
      </c>
      <c r="AV17">
        <v>661</v>
      </c>
      <c r="AW17">
        <v>568</v>
      </c>
      <c r="AX17">
        <v>952</v>
      </c>
      <c r="AY17">
        <v>737</v>
      </c>
      <c r="AZ17">
        <v>9319</v>
      </c>
      <c r="BA17">
        <v>751</v>
      </c>
      <c r="BB17">
        <v>13842</v>
      </c>
      <c r="BC17">
        <v>750</v>
      </c>
      <c r="BD17">
        <v>1376</v>
      </c>
      <c r="BE17">
        <v>208</v>
      </c>
      <c r="BF17">
        <v>1303</v>
      </c>
      <c r="BG17">
        <v>1638</v>
      </c>
      <c r="BH17">
        <v>1357</v>
      </c>
      <c r="BI17">
        <v>1709</v>
      </c>
      <c r="BJ17">
        <v>4250</v>
      </c>
      <c r="BK17">
        <v>1251</v>
      </c>
      <c r="BL17">
        <v>4565</v>
      </c>
      <c r="BM17">
        <v>95</v>
      </c>
      <c r="BN17">
        <v>148</v>
      </c>
      <c r="BO17">
        <v>13</v>
      </c>
      <c r="BP17">
        <v>369</v>
      </c>
      <c r="BQ17">
        <v>62</v>
      </c>
      <c r="BR17">
        <v>1291</v>
      </c>
      <c r="BS17">
        <v>1113</v>
      </c>
      <c r="BT17">
        <v>1470</v>
      </c>
      <c r="BU17">
        <v>11096</v>
      </c>
      <c r="BV17">
        <v>2232</v>
      </c>
      <c r="BW17">
        <v>61</v>
      </c>
      <c r="BX17">
        <v>0</v>
      </c>
      <c r="BY17">
        <v>5157</v>
      </c>
      <c r="BZ17">
        <v>3645</v>
      </c>
      <c r="CA17">
        <v>122531</v>
      </c>
    </row>
    <row r="18" spans="1:79">
      <c r="A18" t="s">
        <v>174</v>
      </c>
      <c r="B18">
        <v>21142</v>
      </c>
      <c r="C18">
        <v>1168</v>
      </c>
      <c r="D18">
        <v>5952</v>
      </c>
      <c r="E18">
        <v>2887</v>
      </c>
      <c r="F18">
        <v>1627</v>
      </c>
      <c r="G18">
        <v>5959</v>
      </c>
      <c r="H18">
        <v>1644</v>
      </c>
      <c r="I18">
        <v>230</v>
      </c>
      <c r="J18">
        <v>281</v>
      </c>
      <c r="K18">
        <v>959</v>
      </c>
      <c r="L18">
        <v>439</v>
      </c>
      <c r="M18">
        <v>2617</v>
      </c>
      <c r="N18">
        <v>2516</v>
      </c>
      <c r="O18">
        <v>100</v>
      </c>
      <c r="P18">
        <v>22044</v>
      </c>
      <c r="Q18">
        <v>658</v>
      </c>
      <c r="R18">
        <v>757</v>
      </c>
      <c r="S18">
        <v>19</v>
      </c>
      <c r="T18">
        <v>972</v>
      </c>
      <c r="U18">
        <v>48</v>
      </c>
      <c r="V18">
        <v>4896</v>
      </c>
      <c r="W18">
        <v>502</v>
      </c>
      <c r="X18">
        <v>13889</v>
      </c>
      <c r="Y18">
        <v>301</v>
      </c>
      <c r="Z18">
        <v>24699</v>
      </c>
      <c r="AA18">
        <v>12877</v>
      </c>
      <c r="AB18">
        <v>8622</v>
      </c>
      <c r="AC18">
        <v>3201</v>
      </c>
      <c r="AD18">
        <v>316</v>
      </c>
      <c r="AE18">
        <v>208</v>
      </c>
      <c r="AF18">
        <v>55</v>
      </c>
      <c r="AG18">
        <v>57</v>
      </c>
      <c r="AH18">
        <v>5078</v>
      </c>
      <c r="AI18">
        <v>131</v>
      </c>
      <c r="AJ18">
        <v>548</v>
      </c>
      <c r="AK18">
        <v>679</v>
      </c>
      <c r="AL18">
        <v>1944</v>
      </c>
      <c r="AM18">
        <v>492</v>
      </c>
      <c r="AN18">
        <v>118</v>
      </c>
      <c r="AO18">
        <v>234</v>
      </c>
      <c r="AP18">
        <v>253</v>
      </c>
      <c r="AQ18">
        <v>674</v>
      </c>
      <c r="AR18">
        <v>13460</v>
      </c>
      <c r="AS18">
        <v>622</v>
      </c>
      <c r="AT18">
        <v>141</v>
      </c>
      <c r="AU18">
        <v>222</v>
      </c>
      <c r="AV18">
        <v>790</v>
      </c>
      <c r="AW18">
        <v>518</v>
      </c>
      <c r="AX18">
        <v>923</v>
      </c>
      <c r="AY18">
        <v>795</v>
      </c>
      <c r="AZ18">
        <v>8637</v>
      </c>
      <c r="BA18">
        <v>813</v>
      </c>
      <c r="BB18">
        <v>14197</v>
      </c>
      <c r="BC18">
        <v>675</v>
      </c>
      <c r="BD18">
        <v>1367</v>
      </c>
      <c r="BE18">
        <v>143</v>
      </c>
      <c r="BF18">
        <v>1259</v>
      </c>
      <c r="BG18">
        <v>1610</v>
      </c>
      <c r="BH18">
        <v>751</v>
      </c>
      <c r="BI18">
        <v>1724</v>
      </c>
      <c r="BJ18">
        <v>4263</v>
      </c>
      <c r="BK18">
        <v>2400</v>
      </c>
      <c r="BL18">
        <v>4431</v>
      </c>
      <c r="BM18">
        <v>127</v>
      </c>
      <c r="BN18">
        <v>177</v>
      </c>
      <c r="BO18">
        <v>15</v>
      </c>
      <c r="BP18">
        <v>320</v>
      </c>
      <c r="BQ18">
        <v>57</v>
      </c>
      <c r="BR18">
        <v>1335</v>
      </c>
      <c r="BS18">
        <v>725</v>
      </c>
      <c r="BT18">
        <v>1670</v>
      </c>
      <c r="BU18">
        <v>11473</v>
      </c>
      <c r="BV18">
        <v>2493</v>
      </c>
      <c r="BW18">
        <v>68</v>
      </c>
      <c r="BX18">
        <v>0</v>
      </c>
      <c r="BY18">
        <v>5307</v>
      </c>
      <c r="BZ18">
        <v>3603</v>
      </c>
      <c r="CA18">
        <v>119458</v>
      </c>
    </row>
    <row r="19" spans="1:79">
      <c r="A19" t="s">
        <v>175</v>
      </c>
      <c r="B19">
        <v>16385</v>
      </c>
      <c r="C19">
        <v>969</v>
      </c>
      <c r="D19">
        <v>5309</v>
      </c>
      <c r="E19">
        <v>2071</v>
      </c>
      <c r="F19">
        <v>1351</v>
      </c>
      <c r="G19">
        <v>3651</v>
      </c>
      <c r="H19">
        <v>1231</v>
      </c>
      <c r="I19">
        <v>178</v>
      </c>
      <c r="J19">
        <v>281</v>
      </c>
      <c r="K19">
        <v>868</v>
      </c>
      <c r="L19">
        <v>479</v>
      </c>
      <c r="M19">
        <v>2626</v>
      </c>
      <c r="N19">
        <v>2528</v>
      </c>
      <c r="O19">
        <v>98</v>
      </c>
      <c r="P19">
        <v>20202</v>
      </c>
      <c r="Q19">
        <v>637</v>
      </c>
      <c r="R19">
        <v>373</v>
      </c>
      <c r="S19">
        <v>16</v>
      </c>
      <c r="T19">
        <v>959</v>
      </c>
      <c r="U19">
        <v>56</v>
      </c>
      <c r="V19">
        <v>3497</v>
      </c>
      <c r="W19">
        <v>450</v>
      </c>
      <c r="X19">
        <v>13968</v>
      </c>
      <c r="Y19">
        <v>242</v>
      </c>
      <c r="Z19">
        <v>21348</v>
      </c>
      <c r="AA19">
        <v>10900</v>
      </c>
      <c r="AB19">
        <v>7244</v>
      </c>
      <c r="AC19">
        <v>3201</v>
      </c>
      <c r="AD19">
        <v>326</v>
      </c>
      <c r="AE19">
        <v>239</v>
      </c>
      <c r="AF19">
        <v>38</v>
      </c>
      <c r="AG19">
        <v>51</v>
      </c>
      <c r="AH19">
        <v>5193</v>
      </c>
      <c r="AI19">
        <v>145</v>
      </c>
      <c r="AJ19">
        <v>522</v>
      </c>
      <c r="AK19">
        <v>618</v>
      </c>
      <c r="AL19">
        <v>2236</v>
      </c>
      <c r="AM19">
        <v>432</v>
      </c>
      <c r="AN19">
        <v>151</v>
      </c>
      <c r="AO19">
        <v>203</v>
      </c>
      <c r="AP19">
        <v>243</v>
      </c>
      <c r="AQ19">
        <v>643</v>
      </c>
      <c r="AR19">
        <v>11371</v>
      </c>
      <c r="AS19">
        <v>520</v>
      </c>
      <c r="AT19">
        <v>135</v>
      </c>
      <c r="AU19">
        <v>195</v>
      </c>
      <c r="AV19">
        <v>745</v>
      </c>
      <c r="AW19">
        <v>475</v>
      </c>
      <c r="AX19">
        <v>870</v>
      </c>
      <c r="AY19">
        <v>893</v>
      </c>
      <c r="AZ19">
        <v>6770</v>
      </c>
      <c r="BA19">
        <v>771</v>
      </c>
      <c r="BB19">
        <v>12451</v>
      </c>
      <c r="BC19">
        <v>746</v>
      </c>
      <c r="BD19">
        <v>1178</v>
      </c>
      <c r="BE19">
        <v>141</v>
      </c>
      <c r="BF19">
        <v>1247</v>
      </c>
      <c r="BG19">
        <v>1338</v>
      </c>
      <c r="BH19">
        <v>779</v>
      </c>
      <c r="BI19">
        <v>1536</v>
      </c>
      <c r="BJ19">
        <v>4101</v>
      </c>
      <c r="BK19">
        <v>1385</v>
      </c>
      <c r="BL19">
        <v>4283</v>
      </c>
      <c r="BM19">
        <v>97</v>
      </c>
      <c r="BN19">
        <v>158</v>
      </c>
      <c r="BO19">
        <v>21</v>
      </c>
      <c r="BP19">
        <v>331</v>
      </c>
      <c r="BQ19">
        <v>50</v>
      </c>
      <c r="BR19">
        <v>1205</v>
      </c>
      <c r="BS19">
        <v>583</v>
      </c>
      <c r="BT19">
        <v>1846</v>
      </c>
      <c r="BU19">
        <v>13767</v>
      </c>
      <c r="BV19">
        <v>2703</v>
      </c>
      <c r="BW19">
        <v>80</v>
      </c>
      <c r="BX19">
        <v>0</v>
      </c>
      <c r="BY19">
        <v>5863</v>
      </c>
      <c r="BZ19">
        <v>5120</v>
      </c>
      <c r="CA19">
        <v>107956</v>
      </c>
    </row>
    <row r="20" spans="1:79">
      <c r="A20" t="s">
        <v>176</v>
      </c>
      <c r="B20">
        <v>20438</v>
      </c>
      <c r="C20">
        <v>829</v>
      </c>
      <c r="D20">
        <v>6552</v>
      </c>
      <c r="E20">
        <v>2377</v>
      </c>
      <c r="F20">
        <v>1231</v>
      </c>
      <c r="G20">
        <v>6192</v>
      </c>
      <c r="H20">
        <v>1285</v>
      </c>
      <c r="I20">
        <v>200</v>
      </c>
      <c r="J20">
        <v>286</v>
      </c>
      <c r="K20">
        <v>1017</v>
      </c>
      <c r="L20">
        <v>466</v>
      </c>
      <c r="M20">
        <v>2944</v>
      </c>
      <c r="N20">
        <v>2837</v>
      </c>
      <c r="O20">
        <v>105</v>
      </c>
      <c r="P20">
        <v>23060</v>
      </c>
      <c r="Q20">
        <v>686</v>
      </c>
      <c r="R20">
        <v>635</v>
      </c>
      <c r="S20">
        <v>15</v>
      </c>
      <c r="T20">
        <v>1043</v>
      </c>
      <c r="U20">
        <v>69</v>
      </c>
      <c r="V20">
        <v>3580</v>
      </c>
      <c r="W20">
        <v>420</v>
      </c>
      <c r="X20">
        <v>16333</v>
      </c>
      <c r="Y20">
        <v>277</v>
      </c>
      <c r="Z20">
        <v>23838</v>
      </c>
      <c r="AA20">
        <v>13475</v>
      </c>
      <c r="AB20">
        <v>7088</v>
      </c>
      <c r="AC20">
        <v>3273</v>
      </c>
      <c r="AD20">
        <v>365</v>
      </c>
      <c r="AE20">
        <v>240</v>
      </c>
      <c r="AF20">
        <v>61</v>
      </c>
      <c r="AG20">
        <v>65</v>
      </c>
      <c r="AH20">
        <v>5523</v>
      </c>
      <c r="AI20">
        <v>131</v>
      </c>
      <c r="AJ20">
        <v>512</v>
      </c>
      <c r="AK20">
        <v>627</v>
      </c>
      <c r="AL20">
        <v>2599</v>
      </c>
      <c r="AM20">
        <v>417</v>
      </c>
      <c r="AN20">
        <v>136</v>
      </c>
      <c r="AO20">
        <v>215</v>
      </c>
      <c r="AP20">
        <v>282</v>
      </c>
      <c r="AQ20">
        <v>607</v>
      </c>
      <c r="AR20">
        <v>12013</v>
      </c>
      <c r="AS20">
        <v>452</v>
      </c>
      <c r="AT20">
        <v>145</v>
      </c>
      <c r="AU20">
        <v>232</v>
      </c>
      <c r="AV20">
        <v>764</v>
      </c>
      <c r="AW20">
        <v>445</v>
      </c>
      <c r="AX20">
        <v>829</v>
      </c>
      <c r="AY20">
        <v>867</v>
      </c>
      <c r="AZ20">
        <v>7506</v>
      </c>
      <c r="BA20">
        <v>771</v>
      </c>
      <c r="BB20">
        <v>11972</v>
      </c>
      <c r="BC20">
        <v>935</v>
      </c>
      <c r="BD20">
        <v>1187</v>
      </c>
      <c r="BE20">
        <v>137</v>
      </c>
      <c r="BF20">
        <v>1370</v>
      </c>
      <c r="BG20">
        <v>1128</v>
      </c>
      <c r="BH20">
        <v>859</v>
      </c>
      <c r="BI20">
        <v>1537</v>
      </c>
      <c r="BJ20">
        <v>3947</v>
      </c>
      <c r="BK20">
        <v>870</v>
      </c>
      <c r="BL20">
        <v>4404</v>
      </c>
      <c r="BM20">
        <v>99</v>
      </c>
      <c r="BN20">
        <v>132</v>
      </c>
      <c r="BO20">
        <v>21</v>
      </c>
      <c r="BP20">
        <v>290</v>
      </c>
      <c r="BQ20">
        <v>44</v>
      </c>
      <c r="BR20">
        <v>1307</v>
      </c>
      <c r="BS20">
        <v>567</v>
      </c>
      <c r="BT20">
        <v>1946</v>
      </c>
      <c r="BU20">
        <v>13217</v>
      </c>
      <c r="BV20">
        <v>1936</v>
      </c>
      <c r="BW20">
        <v>109</v>
      </c>
      <c r="BX20">
        <v>0</v>
      </c>
      <c r="BY20">
        <v>5641</v>
      </c>
      <c r="BZ20">
        <v>5530</v>
      </c>
      <c r="CA20">
        <v>117773</v>
      </c>
    </row>
    <row r="21" spans="1:79">
      <c r="A21" t="s">
        <v>177</v>
      </c>
      <c r="B21">
        <v>18739</v>
      </c>
      <c r="C21">
        <v>817</v>
      </c>
      <c r="D21">
        <v>6860</v>
      </c>
      <c r="E21">
        <v>2439</v>
      </c>
      <c r="F21">
        <v>1222</v>
      </c>
      <c r="G21">
        <v>4406</v>
      </c>
      <c r="H21">
        <v>1289</v>
      </c>
      <c r="I21">
        <v>212</v>
      </c>
      <c r="J21">
        <v>245</v>
      </c>
      <c r="K21">
        <v>806</v>
      </c>
      <c r="L21">
        <v>442</v>
      </c>
      <c r="M21">
        <v>2963</v>
      </c>
      <c r="N21">
        <v>2884</v>
      </c>
      <c r="O21">
        <v>77</v>
      </c>
      <c r="P21">
        <v>30128</v>
      </c>
      <c r="Q21">
        <v>623</v>
      </c>
      <c r="R21">
        <v>398</v>
      </c>
      <c r="S21">
        <v>9</v>
      </c>
      <c r="T21">
        <v>1017</v>
      </c>
      <c r="U21">
        <v>131</v>
      </c>
      <c r="V21">
        <v>3362</v>
      </c>
      <c r="W21">
        <v>503</v>
      </c>
      <c r="X21">
        <v>23806</v>
      </c>
      <c r="Y21">
        <v>279</v>
      </c>
      <c r="Z21">
        <v>35570</v>
      </c>
      <c r="AA21">
        <v>21895</v>
      </c>
      <c r="AB21">
        <v>9054</v>
      </c>
      <c r="AC21">
        <v>4622</v>
      </c>
      <c r="AD21">
        <v>293</v>
      </c>
      <c r="AE21">
        <v>204</v>
      </c>
      <c r="AF21">
        <v>56</v>
      </c>
      <c r="AG21">
        <v>36</v>
      </c>
      <c r="AH21">
        <v>6461</v>
      </c>
      <c r="AI21">
        <v>134</v>
      </c>
      <c r="AJ21">
        <v>541</v>
      </c>
      <c r="AK21">
        <v>625</v>
      </c>
      <c r="AL21">
        <v>3229</v>
      </c>
      <c r="AM21">
        <v>462</v>
      </c>
      <c r="AN21">
        <v>188</v>
      </c>
      <c r="AO21">
        <v>310</v>
      </c>
      <c r="AP21">
        <v>317</v>
      </c>
      <c r="AQ21">
        <v>654</v>
      </c>
      <c r="AR21">
        <v>12937</v>
      </c>
      <c r="AS21">
        <v>398</v>
      </c>
      <c r="AT21">
        <v>168</v>
      </c>
      <c r="AU21">
        <v>236</v>
      </c>
      <c r="AV21">
        <v>701</v>
      </c>
      <c r="AW21">
        <v>430</v>
      </c>
      <c r="AX21">
        <v>858</v>
      </c>
      <c r="AY21">
        <v>746</v>
      </c>
      <c r="AZ21">
        <v>8540</v>
      </c>
      <c r="BA21">
        <v>858</v>
      </c>
      <c r="BB21">
        <v>13145</v>
      </c>
      <c r="BC21">
        <v>1119</v>
      </c>
      <c r="BD21">
        <v>1424</v>
      </c>
      <c r="BE21">
        <v>183</v>
      </c>
      <c r="BF21">
        <v>1494</v>
      </c>
      <c r="BG21">
        <v>1215</v>
      </c>
      <c r="BH21">
        <v>794</v>
      </c>
      <c r="BI21">
        <v>1523</v>
      </c>
      <c r="BJ21">
        <v>4287</v>
      </c>
      <c r="BK21">
        <v>1102</v>
      </c>
      <c r="BL21">
        <v>4440</v>
      </c>
      <c r="BM21">
        <v>116</v>
      </c>
      <c r="BN21">
        <v>131</v>
      </c>
      <c r="BO21">
        <v>24</v>
      </c>
      <c r="BP21">
        <v>271</v>
      </c>
      <c r="BQ21">
        <v>44</v>
      </c>
      <c r="BR21">
        <v>1500</v>
      </c>
      <c r="BS21">
        <v>338</v>
      </c>
      <c r="BT21">
        <v>2021</v>
      </c>
      <c r="BU21">
        <v>14401</v>
      </c>
      <c r="BV21">
        <v>2017</v>
      </c>
      <c r="BW21">
        <v>113</v>
      </c>
      <c r="BX21">
        <v>0</v>
      </c>
      <c r="BY21">
        <v>5823</v>
      </c>
      <c r="BZ21">
        <v>6451</v>
      </c>
      <c r="CA21">
        <v>139080</v>
      </c>
    </row>
    <row r="22" spans="1:79">
      <c r="A22" t="s">
        <v>178</v>
      </c>
      <c r="B22">
        <v>20066</v>
      </c>
      <c r="C22">
        <v>881</v>
      </c>
      <c r="D22">
        <v>7084</v>
      </c>
      <c r="E22">
        <v>2424</v>
      </c>
      <c r="F22">
        <v>1222</v>
      </c>
      <c r="G22">
        <v>5193</v>
      </c>
      <c r="H22">
        <v>1453</v>
      </c>
      <c r="I22">
        <v>278</v>
      </c>
      <c r="J22">
        <v>217</v>
      </c>
      <c r="K22">
        <v>874</v>
      </c>
      <c r="L22">
        <v>439</v>
      </c>
      <c r="M22">
        <v>3009</v>
      </c>
      <c r="N22">
        <v>2892</v>
      </c>
      <c r="O22">
        <v>116</v>
      </c>
      <c r="P22">
        <v>39192</v>
      </c>
      <c r="Q22">
        <v>661</v>
      </c>
      <c r="R22">
        <v>366</v>
      </c>
      <c r="S22">
        <v>0</v>
      </c>
      <c r="T22">
        <v>1143</v>
      </c>
      <c r="U22">
        <v>158</v>
      </c>
      <c r="V22">
        <v>3415</v>
      </c>
      <c r="W22">
        <v>542</v>
      </c>
      <c r="X22">
        <v>32664</v>
      </c>
      <c r="Y22">
        <v>238</v>
      </c>
      <c r="Z22">
        <v>39337</v>
      </c>
      <c r="AA22">
        <v>23357</v>
      </c>
      <c r="AB22">
        <v>9812</v>
      </c>
      <c r="AC22">
        <v>6166</v>
      </c>
      <c r="AD22">
        <v>288</v>
      </c>
      <c r="AE22">
        <v>206</v>
      </c>
      <c r="AF22">
        <v>65</v>
      </c>
      <c r="AG22">
        <v>13</v>
      </c>
      <c r="AH22">
        <v>6906</v>
      </c>
      <c r="AI22">
        <v>157</v>
      </c>
      <c r="AJ22">
        <v>648</v>
      </c>
      <c r="AK22">
        <v>641</v>
      </c>
      <c r="AL22">
        <v>3450</v>
      </c>
      <c r="AM22">
        <v>485</v>
      </c>
      <c r="AN22">
        <v>148</v>
      </c>
      <c r="AO22">
        <v>269</v>
      </c>
      <c r="AP22">
        <v>353</v>
      </c>
      <c r="AQ22">
        <v>753</v>
      </c>
      <c r="AR22">
        <v>17287</v>
      </c>
      <c r="AS22">
        <v>419</v>
      </c>
      <c r="AT22">
        <v>182</v>
      </c>
      <c r="AU22">
        <v>202</v>
      </c>
      <c r="AV22">
        <v>721</v>
      </c>
      <c r="AW22">
        <v>414</v>
      </c>
      <c r="AX22">
        <v>896</v>
      </c>
      <c r="AY22">
        <v>1062</v>
      </c>
      <c r="AZ22">
        <v>12413</v>
      </c>
      <c r="BA22">
        <v>978</v>
      </c>
      <c r="BB22">
        <v>12998</v>
      </c>
      <c r="BC22">
        <v>1292</v>
      </c>
      <c r="BD22">
        <v>1439</v>
      </c>
      <c r="BE22">
        <v>177</v>
      </c>
      <c r="BF22">
        <v>1609</v>
      </c>
      <c r="BG22">
        <v>1262</v>
      </c>
      <c r="BH22">
        <v>764</v>
      </c>
      <c r="BI22">
        <v>1638</v>
      </c>
      <c r="BJ22">
        <v>3836</v>
      </c>
      <c r="BK22">
        <v>984</v>
      </c>
      <c r="BL22">
        <v>4803</v>
      </c>
      <c r="BM22">
        <v>108</v>
      </c>
      <c r="BN22">
        <v>141</v>
      </c>
      <c r="BO22">
        <v>25</v>
      </c>
      <c r="BP22">
        <v>244</v>
      </c>
      <c r="BQ22">
        <v>43</v>
      </c>
      <c r="BR22">
        <v>1691</v>
      </c>
      <c r="BS22">
        <v>358</v>
      </c>
      <c r="BT22">
        <v>2186</v>
      </c>
      <c r="BU22">
        <v>19873</v>
      </c>
      <c r="BV22">
        <v>2696</v>
      </c>
      <c r="BW22">
        <v>151</v>
      </c>
      <c r="BX22">
        <v>0</v>
      </c>
      <c r="BY22">
        <v>9153</v>
      </c>
      <c r="BZ22">
        <v>7869</v>
      </c>
      <c r="CA22">
        <v>163753</v>
      </c>
    </row>
    <row r="23" spans="1:79">
      <c r="A23" t="s">
        <v>179</v>
      </c>
      <c r="B23">
        <v>17429</v>
      </c>
      <c r="C23">
        <v>928</v>
      </c>
      <c r="D23">
        <v>6624</v>
      </c>
      <c r="E23">
        <v>2435</v>
      </c>
      <c r="F23">
        <v>1110</v>
      </c>
      <c r="G23">
        <v>3362</v>
      </c>
      <c r="H23">
        <v>1285</v>
      </c>
      <c r="I23">
        <v>223</v>
      </c>
      <c r="J23">
        <v>256</v>
      </c>
      <c r="K23">
        <v>761</v>
      </c>
      <c r="L23">
        <v>444</v>
      </c>
      <c r="M23">
        <v>3247</v>
      </c>
      <c r="N23">
        <v>3101</v>
      </c>
      <c r="O23">
        <v>147</v>
      </c>
      <c r="P23">
        <v>42060</v>
      </c>
      <c r="Q23">
        <v>734</v>
      </c>
      <c r="R23">
        <v>150</v>
      </c>
      <c r="S23">
        <v>3</v>
      </c>
      <c r="T23">
        <v>1254</v>
      </c>
      <c r="U23">
        <v>227</v>
      </c>
      <c r="V23">
        <v>3339</v>
      </c>
      <c r="W23">
        <v>543</v>
      </c>
      <c r="X23">
        <v>35606</v>
      </c>
      <c r="Y23">
        <v>203</v>
      </c>
      <c r="Z23">
        <v>38268</v>
      </c>
      <c r="AA23">
        <v>20875</v>
      </c>
      <c r="AB23">
        <v>11211</v>
      </c>
      <c r="AC23">
        <v>6178</v>
      </c>
      <c r="AD23">
        <v>363</v>
      </c>
      <c r="AE23">
        <v>282</v>
      </c>
      <c r="AF23">
        <v>68</v>
      </c>
      <c r="AG23">
        <v>13</v>
      </c>
      <c r="AH23">
        <v>7902</v>
      </c>
      <c r="AI23">
        <v>160</v>
      </c>
      <c r="AJ23">
        <v>814</v>
      </c>
      <c r="AK23">
        <v>616</v>
      </c>
      <c r="AL23">
        <v>3948</v>
      </c>
      <c r="AM23">
        <v>531</v>
      </c>
      <c r="AN23">
        <v>259</v>
      </c>
      <c r="AO23">
        <v>373</v>
      </c>
      <c r="AP23">
        <v>349</v>
      </c>
      <c r="AQ23">
        <v>848</v>
      </c>
      <c r="AR23">
        <v>18580</v>
      </c>
      <c r="AS23">
        <v>381</v>
      </c>
      <c r="AT23">
        <v>243</v>
      </c>
      <c r="AU23">
        <v>167</v>
      </c>
      <c r="AV23">
        <v>709</v>
      </c>
      <c r="AW23">
        <v>410</v>
      </c>
      <c r="AX23">
        <v>768</v>
      </c>
      <c r="AY23">
        <v>1203</v>
      </c>
      <c r="AZ23">
        <v>13642</v>
      </c>
      <c r="BA23">
        <v>1056</v>
      </c>
      <c r="BB23">
        <v>13769</v>
      </c>
      <c r="BC23">
        <v>1169</v>
      </c>
      <c r="BD23">
        <v>1720</v>
      </c>
      <c r="BE23">
        <v>204</v>
      </c>
      <c r="BF23">
        <v>1665</v>
      </c>
      <c r="BG23">
        <v>1155</v>
      </c>
      <c r="BH23">
        <v>879</v>
      </c>
      <c r="BI23">
        <v>1847</v>
      </c>
      <c r="BJ23">
        <v>4095</v>
      </c>
      <c r="BK23">
        <v>1036</v>
      </c>
      <c r="BL23">
        <v>5063</v>
      </c>
      <c r="BM23">
        <v>137</v>
      </c>
      <c r="BN23">
        <v>110</v>
      </c>
      <c r="BO23">
        <v>30</v>
      </c>
      <c r="BP23">
        <v>241</v>
      </c>
      <c r="BQ23">
        <v>45</v>
      </c>
      <c r="BR23">
        <v>1811</v>
      </c>
      <c r="BS23">
        <v>321</v>
      </c>
      <c r="BT23">
        <v>2366</v>
      </c>
      <c r="BU23">
        <v>21708</v>
      </c>
      <c r="BV23">
        <v>1350</v>
      </c>
      <c r="BW23">
        <v>209</v>
      </c>
      <c r="BX23">
        <v>0</v>
      </c>
      <c r="BY23">
        <v>11361</v>
      </c>
      <c r="BZ23">
        <v>8790</v>
      </c>
      <c r="CA23">
        <v>168386</v>
      </c>
    </row>
    <row r="24" spans="1:79">
      <c r="A24" t="s">
        <v>180</v>
      </c>
      <c r="B24">
        <v>21813</v>
      </c>
      <c r="C24">
        <v>1119</v>
      </c>
      <c r="D24">
        <v>7197</v>
      </c>
      <c r="E24">
        <v>2655</v>
      </c>
      <c r="F24">
        <v>1106</v>
      </c>
      <c r="G24">
        <v>6098</v>
      </c>
      <c r="H24">
        <v>1407</v>
      </c>
      <c r="I24">
        <v>239</v>
      </c>
      <c r="J24">
        <v>269</v>
      </c>
      <c r="K24">
        <v>1119</v>
      </c>
      <c r="L24">
        <v>607</v>
      </c>
      <c r="M24">
        <v>2775</v>
      </c>
      <c r="N24">
        <v>2649</v>
      </c>
      <c r="O24">
        <v>125</v>
      </c>
      <c r="P24">
        <v>56259</v>
      </c>
      <c r="Q24">
        <v>720</v>
      </c>
      <c r="R24">
        <v>395</v>
      </c>
      <c r="S24">
        <v>11</v>
      </c>
      <c r="T24">
        <v>1374</v>
      </c>
      <c r="U24">
        <v>292</v>
      </c>
      <c r="V24">
        <v>2783</v>
      </c>
      <c r="W24">
        <v>400</v>
      </c>
      <c r="X24">
        <v>50045</v>
      </c>
      <c r="Y24">
        <v>243</v>
      </c>
      <c r="Z24">
        <v>71105</v>
      </c>
      <c r="AA24">
        <v>46868</v>
      </c>
      <c r="AB24">
        <v>13808</v>
      </c>
      <c r="AC24">
        <v>10432</v>
      </c>
      <c r="AD24">
        <v>572</v>
      </c>
      <c r="AE24">
        <v>392</v>
      </c>
      <c r="AF24">
        <v>167</v>
      </c>
      <c r="AG24">
        <v>13</v>
      </c>
      <c r="AH24">
        <v>8466</v>
      </c>
      <c r="AI24">
        <v>185</v>
      </c>
      <c r="AJ24">
        <v>768</v>
      </c>
      <c r="AK24">
        <v>584</v>
      </c>
      <c r="AL24">
        <v>3982</v>
      </c>
      <c r="AM24">
        <v>593</v>
      </c>
      <c r="AN24">
        <v>649</v>
      </c>
      <c r="AO24">
        <v>331</v>
      </c>
      <c r="AP24">
        <v>362</v>
      </c>
      <c r="AQ24">
        <v>1013</v>
      </c>
      <c r="AR24">
        <v>18017</v>
      </c>
      <c r="AS24">
        <v>325</v>
      </c>
      <c r="AT24">
        <v>276</v>
      </c>
      <c r="AU24">
        <v>163</v>
      </c>
      <c r="AV24">
        <v>717</v>
      </c>
      <c r="AW24">
        <v>379</v>
      </c>
      <c r="AX24">
        <v>814</v>
      </c>
      <c r="AY24">
        <v>1705</v>
      </c>
      <c r="AZ24">
        <v>12494</v>
      </c>
      <c r="BA24">
        <v>1140</v>
      </c>
      <c r="BB24">
        <v>15287</v>
      </c>
      <c r="BC24">
        <v>1057</v>
      </c>
      <c r="BD24">
        <v>1872</v>
      </c>
      <c r="BE24">
        <v>202</v>
      </c>
      <c r="BF24">
        <v>1827</v>
      </c>
      <c r="BG24">
        <v>1191</v>
      </c>
      <c r="BH24">
        <v>1034</v>
      </c>
      <c r="BI24">
        <v>1857</v>
      </c>
      <c r="BJ24">
        <v>4842</v>
      </c>
      <c r="BK24">
        <v>1401</v>
      </c>
      <c r="BL24">
        <v>5366</v>
      </c>
      <c r="BM24">
        <v>134</v>
      </c>
      <c r="BN24">
        <v>118</v>
      </c>
      <c r="BO24">
        <v>32</v>
      </c>
      <c r="BP24">
        <v>253</v>
      </c>
      <c r="BQ24">
        <v>51</v>
      </c>
      <c r="BR24">
        <v>2065</v>
      </c>
      <c r="BS24">
        <v>353</v>
      </c>
      <c r="BT24">
        <v>2366</v>
      </c>
      <c r="BU24">
        <v>22680</v>
      </c>
      <c r="BV24">
        <v>1362</v>
      </c>
      <c r="BW24">
        <v>415</v>
      </c>
      <c r="BX24">
        <v>0</v>
      </c>
      <c r="BY24">
        <v>14298</v>
      </c>
      <c r="BZ24">
        <v>6603</v>
      </c>
      <c r="CA24">
        <v>222341</v>
      </c>
    </row>
    <row r="25" spans="1:79">
      <c r="A25" t="s">
        <v>181</v>
      </c>
      <c r="B25">
        <v>21624</v>
      </c>
      <c r="C25">
        <v>1151</v>
      </c>
      <c r="D25">
        <v>6635</v>
      </c>
      <c r="E25">
        <v>2137</v>
      </c>
      <c r="F25">
        <v>1034</v>
      </c>
      <c r="G25">
        <v>6483</v>
      </c>
      <c r="H25">
        <v>1689</v>
      </c>
      <c r="I25">
        <v>272</v>
      </c>
      <c r="J25">
        <v>304</v>
      </c>
      <c r="K25">
        <v>1263</v>
      </c>
      <c r="L25">
        <v>655</v>
      </c>
      <c r="M25">
        <v>2590</v>
      </c>
      <c r="N25">
        <v>2462</v>
      </c>
      <c r="O25">
        <v>129</v>
      </c>
      <c r="P25">
        <v>51326</v>
      </c>
      <c r="Q25">
        <v>523</v>
      </c>
      <c r="R25">
        <v>765</v>
      </c>
      <c r="S25">
        <v>12</v>
      </c>
      <c r="T25">
        <v>1090</v>
      </c>
      <c r="U25">
        <v>210</v>
      </c>
      <c r="V25">
        <v>2426</v>
      </c>
      <c r="W25">
        <v>289</v>
      </c>
      <c r="X25">
        <v>45798</v>
      </c>
      <c r="Y25">
        <v>213</v>
      </c>
      <c r="Z25">
        <v>57835</v>
      </c>
      <c r="AA25">
        <v>39602</v>
      </c>
      <c r="AB25">
        <v>9600</v>
      </c>
      <c r="AC25">
        <v>8631</v>
      </c>
      <c r="AD25">
        <v>445</v>
      </c>
      <c r="AE25">
        <v>272</v>
      </c>
      <c r="AF25">
        <v>161</v>
      </c>
      <c r="AG25">
        <v>15</v>
      </c>
      <c r="AH25">
        <v>8092</v>
      </c>
      <c r="AI25">
        <v>154</v>
      </c>
      <c r="AJ25">
        <v>518</v>
      </c>
      <c r="AK25">
        <v>676</v>
      </c>
      <c r="AL25">
        <v>4071</v>
      </c>
      <c r="AM25">
        <v>602</v>
      </c>
      <c r="AN25">
        <v>405</v>
      </c>
      <c r="AO25">
        <v>253</v>
      </c>
      <c r="AP25">
        <v>419</v>
      </c>
      <c r="AQ25">
        <v>996</v>
      </c>
      <c r="AR25">
        <v>13721</v>
      </c>
      <c r="AS25">
        <v>249</v>
      </c>
      <c r="AT25">
        <v>203</v>
      </c>
      <c r="AU25">
        <v>156</v>
      </c>
      <c r="AV25">
        <v>657</v>
      </c>
      <c r="AW25">
        <v>308</v>
      </c>
      <c r="AX25">
        <v>831</v>
      </c>
      <c r="AY25">
        <v>860</v>
      </c>
      <c r="AZ25">
        <v>9388</v>
      </c>
      <c r="BA25">
        <v>1070</v>
      </c>
      <c r="BB25">
        <v>11902</v>
      </c>
      <c r="BC25">
        <v>785</v>
      </c>
      <c r="BD25">
        <v>1863</v>
      </c>
      <c r="BE25">
        <v>146</v>
      </c>
      <c r="BF25">
        <v>1764</v>
      </c>
      <c r="BG25">
        <v>1019</v>
      </c>
      <c r="BH25">
        <v>1006</v>
      </c>
      <c r="BI25">
        <v>1535</v>
      </c>
      <c r="BJ25">
        <v>2501</v>
      </c>
      <c r="BK25">
        <v>1285</v>
      </c>
      <c r="BL25">
        <v>5068</v>
      </c>
      <c r="BM25">
        <v>143</v>
      </c>
      <c r="BN25">
        <v>108</v>
      </c>
      <c r="BO25">
        <v>33</v>
      </c>
      <c r="BP25">
        <v>231</v>
      </c>
      <c r="BQ25">
        <v>43</v>
      </c>
      <c r="BR25">
        <v>2092</v>
      </c>
      <c r="BS25">
        <v>332</v>
      </c>
      <c r="BT25">
        <v>2086</v>
      </c>
      <c r="BU25">
        <v>23953</v>
      </c>
      <c r="BV25">
        <v>1944</v>
      </c>
      <c r="BW25">
        <v>551</v>
      </c>
      <c r="BX25">
        <v>0</v>
      </c>
      <c r="BY25">
        <v>15052</v>
      </c>
      <c r="BZ25">
        <v>6410</v>
      </c>
      <c r="CA25">
        <v>196556</v>
      </c>
    </row>
    <row r="26" spans="1:79">
      <c r="A26" t="s">
        <v>182</v>
      </c>
      <c r="B26">
        <v>20875</v>
      </c>
      <c r="C26">
        <v>1145</v>
      </c>
      <c r="D26">
        <v>6709</v>
      </c>
      <c r="E26">
        <v>2160</v>
      </c>
      <c r="F26">
        <v>1019</v>
      </c>
      <c r="G26">
        <v>5862</v>
      </c>
      <c r="H26">
        <v>1555</v>
      </c>
      <c r="I26">
        <v>337</v>
      </c>
      <c r="J26">
        <v>285</v>
      </c>
      <c r="K26">
        <v>1010</v>
      </c>
      <c r="L26">
        <v>798</v>
      </c>
      <c r="M26">
        <v>2419</v>
      </c>
      <c r="N26">
        <v>2292</v>
      </c>
      <c r="O26">
        <v>127</v>
      </c>
      <c r="P26">
        <v>75903</v>
      </c>
      <c r="Q26">
        <v>720</v>
      </c>
      <c r="R26">
        <v>584</v>
      </c>
      <c r="S26">
        <v>15</v>
      </c>
      <c r="T26">
        <v>1216</v>
      </c>
      <c r="U26">
        <v>264</v>
      </c>
      <c r="V26">
        <v>3318</v>
      </c>
      <c r="W26">
        <v>361</v>
      </c>
      <c r="X26">
        <v>69212</v>
      </c>
      <c r="Y26">
        <v>207</v>
      </c>
      <c r="Z26">
        <v>66589</v>
      </c>
      <c r="AA26">
        <v>43125</v>
      </c>
      <c r="AB26">
        <v>12957</v>
      </c>
      <c r="AC26">
        <v>10508</v>
      </c>
      <c r="AD26">
        <v>471</v>
      </c>
      <c r="AE26">
        <v>306</v>
      </c>
      <c r="AF26">
        <v>152</v>
      </c>
      <c r="AG26">
        <v>12</v>
      </c>
      <c r="AH26">
        <v>8081</v>
      </c>
      <c r="AI26">
        <v>183</v>
      </c>
      <c r="AJ26">
        <v>566</v>
      </c>
      <c r="AK26">
        <v>663</v>
      </c>
      <c r="AL26">
        <v>3998</v>
      </c>
      <c r="AM26">
        <v>653</v>
      </c>
      <c r="AN26">
        <v>326</v>
      </c>
      <c r="AO26">
        <v>347</v>
      </c>
      <c r="AP26">
        <v>346</v>
      </c>
      <c r="AQ26">
        <v>997</v>
      </c>
      <c r="AR26">
        <v>15255</v>
      </c>
      <c r="AS26">
        <v>276</v>
      </c>
      <c r="AT26">
        <v>187</v>
      </c>
      <c r="AU26">
        <v>151</v>
      </c>
      <c r="AV26">
        <v>796</v>
      </c>
      <c r="AW26">
        <v>265</v>
      </c>
      <c r="AX26">
        <v>728</v>
      </c>
      <c r="AY26">
        <v>1404</v>
      </c>
      <c r="AZ26">
        <v>10383</v>
      </c>
      <c r="BA26">
        <v>1060</v>
      </c>
      <c r="BB26">
        <v>12228</v>
      </c>
      <c r="BC26">
        <v>834</v>
      </c>
      <c r="BD26">
        <v>1903</v>
      </c>
      <c r="BE26">
        <v>136</v>
      </c>
      <c r="BF26">
        <v>1794</v>
      </c>
      <c r="BG26">
        <v>1182</v>
      </c>
      <c r="BH26">
        <v>933</v>
      </c>
      <c r="BI26">
        <v>1545</v>
      </c>
      <c r="BJ26">
        <v>2894</v>
      </c>
      <c r="BK26">
        <v>1008</v>
      </c>
      <c r="BL26">
        <v>4871</v>
      </c>
      <c r="BM26">
        <v>144</v>
      </c>
      <c r="BN26">
        <v>101</v>
      </c>
      <c r="BO26">
        <v>31</v>
      </c>
      <c r="BP26">
        <v>241</v>
      </c>
      <c r="BQ26">
        <v>42</v>
      </c>
      <c r="BR26">
        <v>1948</v>
      </c>
      <c r="BS26">
        <v>266</v>
      </c>
      <c r="BT26">
        <v>2100</v>
      </c>
      <c r="BU26">
        <v>24453</v>
      </c>
      <c r="BV26">
        <v>1577</v>
      </c>
      <c r="BW26">
        <v>569</v>
      </c>
      <c r="BX26">
        <v>0</v>
      </c>
      <c r="BY26">
        <v>14436</v>
      </c>
      <c r="BZ26">
        <v>7866</v>
      </c>
      <c r="CA26">
        <v>231143</v>
      </c>
    </row>
    <row r="27" spans="1:79">
      <c r="A27" t="s">
        <v>183</v>
      </c>
      <c r="B27">
        <v>24188</v>
      </c>
      <c r="C27">
        <v>1072</v>
      </c>
      <c r="D27">
        <v>7130</v>
      </c>
      <c r="E27">
        <v>2172</v>
      </c>
      <c r="F27">
        <v>1063</v>
      </c>
      <c r="G27">
        <v>8490</v>
      </c>
      <c r="H27">
        <v>1672</v>
      </c>
      <c r="I27">
        <v>330</v>
      </c>
      <c r="J27">
        <v>294</v>
      </c>
      <c r="K27">
        <v>1076</v>
      </c>
      <c r="L27">
        <v>890</v>
      </c>
      <c r="M27">
        <v>2210</v>
      </c>
      <c r="N27">
        <v>2088</v>
      </c>
      <c r="O27">
        <v>121</v>
      </c>
      <c r="P27">
        <v>95783</v>
      </c>
      <c r="Q27">
        <v>850</v>
      </c>
      <c r="R27">
        <v>1307</v>
      </c>
      <c r="S27">
        <v>17</v>
      </c>
      <c r="T27">
        <v>1092</v>
      </c>
      <c r="U27">
        <v>249</v>
      </c>
      <c r="V27">
        <v>5427</v>
      </c>
      <c r="W27">
        <v>415</v>
      </c>
      <c r="X27">
        <v>86221</v>
      </c>
      <c r="Y27">
        <v>202</v>
      </c>
      <c r="Z27">
        <v>73394</v>
      </c>
      <c r="AA27">
        <v>46948</v>
      </c>
      <c r="AB27">
        <v>14396</v>
      </c>
      <c r="AC27">
        <v>12047</v>
      </c>
      <c r="AD27">
        <v>601</v>
      </c>
      <c r="AE27">
        <v>413</v>
      </c>
      <c r="AF27">
        <v>174</v>
      </c>
      <c r="AG27">
        <v>12</v>
      </c>
      <c r="AH27">
        <v>7894</v>
      </c>
      <c r="AI27">
        <v>189</v>
      </c>
      <c r="AJ27">
        <v>586</v>
      </c>
      <c r="AK27">
        <v>775</v>
      </c>
      <c r="AL27">
        <v>3743</v>
      </c>
      <c r="AM27">
        <v>623</v>
      </c>
      <c r="AN27">
        <v>396</v>
      </c>
      <c r="AO27">
        <v>301</v>
      </c>
      <c r="AP27">
        <v>325</v>
      </c>
      <c r="AQ27">
        <v>960</v>
      </c>
      <c r="AR27">
        <v>15981</v>
      </c>
      <c r="AS27">
        <v>242</v>
      </c>
      <c r="AT27">
        <v>204</v>
      </c>
      <c r="AU27">
        <v>117</v>
      </c>
      <c r="AV27">
        <v>848</v>
      </c>
      <c r="AW27">
        <v>264</v>
      </c>
      <c r="AX27">
        <v>653</v>
      </c>
      <c r="AY27">
        <v>1234</v>
      </c>
      <c r="AZ27">
        <v>11376</v>
      </c>
      <c r="BA27">
        <v>1040</v>
      </c>
      <c r="BB27">
        <v>12586</v>
      </c>
      <c r="BC27">
        <v>961</v>
      </c>
      <c r="BD27">
        <v>1949</v>
      </c>
      <c r="BE27">
        <v>161</v>
      </c>
      <c r="BF27">
        <v>1835</v>
      </c>
      <c r="BG27">
        <v>1151</v>
      </c>
      <c r="BH27">
        <v>974</v>
      </c>
      <c r="BI27">
        <v>1557</v>
      </c>
      <c r="BJ27">
        <v>2541</v>
      </c>
      <c r="BK27">
        <v>1459</v>
      </c>
      <c r="BL27">
        <v>5182</v>
      </c>
      <c r="BM27">
        <v>118</v>
      </c>
      <c r="BN27">
        <v>98</v>
      </c>
      <c r="BO27">
        <v>31</v>
      </c>
      <c r="BP27">
        <v>250</v>
      </c>
      <c r="BQ27">
        <v>52</v>
      </c>
      <c r="BR27">
        <v>1939</v>
      </c>
      <c r="BS27">
        <v>260</v>
      </c>
      <c r="BT27">
        <v>2439</v>
      </c>
      <c r="BU27">
        <v>23886</v>
      </c>
      <c r="BV27">
        <v>1282</v>
      </c>
      <c r="BW27">
        <v>896</v>
      </c>
      <c r="BX27">
        <v>0</v>
      </c>
      <c r="BY27">
        <v>15075</v>
      </c>
      <c r="BZ27">
        <v>6626</v>
      </c>
      <c r="CA27">
        <v>261697</v>
      </c>
    </row>
    <row r="28" spans="1:79">
      <c r="A28" t="s">
        <v>184</v>
      </c>
      <c r="B28">
        <v>25264</v>
      </c>
      <c r="C28">
        <v>1049</v>
      </c>
      <c r="D28">
        <v>7201</v>
      </c>
      <c r="E28">
        <v>2170</v>
      </c>
      <c r="F28">
        <v>953</v>
      </c>
      <c r="G28">
        <v>9037</v>
      </c>
      <c r="H28">
        <v>2082</v>
      </c>
      <c r="I28">
        <v>295</v>
      </c>
      <c r="J28">
        <v>253</v>
      </c>
      <c r="K28">
        <v>1302</v>
      </c>
      <c r="L28">
        <v>914</v>
      </c>
      <c r="M28">
        <v>2152</v>
      </c>
      <c r="N28">
        <v>2070</v>
      </c>
      <c r="O28">
        <v>83</v>
      </c>
      <c r="P28">
        <v>86233</v>
      </c>
      <c r="Q28">
        <v>818</v>
      </c>
      <c r="R28">
        <v>1797</v>
      </c>
      <c r="S28">
        <v>22</v>
      </c>
      <c r="T28">
        <v>888</v>
      </c>
      <c r="U28">
        <v>236</v>
      </c>
      <c r="V28">
        <v>5214</v>
      </c>
      <c r="W28">
        <v>428</v>
      </c>
      <c r="X28">
        <v>76571</v>
      </c>
      <c r="Y28">
        <v>257</v>
      </c>
      <c r="Z28">
        <v>70344</v>
      </c>
      <c r="AA28">
        <v>41566</v>
      </c>
      <c r="AB28">
        <v>14286</v>
      </c>
      <c r="AC28">
        <v>14492</v>
      </c>
      <c r="AD28">
        <v>508</v>
      </c>
      <c r="AE28">
        <v>339</v>
      </c>
      <c r="AF28">
        <v>159</v>
      </c>
      <c r="AG28">
        <v>10</v>
      </c>
      <c r="AH28">
        <v>8421</v>
      </c>
      <c r="AI28">
        <v>223</v>
      </c>
      <c r="AJ28">
        <v>698</v>
      </c>
      <c r="AK28">
        <v>669</v>
      </c>
      <c r="AL28">
        <v>4321</v>
      </c>
      <c r="AM28">
        <v>625</v>
      </c>
      <c r="AN28">
        <v>309</v>
      </c>
      <c r="AO28">
        <v>329</v>
      </c>
      <c r="AP28">
        <v>313</v>
      </c>
      <c r="AQ28">
        <v>936</v>
      </c>
      <c r="AR28">
        <v>13824</v>
      </c>
      <c r="AS28">
        <v>196</v>
      </c>
      <c r="AT28">
        <v>210</v>
      </c>
      <c r="AU28">
        <v>95</v>
      </c>
      <c r="AV28">
        <v>802</v>
      </c>
      <c r="AW28">
        <v>247</v>
      </c>
      <c r="AX28">
        <v>610</v>
      </c>
      <c r="AY28">
        <v>710</v>
      </c>
      <c r="AZ28">
        <v>9879</v>
      </c>
      <c r="BA28">
        <v>1073</v>
      </c>
      <c r="BB28">
        <v>13303</v>
      </c>
      <c r="BC28">
        <v>843</v>
      </c>
      <c r="BD28">
        <v>2125</v>
      </c>
      <c r="BE28">
        <v>170</v>
      </c>
      <c r="BF28">
        <v>1890</v>
      </c>
      <c r="BG28">
        <v>1109</v>
      </c>
      <c r="BH28">
        <v>1008</v>
      </c>
      <c r="BI28">
        <v>1579</v>
      </c>
      <c r="BJ28">
        <v>3023</v>
      </c>
      <c r="BK28">
        <v>1558</v>
      </c>
      <c r="BL28">
        <v>4922</v>
      </c>
      <c r="BM28">
        <v>135</v>
      </c>
      <c r="BN28">
        <v>83</v>
      </c>
      <c r="BO28">
        <v>36</v>
      </c>
      <c r="BP28">
        <v>256</v>
      </c>
      <c r="BQ28">
        <v>49</v>
      </c>
      <c r="BR28">
        <v>1810</v>
      </c>
      <c r="BS28">
        <v>238</v>
      </c>
      <c r="BT28">
        <v>2312</v>
      </c>
      <c r="BU28">
        <v>22773</v>
      </c>
      <c r="BV28">
        <v>1034</v>
      </c>
      <c r="BW28">
        <v>732</v>
      </c>
      <c r="BX28">
        <v>0</v>
      </c>
      <c r="BY28">
        <v>15526</v>
      </c>
      <c r="BZ28">
        <v>5483</v>
      </c>
      <c r="CA28">
        <v>247749</v>
      </c>
    </row>
    <row r="29" spans="1:79">
      <c r="A29" t="s">
        <v>185</v>
      </c>
      <c r="B29">
        <v>27113</v>
      </c>
      <c r="C29">
        <v>1036</v>
      </c>
      <c r="D29">
        <v>8651</v>
      </c>
      <c r="E29">
        <v>2305</v>
      </c>
      <c r="F29">
        <v>1024</v>
      </c>
      <c r="G29">
        <v>9079</v>
      </c>
      <c r="H29">
        <v>2220</v>
      </c>
      <c r="I29">
        <v>287</v>
      </c>
      <c r="J29">
        <v>256</v>
      </c>
      <c r="K29">
        <v>1164</v>
      </c>
      <c r="L29">
        <v>1093</v>
      </c>
      <c r="M29">
        <v>2102</v>
      </c>
      <c r="N29">
        <v>2046</v>
      </c>
      <c r="O29">
        <v>56</v>
      </c>
      <c r="P29">
        <v>101759</v>
      </c>
      <c r="Q29">
        <v>1030</v>
      </c>
      <c r="R29">
        <v>2543</v>
      </c>
      <c r="S29">
        <v>19</v>
      </c>
      <c r="T29">
        <v>973</v>
      </c>
      <c r="U29">
        <v>231</v>
      </c>
      <c r="V29">
        <v>5287</v>
      </c>
      <c r="W29">
        <v>324</v>
      </c>
      <c r="X29">
        <v>91067</v>
      </c>
      <c r="Y29">
        <v>285</v>
      </c>
      <c r="Z29">
        <v>67513</v>
      </c>
      <c r="AA29">
        <v>40009</v>
      </c>
      <c r="AB29">
        <v>11783</v>
      </c>
      <c r="AC29">
        <v>15721</v>
      </c>
      <c r="AD29">
        <v>644</v>
      </c>
      <c r="AE29">
        <v>405</v>
      </c>
      <c r="AF29">
        <v>217</v>
      </c>
      <c r="AG29">
        <v>22</v>
      </c>
      <c r="AH29">
        <v>7790</v>
      </c>
      <c r="AI29">
        <v>168</v>
      </c>
      <c r="AJ29">
        <v>837</v>
      </c>
      <c r="AK29">
        <v>688</v>
      </c>
      <c r="AL29">
        <v>3563</v>
      </c>
      <c r="AM29">
        <v>689</v>
      </c>
      <c r="AN29">
        <v>207</v>
      </c>
      <c r="AO29">
        <v>292</v>
      </c>
      <c r="AP29">
        <v>327</v>
      </c>
      <c r="AQ29">
        <v>1017</v>
      </c>
      <c r="AR29">
        <v>14476</v>
      </c>
      <c r="AS29">
        <v>217</v>
      </c>
      <c r="AT29">
        <v>200</v>
      </c>
      <c r="AU29">
        <v>75</v>
      </c>
      <c r="AV29">
        <v>935</v>
      </c>
      <c r="AW29">
        <v>233</v>
      </c>
      <c r="AX29">
        <v>825</v>
      </c>
      <c r="AY29">
        <v>692</v>
      </c>
      <c r="AZ29">
        <v>10227</v>
      </c>
      <c r="BA29">
        <v>1068</v>
      </c>
      <c r="BB29">
        <v>13615</v>
      </c>
      <c r="BC29">
        <v>899</v>
      </c>
      <c r="BD29">
        <v>1980</v>
      </c>
      <c r="BE29">
        <v>163</v>
      </c>
      <c r="BF29">
        <v>1903</v>
      </c>
      <c r="BG29">
        <v>1267</v>
      </c>
      <c r="BH29">
        <v>1135</v>
      </c>
      <c r="BI29">
        <v>1482</v>
      </c>
      <c r="BJ29">
        <v>3067</v>
      </c>
      <c r="BK29">
        <v>1724</v>
      </c>
      <c r="BL29">
        <v>5037</v>
      </c>
      <c r="BM29">
        <v>167</v>
      </c>
      <c r="BN29">
        <v>86</v>
      </c>
      <c r="BO29">
        <v>39</v>
      </c>
      <c r="BP29">
        <v>238</v>
      </c>
      <c r="BQ29">
        <v>57</v>
      </c>
      <c r="BR29">
        <v>1873</v>
      </c>
      <c r="BS29">
        <v>246</v>
      </c>
      <c r="BT29">
        <v>2331</v>
      </c>
      <c r="BU29">
        <v>21908</v>
      </c>
      <c r="BV29">
        <v>1145</v>
      </c>
      <c r="BW29">
        <v>1042</v>
      </c>
      <c r="BX29">
        <v>0</v>
      </c>
      <c r="BY29">
        <v>13898</v>
      </c>
      <c r="BZ29">
        <v>5822</v>
      </c>
      <c r="CA29">
        <v>261958</v>
      </c>
    </row>
    <row r="30" spans="1:79">
      <c r="A30" t="s">
        <v>186</v>
      </c>
      <c r="B30">
        <v>31103</v>
      </c>
      <c r="C30">
        <v>1617</v>
      </c>
      <c r="D30">
        <v>11574</v>
      </c>
      <c r="E30">
        <v>2560</v>
      </c>
      <c r="F30">
        <v>1210</v>
      </c>
      <c r="G30">
        <v>8975</v>
      </c>
      <c r="H30">
        <v>2363</v>
      </c>
      <c r="I30">
        <v>244</v>
      </c>
      <c r="J30">
        <v>296</v>
      </c>
      <c r="K30">
        <v>1162</v>
      </c>
      <c r="L30">
        <v>1105</v>
      </c>
      <c r="M30">
        <v>2151</v>
      </c>
      <c r="N30">
        <v>2086</v>
      </c>
      <c r="O30">
        <v>64</v>
      </c>
      <c r="P30">
        <v>97436</v>
      </c>
      <c r="Q30">
        <v>1027</v>
      </c>
      <c r="R30">
        <v>1627</v>
      </c>
      <c r="S30">
        <v>14</v>
      </c>
      <c r="T30">
        <v>1260</v>
      </c>
      <c r="U30">
        <v>235</v>
      </c>
      <c r="V30">
        <v>4500</v>
      </c>
      <c r="W30">
        <v>437</v>
      </c>
      <c r="X30">
        <v>88010</v>
      </c>
      <c r="Y30">
        <v>327</v>
      </c>
      <c r="Z30">
        <v>70511</v>
      </c>
      <c r="AA30">
        <v>38193</v>
      </c>
      <c r="AB30">
        <v>13401</v>
      </c>
      <c r="AC30">
        <v>18917</v>
      </c>
      <c r="AD30">
        <v>648</v>
      </c>
      <c r="AE30">
        <v>422</v>
      </c>
      <c r="AF30">
        <v>209</v>
      </c>
      <c r="AG30">
        <v>19</v>
      </c>
      <c r="AH30">
        <v>7342</v>
      </c>
      <c r="AI30">
        <v>168</v>
      </c>
      <c r="AJ30">
        <v>800</v>
      </c>
      <c r="AK30">
        <v>779</v>
      </c>
      <c r="AL30">
        <v>2923</v>
      </c>
      <c r="AM30">
        <v>719</v>
      </c>
      <c r="AN30">
        <v>242</v>
      </c>
      <c r="AO30">
        <v>331</v>
      </c>
      <c r="AP30">
        <v>345</v>
      </c>
      <c r="AQ30">
        <v>1029</v>
      </c>
      <c r="AR30">
        <v>15366</v>
      </c>
      <c r="AS30">
        <v>241</v>
      </c>
      <c r="AT30">
        <v>208</v>
      </c>
      <c r="AU30">
        <v>101</v>
      </c>
      <c r="AV30">
        <v>985</v>
      </c>
      <c r="AW30">
        <v>238</v>
      </c>
      <c r="AX30">
        <v>930</v>
      </c>
      <c r="AY30">
        <v>676</v>
      </c>
      <c r="AZ30">
        <v>10909</v>
      </c>
      <c r="BA30">
        <v>1078</v>
      </c>
      <c r="BB30">
        <v>14709</v>
      </c>
      <c r="BC30">
        <v>915</v>
      </c>
      <c r="BD30">
        <v>1988</v>
      </c>
      <c r="BE30">
        <v>189</v>
      </c>
      <c r="BF30">
        <v>1978</v>
      </c>
      <c r="BG30">
        <v>1531</v>
      </c>
      <c r="BH30">
        <v>1347</v>
      </c>
      <c r="BI30">
        <v>1544</v>
      </c>
      <c r="BJ30">
        <v>2996</v>
      </c>
      <c r="BK30">
        <v>2225</v>
      </c>
      <c r="BL30">
        <v>5389</v>
      </c>
      <c r="BM30">
        <v>146</v>
      </c>
      <c r="BN30">
        <v>100</v>
      </c>
      <c r="BO30">
        <v>44</v>
      </c>
      <c r="BP30">
        <v>247</v>
      </c>
      <c r="BQ30">
        <v>68</v>
      </c>
      <c r="BR30">
        <v>2127</v>
      </c>
      <c r="BS30">
        <v>286</v>
      </c>
      <c r="BT30">
        <v>2372</v>
      </c>
      <c r="BU30">
        <v>21271</v>
      </c>
      <c r="BV30">
        <v>1292</v>
      </c>
      <c r="BW30">
        <v>710</v>
      </c>
      <c r="BX30">
        <v>1</v>
      </c>
      <c r="BY30">
        <v>13459</v>
      </c>
      <c r="BZ30">
        <v>5807</v>
      </c>
      <c r="CA30">
        <v>265923</v>
      </c>
    </row>
    <row r="31" spans="1:79">
      <c r="A31" t="s">
        <v>187</v>
      </c>
      <c r="B31">
        <v>35650</v>
      </c>
      <c r="C31">
        <v>1897</v>
      </c>
      <c r="D31">
        <v>13138</v>
      </c>
      <c r="E31">
        <v>2388</v>
      </c>
      <c r="F31">
        <v>1396</v>
      </c>
      <c r="G31">
        <v>9339</v>
      </c>
      <c r="H31">
        <v>3894</v>
      </c>
      <c r="I31">
        <v>281</v>
      </c>
      <c r="J31">
        <v>328</v>
      </c>
      <c r="K31">
        <v>1208</v>
      </c>
      <c r="L31">
        <v>1779</v>
      </c>
      <c r="M31">
        <v>2522</v>
      </c>
      <c r="N31">
        <v>2455</v>
      </c>
      <c r="O31">
        <v>66</v>
      </c>
      <c r="P31">
        <v>81539</v>
      </c>
      <c r="Q31">
        <v>1023</v>
      </c>
      <c r="R31">
        <v>1606</v>
      </c>
      <c r="S31">
        <v>11</v>
      </c>
      <c r="T31">
        <v>1553</v>
      </c>
      <c r="U31">
        <v>254</v>
      </c>
      <c r="V31">
        <v>4071</v>
      </c>
      <c r="W31">
        <v>594</v>
      </c>
      <c r="X31">
        <v>71950</v>
      </c>
      <c r="Y31">
        <v>481</v>
      </c>
      <c r="Z31">
        <v>62248</v>
      </c>
      <c r="AA31">
        <v>37110</v>
      </c>
      <c r="AB31">
        <v>8085</v>
      </c>
      <c r="AC31">
        <v>17054</v>
      </c>
      <c r="AD31">
        <v>655</v>
      </c>
      <c r="AE31">
        <v>393</v>
      </c>
      <c r="AF31">
        <v>236</v>
      </c>
      <c r="AG31">
        <v>25</v>
      </c>
      <c r="AH31">
        <v>7334</v>
      </c>
      <c r="AI31">
        <v>207</v>
      </c>
      <c r="AJ31">
        <v>832</v>
      </c>
      <c r="AK31">
        <v>845</v>
      </c>
      <c r="AL31">
        <v>2473</v>
      </c>
      <c r="AM31">
        <v>823</v>
      </c>
      <c r="AN31">
        <v>363</v>
      </c>
      <c r="AO31">
        <v>364</v>
      </c>
      <c r="AP31">
        <v>376</v>
      </c>
      <c r="AQ31">
        <v>1049</v>
      </c>
      <c r="AR31">
        <v>14714</v>
      </c>
      <c r="AS31">
        <v>252</v>
      </c>
      <c r="AT31">
        <v>242</v>
      </c>
      <c r="AU31">
        <v>103</v>
      </c>
      <c r="AV31">
        <v>1003</v>
      </c>
      <c r="AW31">
        <v>282</v>
      </c>
      <c r="AX31">
        <v>1080</v>
      </c>
      <c r="AY31">
        <v>680</v>
      </c>
      <c r="AZ31">
        <v>10002</v>
      </c>
      <c r="BA31">
        <v>1072</v>
      </c>
      <c r="BB31">
        <v>16038</v>
      </c>
      <c r="BC31">
        <v>998</v>
      </c>
      <c r="BD31">
        <v>1938</v>
      </c>
      <c r="BE31">
        <v>160</v>
      </c>
      <c r="BF31">
        <v>2163</v>
      </c>
      <c r="BG31">
        <v>1756</v>
      </c>
      <c r="BH31">
        <v>1704</v>
      </c>
      <c r="BI31">
        <v>1646</v>
      </c>
      <c r="BJ31">
        <v>3339</v>
      </c>
      <c r="BK31">
        <v>2331</v>
      </c>
      <c r="BL31">
        <v>6302</v>
      </c>
      <c r="BM31">
        <v>184</v>
      </c>
      <c r="BN31">
        <v>128</v>
      </c>
      <c r="BO31">
        <v>45</v>
      </c>
      <c r="BP31">
        <v>303</v>
      </c>
      <c r="BQ31">
        <v>82</v>
      </c>
      <c r="BR31">
        <v>2433</v>
      </c>
      <c r="BS31">
        <v>390</v>
      </c>
      <c r="BT31">
        <v>2736</v>
      </c>
      <c r="BU31">
        <v>22613</v>
      </c>
      <c r="BV31">
        <v>1302</v>
      </c>
      <c r="BW31">
        <v>838</v>
      </c>
      <c r="BX31">
        <v>5</v>
      </c>
      <c r="BY31">
        <v>14504</v>
      </c>
      <c r="BZ31">
        <v>5963</v>
      </c>
      <c r="CA31">
        <v>249613</v>
      </c>
    </row>
    <row r="32" spans="1:79">
      <c r="A32" t="s">
        <v>188</v>
      </c>
      <c r="B32">
        <v>32621</v>
      </c>
      <c r="C32">
        <v>1874</v>
      </c>
      <c r="D32">
        <v>11088</v>
      </c>
      <c r="E32">
        <v>2208</v>
      </c>
      <c r="F32">
        <v>1379</v>
      </c>
      <c r="G32">
        <v>7580</v>
      </c>
      <c r="H32">
        <v>4153</v>
      </c>
      <c r="I32">
        <v>319</v>
      </c>
      <c r="J32">
        <v>363</v>
      </c>
      <c r="K32">
        <v>1174</v>
      </c>
      <c r="L32">
        <v>2478</v>
      </c>
      <c r="M32">
        <v>2679</v>
      </c>
      <c r="N32">
        <v>2610</v>
      </c>
      <c r="O32">
        <v>68</v>
      </c>
      <c r="P32">
        <v>83621</v>
      </c>
      <c r="Q32">
        <v>827</v>
      </c>
      <c r="R32">
        <v>1415</v>
      </c>
      <c r="S32">
        <v>7</v>
      </c>
      <c r="T32">
        <v>1769</v>
      </c>
      <c r="U32">
        <v>242</v>
      </c>
      <c r="V32">
        <v>4722</v>
      </c>
      <c r="W32">
        <v>665</v>
      </c>
      <c r="X32">
        <v>73494</v>
      </c>
      <c r="Y32">
        <v>476</v>
      </c>
      <c r="Z32">
        <v>67702</v>
      </c>
      <c r="AA32">
        <v>42273</v>
      </c>
      <c r="AB32">
        <v>6946</v>
      </c>
      <c r="AC32">
        <v>18480</v>
      </c>
      <c r="AD32">
        <v>675</v>
      </c>
      <c r="AE32">
        <v>422</v>
      </c>
      <c r="AF32">
        <v>217</v>
      </c>
      <c r="AG32">
        <v>37</v>
      </c>
      <c r="AH32">
        <v>8367</v>
      </c>
      <c r="AI32">
        <v>227</v>
      </c>
      <c r="AJ32">
        <v>657</v>
      </c>
      <c r="AK32">
        <v>847</v>
      </c>
      <c r="AL32">
        <v>3486</v>
      </c>
      <c r="AM32">
        <v>985</v>
      </c>
      <c r="AN32">
        <v>369</v>
      </c>
      <c r="AO32">
        <v>315</v>
      </c>
      <c r="AP32">
        <v>418</v>
      </c>
      <c r="AQ32">
        <v>1065</v>
      </c>
      <c r="AR32">
        <v>13406</v>
      </c>
      <c r="AS32">
        <v>184</v>
      </c>
      <c r="AT32">
        <v>246</v>
      </c>
      <c r="AU32">
        <v>111</v>
      </c>
      <c r="AV32">
        <v>984</v>
      </c>
      <c r="AW32">
        <v>268</v>
      </c>
      <c r="AX32">
        <v>1060</v>
      </c>
      <c r="AY32">
        <v>602</v>
      </c>
      <c r="AZ32">
        <v>8842</v>
      </c>
      <c r="BA32">
        <v>1107</v>
      </c>
      <c r="BB32">
        <v>15387</v>
      </c>
      <c r="BC32">
        <v>872</v>
      </c>
      <c r="BD32">
        <v>1872</v>
      </c>
      <c r="BE32">
        <v>161</v>
      </c>
      <c r="BF32">
        <v>2269</v>
      </c>
      <c r="BG32">
        <v>1542</v>
      </c>
      <c r="BH32">
        <v>1752</v>
      </c>
      <c r="BI32">
        <v>1691</v>
      </c>
      <c r="BJ32">
        <v>2940</v>
      </c>
      <c r="BK32">
        <v>2290</v>
      </c>
      <c r="BL32">
        <v>6558</v>
      </c>
      <c r="BM32">
        <v>136</v>
      </c>
      <c r="BN32">
        <v>133</v>
      </c>
      <c r="BO32">
        <v>64</v>
      </c>
      <c r="BP32">
        <v>328</v>
      </c>
      <c r="BQ32">
        <v>92</v>
      </c>
      <c r="BR32">
        <v>2532</v>
      </c>
      <c r="BS32">
        <v>409</v>
      </c>
      <c r="BT32">
        <v>2862</v>
      </c>
      <c r="BU32">
        <v>27452</v>
      </c>
      <c r="BV32">
        <v>1563</v>
      </c>
      <c r="BW32">
        <v>989</v>
      </c>
      <c r="BX32">
        <v>1</v>
      </c>
      <c r="BY32">
        <v>18857</v>
      </c>
      <c r="BZ32">
        <v>6043</v>
      </c>
      <c r="CA32">
        <v>258469</v>
      </c>
    </row>
    <row r="33" spans="1:79">
      <c r="A33" t="s">
        <v>189</v>
      </c>
      <c r="B33">
        <v>36596</v>
      </c>
      <c r="C33">
        <v>1618</v>
      </c>
      <c r="D33">
        <v>11834</v>
      </c>
      <c r="E33">
        <v>2345</v>
      </c>
      <c r="F33">
        <v>1424</v>
      </c>
      <c r="G33">
        <v>9336</v>
      </c>
      <c r="H33">
        <v>5099</v>
      </c>
      <c r="I33">
        <v>330</v>
      </c>
      <c r="J33">
        <v>369</v>
      </c>
      <c r="K33">
        <v>1230</v>
      </c>
      <c r="L33">
        <v>3011</v>
      </c>
      <c r="M33">
        <v>3031</v>
      </c>
      <c r="N33">
        <v>2962</v>
      </c>
      <c r="O33">
        <v>67</v>
      </c>
      <c r="P33">
        <v>99473</v>
      </c>
      <c r="Q33">
        <v>808</v>
      </c>
      <c r="R33">
        <v>1906</v>
      </c>
      <c r="S33">
        <v>0</v>
      </c>
      <c r="T33">
        <v>1975</v>
      </c>
      <c r="U33">
        <v>277</v>
      </c>
      <c r="V33">
        <v>5852</v>
      </c>
      <c r="W33">
        <v>1575</v>
      </c>
      <c r="X33">
        <v>86583</v>
      </c>
      <c r="Y33">
        <v>496</v>
      </c>
      <c r="Z33">
        <v>91149</v>
      </c>
      <c r="AA33">
        <v>57133</v>
      </c>
      <c r="AB33">
        <v>7662</v>
      </c>
      <c r="AC33">
        <v>26355</v>
      </c>
      <c r="AD33">
        <v>680</v>
      </c>
      <c r="AE33">
        <v>390</v>
      </c>
      <c r="AF33">
        <v>241</v>
      </c>
      <c r="AG33">
        <v>49</v>
      </c>
      <c r="AH33">
        <v>8643</v>
      </c>
      <c r="AI33">
        <v>199</v>
      </c>
      <c r="AJ33">
        <v>702</v>
      </c>
      <c r="AK33">
        <v>959</v>
      </c>
      <c r="AL33">
        <v>3478</v>
      </c>
      <c r="AM33">
        <v>1180</v>
      </c>
      <c r="AN33">
        <v>265</v>
      </c>
      <c r="AO33">
        <v>339</v>
      </c>
      <c r="AP33">
        <v>443</v>
      </c>
      <c r="AQ33">
        <v>1072</v>
      </c>
      <c r="AR33">
        <v>14749</v>
      </c>
      <c r="AS33">
        <v>166</v>
      </c>
      <c r="AT33">
        <v>294</v>
      </c>
      <c r="AU33">
        <v>115</v>
      </c>
      <c r="AV33">
        <v>1013</v>
      </c>
      <c r="AW33">
        <v>274</v>
      </c>
      <c r="AX33">
        <v>902</v>
      </c>
      <c r="AY33">
        <v>917</v>
      </c>
      <c r="AZ33">
        <v>9957</v>
      </c>
      <c r="BA33">
        <v>1114</v>
      </c>
      <c r="BB33">
        <v>14638</v>
      </c>
      <c r="BC33">
        <v>742</v>
      </c>
      <c r="BD33">
        <v>1886</v>
      </c>
      <c r="BE33">
        <v>188</v>
      </c>
      <c r="BF33">
        <v>2191</v>
      </c>
      <c r="BG33">
        <v>1226</v>
      </c>
      <c r="BH33">
        <v>2012</v>
      </c>
      <c r="BI33">
        <v>1847</v>
      </c>
      <c r="BJ33">
        <v>2264</v>
      </c>
      <c r="BK33">
        <v>2283</v>
      </c>
      <c r="BL33">
        <v>6857</v>
      </c>
      <c r="BM33">
        <v>144</v>
      </c>
      <c r="BN33">
        <v>141</v>
      </c>
      <c r="BO33">
        <v>70</v>
      </c>
      <c r="BP33">
        <v>328</v>
      </c>
      <c r="BQ33">
        <v>115</v>
      </c>
      <c r="BR33">
        <v>2619</v>
      </c>
      <c r="BS33">
        <v>427</v>
      </c>
      <c r="BT33">
        <v>3017</v>
      </c>
      <c r="BU33">
        <v>25523</v>
      </c>
      <c r="BV33">
        <v>1474</v>
      </c>
      <c r="BW33">
        <v>677</v>
      </c>
      <c r="BX33">
        <v>1</v>
      </c>
      <c r="BY33">
        <v>17620</v>
      </c>
      <c r="BZ33">
        <v>5749</v>
      </c>
      <c r="CA33">
        <v>301334</v>
      </c>
    </row>
    <row r="34" spans="1:79">
      <c r="A34" t="s">
        <v>190</v>
      </c>
      <c r="B34">
        <v>35271</v>
      </c>
      <c r="C34">
        <v>1825</v>
      </c>
      <c r="D34">
        <v>13605</v>
      </c>
      <c r="E34">
        <v>2481</v>
      </c>
      <c r="F34">
        <v>1469</v>
      </c>
      <c r="G34">
        <v>7326</v>
      </c>
      <c r="H34">
        <v>3567</v>
      </c>
      <c r="I34">
        <v>300</v>
      </c>
      <c r="J34">
        <v>393</v>
      </c>
      <c r="K34">
        <v>1359</v>
      </c>
      <c r="L34">
        <v>2946</v>
      </c>
      <c r="M34">
        <v>3377</v>
      </c>
      <c r="N34">
        <v>3318</v>
      </c>
      <c r="O34">
        <v>59</v>
      </c>
      <c r="P34">
        <v>106879</v>
      </c>
      <c r="Q34">
        <v>731</v>
      </c>
      <c r="R34">
        <v>1398</v>
      </c>
      <c r="S34">
        <v>15</v>
      </c>
      <c r="T34">
        <v>2218</v>
      </c>
      <c r="U34">
        <v>238</v>
      </c>
      <c r="V34">
        <v>6474</v>
      </c>
      <c r="W34">
        <v>2110</v>
      </c>
      <c r="X34">
        <v>93112</v>
      </c>
      <c r="Y34">
        <v>584</v>
      </c>
      <c r="Z34">
        <v>122269</v>
      </c>
      <c r="AA34">
        <v>66848</v>
      </c>
      <c r="AB34">
        <v>11191</v>
      </c>
      <c r="AC34">
        <v>44229</v>
      </c>
      <c r="AD34">
        <v>663</v>
      </c>
      <c r="AE34">
        <v>368</v>
      </c>
      <c r="AF34">
        <v>240</v>
      </c>
      <c r="AG34">
        <v>55</v>
      </c>
      <c r="AH34">
        <v>10510</v>
      </c>
      <c r="AI34">
        <v>201</v>
      </c>
      <c r="AJ34">
        <v>937</v>
      </c>
      <c r="AK34">
        <v>1029</v>
      </c>
      <c r="AL34">
        <v>4750</v>
      </c>
      <c r="AM34">
        <v>1346</v>
      </c>
      <c r="AN34">
        <v>320</v>
      </c>
      <c r="AO34">
        <v>298</v>
      </c>
      <c r="AP34">
        <v>443</v>
      </c>
      <c r="AQ34">
        <v>1185</v>
      </c>
      <c r="AR34">
        <v>17031</v>
      </c>
      <c r="AS34">
        <v>166</v>
      </c>
      <c r="AT34">
        <v>307</v>
      </c>
      <c r="AU34">
        <v>97</v>
      </c>
      <c r="AV34">
        <v>1145</v>
      </c>
      <c r="AW34">
        <v>273</v>
      </c>
      <c r="AX34">
        <v>927</v>
      </c>
      <c r="AY34">
        <v>1029</v>
      </c>
      <c r="AZ34">
        <v>11823</v>
      </c>
      <c r="BA34">
        <v>1265</v>
      </c>
      <c r="BB34">
        <v>15352</v>
      </c>
      <c r="BC34">
        <v>939</v>
      </c>
      <c r="BD34">
        <v>1833</v>
      </c>
      <c r="BE34">
        <v>275</v>
      </c>
      <c r="BF34">
        <v>2296</v>
      </c>
      <c r="BG34">
        <v>1284</v>
      </c>
      <c r="BH34">
        <v>2008</v>
      </c>
      <c r="BI34">
        <v>2078</v>
      </c>
      <c r="BJ34">
        <v>1693</v>
      </c>
      <c r="BK34">
        <v>2945</v>
      </c>
      <c r="BL34">
        <v>7288</v>
      </c>
      <c r="BM34">
        <v>162</v>
      </c>
      <c r="BN34">
        <v>152</v>
      </c>
      <c r="BO34">
        <v>80</v>
      </c>
      <c r="BP34">
        <v>336</v>
      </c>
      <c r="BQ34">
        <v>124</v>
      </c>
      <c r="BR34">
        <v>2765</v>
      </c>
      <c r="BS34">
        <v>440</v>
      </c>
      <c r="BT34">
        <v>3231</v>
      </c>
      <c r="BU34">
        <v>25975</v>
      </c>
      <c r="BV34">
        <v>1371</v>
      </c>
      <c r="BW34">
        <v>814</v>
      </c>
      <c r="BX34">
        <v>0</v>
      </c>
      <c r="BY34">
        <v>19136</v>
      </c>
      <c r="BZ34">
        <v>4651</v>
      </c>
      <c r="CA34">
        <v>344615</v>
      </c>
    </row>
    <row r="35" spans="1:79">
      <c r="A35" t="s">
        <v>191</v>
      </c>
      <c r="B35">
        <v>37649</v>
      </c>
      <c r="C35">
        <v>2126</v>
      </c>
      <c r="D35">
        <v>16462</v>
      </c>
      <c r="E35">
        <v>2488</v>
      </c>
      <c r="F35">
        <v>1529</v>
      </c>
      <c r="G35">
        <v>5891</v>
      </c>
      <c r="H35">
        <v>4112</v>
      </c>
      <c r="I35">
        <v>268</v>
      </c>
      <c r="J35">
        <v>425</v>
      </c>
      <c r="K35">
        <v>1374</v>
      </c>
      <c r="L35">
        <v>2977</v>
      </c>
      <c r="M35">
        <v>3582</v>
      </c>
      <c r="N35">
        <v>3523</v>
      </c>
      <c r="O35">
        <v>59</v>
      </c>
      <c r="P35">
        <v>136415</v>
      </c>
      <c r="Q35">
        <v>579</v>
      </c>
      <c r="R35">
        <v>1051</v>
      </c>
      <c r="S35">
        <v>20</v>
      </c>
      <c r="T35">
        <v>2225</v>
      </c>
      <c r="U35">
        <v>183</v>
      </c>
      <c r="V35">
        <v>4844</v>
      </c>
      <c r="W35">
        <v>1717</v>
      </c>
      <c r="X35">
        <v>125211</v>
      </c>
      <c r="Y35">
        <v>584</v>
      </c>
      <c r="Z35">
        <v>126288</v>
      </c>
      <c r="AA35">
        <v>63941</v>
      </c>
      <c r="AB35">
        <v>12224</v>
      </c>
      <c r="AC35">
        <v>50124</v>
      </c>
      <c r="AD35">
        <v>647</v>
      </c>
      <c r="AE35">
        <v>359</v>
      </c>
      <c r="AF35">
        <v>243</v>
      </c>
      <c r="AG35">
        <v>47</v>
      </c>
      <c r="AH35">
        <v>11971</v>
      </c>
      <c r="AI35">
        <v>212</v>
      </c>
      <c r="AJ35">
        <v>754</v>
      </c>
      <c r="AK35">
        <v>1008</v>
      </c>
      <c r="AL35">
        <v>6249</v>
      </c>
      <c r="AM35">
        <v>1532</v>
      </c>
      <c r="AN35">
        <v>262</v>
      </c>
      <c r="AO35">
        <v>328</v>
      </c>
      <c r="AP35">
        <v>397</v>
      </c>
      <c r="AQ35">
        <v>1225</v>
      </c>
      <c r="AR35">
        <v>17567</v>
      </c>
      <c r="AS35">
        <v>141</v>
      </c>
      <c r="AT35">
        <v>325</v>
      </c>
      <c r="AU35">
        <v>108</v>
      </c>
      <c r="AV35">
        <v>1094</v>
      </c>
      <c r="AW35">
        <v>305</v>
      </c>
      <c r="AX35">
        <v>1005</v>
      </c>
      <c r="AY35">
        <v>1217</v>
      </c>
      <c r="AZ35">
        <v>11999</v>
      </c>
      <c r="BA35">
        <v>1372</v>
      </c>
      <c r="BB35">
        <v>16992</v>
      </c>
      <c r="BC35">
        <v>1064</v>
      </c>
      <c r="BD35">
        <v>1961</v>
      </c>
      <c r="BE35">
        <v>192</v>
      </c>
      <c r="BF35">
        <v>2456</v>
      </c>
      <c r="BG35">
        <v>1410</v>
      </c>
      <c r="BH35">
        <v>2657</v>
      </c>
      <c r="BI35">
        <v>2131</v>
      </c>
      <c r="BJ35">
        <v>1919</v>
      </c>
      <c r="BK35">
        <v>3208</v>
      </c>
      <c r="BL35">
        <v>8208</v>
      </c>
      <c r="BM35">
        <v>157</v>
      </c>
      <c r="BN35">
        <v>182</v>
      </c>
      <c r="BO35">
        <v>94</v>
      </c>
      <c r="BP35">
        <v>377</v>
      </c>
      <c r="BQ35">
        <v>122</v>
      </c>
      <c r="BR35">
        <v>3906</v>
      </c>
      <c r="BS35">
        <v>466</v>
      </c>
      <c r="BT35">
        <v>2901</v>
      </c>
      <c r="BU35">
        <v>30661</v>
      </c>
      <c r="BV35">
        <v>1239</v>
      </c>
      <c r="BW35">
        <v>861</v>
      </c>
      <c r="BX35">
        <v>0</v>
      </c>
      <c r="BY35">
        <v>23372</v>
      </c>
      <c r="BZ35">
        <v>5188</v>
      </c>
      <c r="CA35">
        <v>389981</v>
      </c>
    </row>
    <row r="36" spans="1:79">
      <c r="A36" t="s">
        <v>192</v>
      </c>
      <c r="B36">
        <v>35628</v>
      </c>
      <c r="C36">
        <v>1949</v>
      </c>
      <c r="D36">
        <v>14705</v>
      </c>
      <c r="E36">
        <v>2544</v>
      </c>
      <c r="F36">
        <v>1229</v>
      </c>
      <c r="G36">
        <v>6440</v>
      </c>
      <c r="H36">
        <v>4127</v>
      </c>
      <c r="I36">
        <v>283</v>
      </c>
      <c r="J36">
        <v>447</v>
      </c>
      <c r="K36">
        <v>1310</v>
      </c>
      <c r="L36">
        <v>2591</v>
      </c>
      <c r="M36">
        <v>3283</v>
      </c>
      <c r="N36">
        <v>3246</v>
      </c>
      <c r="O36">
        <v>37</v>
      </c>
      <c r="P36">
        <v>151968</v>
      </c>
      <c r="Q36">
        <v>414</v>
      </c>
      <c r="R36">
        <v>1183</v>
      </c>
      <c r="S36">
        <v>10</v>
      </c>
      <c r="T36">
        <v>1669</v>
      </c>
      <c r="U36">
        <v>172</v>
      </c>
      <c r="V36">
        <v>2739</v>
      </c>
      <c r="W36">
        <v>1163</v>
      </c>
      <c r="X36">
        <v>144068</v>
      </c>
      <c r="Y36">
        <v>551</v>
      </c>
      <c r="Z36">
        <v>88821</v>
      </c>
      <c r="AA36">
        <v>43367</v>
      </c>
      <c r="AB36">
        <v>7755</v>
      </c>
      <c r="AC36">
        <v>37699</v>
      </c>
      <c r="AD36">
        <v>761</v>
      </c>
      <c r="AE36">
        <v>444</v>
      </c>
      <c r="AF36">
        <v>282</v>
      </c>
      <c r="AG36">
        <v>33</v>
      </c>
      <c r="AH36">
        <v>11092</v>
      </c>
      <c r="AI36">
        <v>227</v>
      </c>
      <c r="AJ36">
        <v>641</v>
      </c>
      <c r="AK36">
        <v>894</v>
      </c>
      <c r="AL36">
        <v>5547</v>
      </c>
      <c r="AM36">
        <v>1590</v>
      </c>
      <c r="AN36">
        <v>330</v>
      </c>
      <c r="AO36">
        <v>232</v>
      </c>
      <c r="AP36">
        <v>311</v>
      </c>
      <c r="AQ36">
        <v>1325</v>
      </c>
      <c r="AR36">
        <v>14708</v>
      </c>
      <c r="AS36">
        <v>112</v>
      </c>
      <c r="AT36">
        <v>260</v>
      </c>
      <c r="AU36">
        <v>103</v>
      </c>
      <c r="AV36">
        <v>934</v>
      </c>
      <c r="AW36">
        <v>276</v>
      </c>
      <c r="AX36">
        <v>736</v>
      </c>
      <c r="AY36">
        <v>920</v>
      </c>
      <c r="AZ36">
        <v>10215</v>
      </c>
      <c r="BA36">
        <v>1154</v>
      </c>
      <c r="BB36">
        <v>14678</v>
      </c>
      <c r="BC36">
        <v>1068</v>
      </c>
      <c r="BD36">
        <v>1769</v>
      </c>
      <c r="BE36">
        <v>138</v>
      </c>
      <c r="BF36">
        <v>2164</v>
      </c>
      <c r="BG36">
        <v>1300</v>
      </c>
      <c r="BH36">
        <v>2251</v>
      </c>
      <c r="BI36">
        <v>2006</v>
      </c>
      <c r="BJ36">
        <v>1598</v>
      </c>
      <c r="BK36">
        <v>2387</v>
      </c>
      <c r="BL36">
        <v>7376</v>
      </c>
      <c r="BM36">
        <v>161</v>
      </c>
      <c r="BN36">
        <v>136</v>
      </c>
      <c r="BO36">
        <v>112</v>
      </c>
      <c r="BP36">
        <v>387</v>
      </c>
      <c r="BQ36">
        <v>129</v>
      </c>
      <c r="BR36">
        <v>3526</v>
      </c>
      <c r="BS36">
        <v>432</v>
      </c>
      <c r="BT36">
        <v>2494</v>
      </c>
      <c r="BU36">
        <v>34408</v>
      </c>
      <c r="BV36">
        <v>1063</v>
      </c>
      <c r="BW36">
        <v>1303</v>
      </c>
      <c r="BX36">
        <v>2</v>
      </c>
      <c r="BY36">
        <v>25492</v>
      </c>
      <c r="BZ36">
        <v>6551</v>
      </c>
      <c r="CA36">
        <v>362728</v>
      </c>
    </row>
    <row r="37" spans="1:79">
      <c r="A37" t="s">
        <v>193</v>
      </c>
      <c r="B37">
        <v>43540</v>
      </c>
      <c r="C37">
        <v>1646</v>
      </c>
      <c r="D37">
        <v>14801</v>
      </c>
      <c r="E37">
        <v>2947</v>
      </c>
      <c r="F37">
        <v>1207</v>
      </c>
      <c r="G37">
        <v>14105</v>
      </c>
      <c r="H37">
        <v>4512</v>
      </c>
      <c r="I37">
        <v>318</v>
      </c>
      <c r="J37">
        <v>476</v>
      </c>
      <c r="K37">
        <v>1424</v>
      </c>
      <c r="L37">
        <v>2105</v>
      </c>
      <c r="M37">
        <v>2523</v>
      </c>
      <c r="N37">
        <v>2503</v>
      </c>
      <c r="O37">
        <v>21</v>
      </c>
      <c r="P37">
        <v>198179</v>
      </c>
      <c r="Q37">
        <v>504</v>
      </c>
      <c r="R37">
        <v>3166</v>
      </c>
      <c r="S37">
        <v>11</v>
      </c>
      <c r="T37">
        <v>1338</v>
      </c>
      <c r="U37">
        <v>266</v>
      </c>
      <c r="V37">
        <v>5081</v>
      </c>
      <c r="W37">
        <v>1948</v>
      </c>
      <c r="X37">
        <v>185259</v>
      </c>
      <c r="Y37">
        <v>613</v>
      </c>
      <c r="Z37">
        <v>126395</v>
      </c>
      <c r="AA37">
        <v>63504</v>
      </c>
      <c r="AB37">
        <v>11715</v>
      </c>
      <c r="AC37">
        <v>51179</v>
      </c>
      <c r="AD37">
        <v>1085</v>
      </c>
      <c r="AE37">
        <v>669</v>
      </c>
      <c r="AF37">
        <v>360</v>
      </c>
      <c r="AG37">
        <v>54</v>
      </c>
      <c r="AH37">
        <v>10052</v>
      </c>
      <c r="AI37">
        <v>239</v>
      </c>
      <c r="AJ37">
        <v>808</v>
      </c>
      <c r="AK37">
        <v>1036</v>
      </c>
      <c r="AL37">
        <v>3630</v>
      </c>
      <c r="AM37">
        <v>1663</v>
      </c>
      <c r="AN37">
        <v>490</v>
      </c>
      <c r="AO37">
        <v>368</v>
      </c>
      <c r="AP37">
        <v>345</v>
      </c>
      <c r="AQ37">
        <v>1474</v>
      </c>
      <c r="AR37">
        <v>16703</v>
      </c>
      <c r="AS37">
        <v>160</v>
      </c>
      <c r="AT37">
        <v>257</v>
      </c>
      <c r="AU37">
        <v>96</v>
      </c>
      <c r="AV37">
        <v>948</v>
      </c>
      <c r="AW37">
        <v>333</v>
      </c>
      <c r="AX37">
        <v>570</v>
      </c>
      <c r="AY37">
        <v>793</v>
      </c>
      <c r="AZ37">
        <v>12328</v>
      </c>
      <c r="BA37">
        <v>1220</v>
      </c>
      <c r="BB37">
        <v>14728</v>
      </c>
      <c r="BC37">
        <v>872</v>
      </c>
      <c r="BD37">
        <v>1678</v>
      </c>
      <c r="BE37">
        <v>175</v>
      </c>
      <c r="BF37">
        <v>2230</v>
      </c>
      <c r="BG37">
        <v>1376</v>
      </c>
      <c r="BH37">
        <v>2331</v>
      </c>
      <c r="BI37">
        <v>2227</v>
      </c>
      <c r="BJ37">
        <v>1853</v>
      </c>
      <c r="BK37">
        <v>1988</v>
      </c>
      <c r="BL37">
        <v>8036</v>
      </c>
      <c r="BM37">
        <v>203</v>
      </c>
      <c r="BN37">
        <v>145</v>
      </c>
      <c r="BO37">
        <v>116</v>
      </c>
      <c r="BP37">
        <v>480</v>
      </c>
      <c r="BQ37">
        <v>119</v>
      </c>
      <c r="BR37">
        <v>3875</v>
      </c>
      <c r="BS37">
        <v>453</v>
      </c>
      <c r="BT37">
        <v>2646</v>
      </c>
      <c r="BU37">
        <v>36933</v>
      </c>
      <c r="BV37">
        <v>1789</v>
      </c>
      <c r="BW37">
        <v>2576</v>
      </c>
      <c r="BX37">
        <v>2</v>
      </c>
      <c r="BY37">
        <v>23281</v>
      </c>
      <c r="BZ37">
        <v>9283</v>
      </c>
      <c r="CA37">
        <v>458168</v>
      </c>
    </row>
    <row r="38" spans="1:79">
      <c r="A38" t="s">
        <v>194</v>
      </c>
      <c r="B38">
        <v>53122</v>
      </c>
      <c r="C38">
        <v>1518</v>
      </c>
      <c r="D38">
        <v>16600</v>
      </c>
      <c r="E38">
        <v>3385</v>
      </c>
      <c r="F38">
        <v>1205</v>
      </c>
      <c r="G38">
        <v>20672</v>
      </c>
      <c r="H38">
        <v>5027</v>
      </c>
      <c r="I38">
        <v>321</v>
      </c>
      <c r="J38">
        <v>517</v>
      </c>
      <c r="K38">
        <v>1719</v>
      </c>
      <c r="L38">
        <v>2160</v>
      </c>
      <c r="M38">
        <v>2572</v>
      </c>
      <c r="N38">
        <v>2553</v>
      </c>
      <c r="O38">
        <v>19</v>
      </c>
      <c r="P38">
        <v>188296</v>
      </c>
      <c r="Q38">
        <v>454</v>
      </c>
      <c r="R38">
        <v>7762</v>
      </c>
      <c r="S38">
        <v>9</v>
      </c>
      <c r="T38">
        <v>1523</v>
      </c>
      <c r="U38">
        <v>307</v>
      </c>
      <c r="V38">
        <v>7710</v>
      </c>
      <c r="W38">
        <v>12384</v>
      </c>
      <c r="X38">
        <v>157451</v>
      </c>
      <c r="Y38">
        <v>692</v>
      </c>
      <c r="Z38">
        <v>251334</v>
      </c>
      <c r="AA38">
        <v>142345</v>
      </c>
      <c r="AB38">
        <v>17341</v>
      </c>
      <c r="AC38">
        <v>91648</v>
      </c>
      <c r="AD38">
        <v>1682</v>
      </c>
      <c r="AE38">
        <v>1080</v>
      </c>
      <c r="AF38">
        <v>538</v>
      </c>
      <c r="AG38">
        <v>64</v>
      </c>
      <c r="AH38">
        <v>12575</v>
      </c>
      <c r="AI38">
        <v>245</v>
      </c>
      <c r="AJ38">
        <v>1675</v>
      </c>
      <c r="AK38">
        <v>1068</v>
      </c>
      <c r="AL38">
        <v>4328</v>
      </c>
      <c r="AM38">
        <v>1768</v>
      </c>
      <c r="AN38">
        <v>731</v>
      </c>
      <c r="AO38">
        <v>303</v>
      </c>
      <c r="AP38">
        <v>451</v>
      </c>
      <c r="AQ38">
        <v>2007</v>
      </c>
      <c r="AR38">
        <v>19431</v>
      </c>
      <c r="AS38">
        <v>148</v>
      </c>
      <c r="AT38">
        <v>363</v>
      </c>
      <c r="AU38">
        <v>96</v>
      </c>
      <c r="AV38">
        <v>1014</v>
      </c>
      <c r="AW38">
        <v>356</v>
      </c>
      <c r="AX38">
        <v>604</v>
      </c>
      <c r="AY38">
        <v>1340</v>
      </c>
      <c r="AZ38">
        <v>14078</v>
      </c>
      <c r="BA38">
        <v>1430</v>
      </c>
      <c r="BB38">
        <v>16516</v>
      </c>
      <c r="BC38">
        <v>1027</v>
      </c>
      <c r="BD38">
        <v>1911</v>
      </c>
      <c r="BE38">
        <v>260</v>
      </c>
      <c r="BF38">
        <v>2489</v>
      </c>
      <c r="BG38">
        <v>1545</v>
      </c>
      <c r="BH38">
        <v>2337</v>
      </c>
      <c r="BI38">
        <v>2692</v>
      </c>
      <c r="BJ38">
        <v>2013</v>
      </c>
      <c r="BK38">
        <v>2245</v>
      </c>
      <c r="BL38">
        <v>9077</v>
      </c>
      <c r="BM38">
        <v>175</v>
      </c>
      <c r="BN38">
        <v>166</v>
      </c>
      <c r="BO38">
        <v>201</v>
      </c>
      <c r="BP38">
        <v>649</v>
      </c>
      <c r="BQ38">
        <v>141</v>
      </c>
      <c r="BR38">
        <v>4409</v>
      </c>
      <c r="BS38">
        <v>506</v>
      </c>
      <c r="BT38">
        <v>2834</v>
      </c>
      <c r="BU38">
        <v>39255</v>
      </c>
      <c r="BV38">
        <v>764</v>
      </c>
      <c r="BW38">
        <v>3046</v>
      </c>
      <c r="BX38">
        <v>9</v>
      </c>
      <c r="BY38">
        <v>23514</v>
      </c>
      <c r="BZ38">
        <v>11921</v>
      </c>
      <c r="CA38">
        <v>593865</v>
      </c>
    </row>
    <row r="39" spans="1:79">
      <c r="A39" t="s">
        <v>195</v>
      </c>
      <c r="B39">
        <v>54749</v>
      </c>
      <c r="C39">
        <v>1236</v>
      </c>
      <c r="D39">
        <v>17798</v>
      </c>
      <c r="E39">
        <v>3000</v>
      </c>
      <c r="F39">
        <v>1346</v>
      </c>
      <c r="G39">
        <v>20628</v>
      </c>
      <c r="H39">
        <v>5891</v>
      </c>
      <c r="I39">
        <v>297</v>
      </c>
      <c r="J39">
        <v>509</v>
      </c>
      <c r="K39">
        <v>1737</v>
      </c>
      <c r="L39">
        <v>2314</v>
      </c>
      <c r="M39">
        <v>2548</v>
      </c>
      <c r="N39">
        <v>2524</v>
      </c>
      <c r="O39">
        <v>24</v>
      </c>
      <c r="P39">
        <v>202961</v>
      </c>
      <c r="Q39">
        <v>451</v>
      </c>
      <c r="R39">
        <v>5508</v>
      </c>
      <c r="S39">
        <v>14</v>
      </c>
      <c r="T39">
        <v>1435</v>
      </c>
      <c r="U39">
        <v>203</v>
      </c>
      <c r="V39">
        <v>7407</v>
      </c>
      <c r="W39">
        <v>19055</v>
      </c>
      <c r="X39">
        <v>168243</v>
      </c>
      <c r="Y39">
        <v>650</v>
      </c>
      <c r="Z39">
        <v>195549</v>
      </c>
      <c r="AA39">
        <v>103331</v>
      </c>
      <c r="AB39">
        <v>15760</v>
      </c>
      <c r="AC39">
        <v>76456</v>
      </c>
      <c r="AD39">
        <v>1609</v>
      </c>
      <c r="AE39">
        <v>1053</v>
      </c>
      <c r="AF39">
        <v>420</v>
      </c>
      <c r="AG39">
        <v>136</v>
      </c>
      <c r="AH39">
        <v>11484</v>
      </c>
      <c r="AI39">
        <v>221</v>
      </c>
      <c r="AJ39">
        <v>1264</v>
      </c>
      <c r="AK39">
        <v>920</v>
      </c>
      <c r="AL39">
        <v>4754</v>
      </c>
      <c r="AM39">
        <v>1686</v>
      </c>
      <c r="AN39">
        <v>338</v>
      </c>
      <c r="AO39">
        <v>277</v>
      </c>
      <c r="AP39">
        <v>385</v>
      </c>
      <c r="AQ39">
        <v>1643</v>
      </c>
      <c r="AR39">
        <v>19357</v>
      </c>
      <c r="AS39">
        <v>109</v>
      </c>
      <c r="AT39">
        <v>397</v>
      </c>
      <c r="AU39">
        <v>98</v>
      </c>
      <c r="AV39">
        <v>888</v>
      </c>
      <c r="AW39">
        <v>364</v>
      </c>
      <c r="AX39">
        <v>854</v>
      </c>
      <c r="AY39">
        <v>1256</v>
      </c>
      <c r="AZ39">
        <v>13950</v>
      </c>
      <c r="BA39">
        <v>1442</v>
      </c>
      <c r="BB39">
        <v>18604</v>
      </c>
      <c r="BC39">
        <v>1303</v>
      </c>
      <c r="BD39">
        <v>2113</v>
      </c>
      <c r="BE39">
        <v>272</v>
      </c>
      <c r="BF39">
        <v>3044</v>
      </c>
      <c r="BG39">
        <v>1489</v>
      </c>
      <c r="BH39">
        <v>2677</v>
      </c>
      <c r="BI39">
        <v>2954</v>
      </c>
      <c r="BJ39">
        <v>2180</v>
      </c>
      <c r="BK39">
        <v>2574</v>
      </c>
      <c r="BL39">
        <v>10517</v>
      </c>
      <c r="BM39">
        <v>170</v>
      </c>
      <c r="BN39">
        <v>188</v>
      </c>
      <c r="BO39">
        <v>188</v>
      </c>
      <c r="BP39">
        <v>706</v>
      </c>
      <c r="BQ39">
        <v>181</v>
      </c>
      <c r="BR39">
        <v>4871</v>
      </c>
      <c r="BS39">
        <v>576</v>
      </c>
      <c r="BT39">
        <v>3636</v>
      </c>
      <c r="BU39">
        <v>41247</v>
      </c>
      <c r="BV39">
        <v>612</v>
      </c>
      <c r="BW39">
        <v>2011</v>
      </c>
      <c r="BX39">
        <v>11</v>
      </c>
      <c r="BY39">
        <v>28352</v>
      </c>
      <c r="BZ39">
        <v>10257</v>
      </c>
      <c r="CA39">
        <v>558623</v>
      </c>
    </row>
    <row r="40" spans="1:79">
      <c r="A40" t="s">
        <v>275</v>
      </c>
      <c r="B40">
        <v>52718</v>
      </c>
      <c r="C40">
        <v>1114</v>
      </c>
      <c r="D40">
        <v>21379</v>
      </c>
      <c r="E40">
        <v>3437</v>
      </c>
      <c r="F40">
        <v>1227</v>
      </c>
      <c r="G40">
        <v>13754</v>
      </c>
      <c r="H40">
        <v>7127</v>
      </c>
      <c r="I40">
        <v>299</v>
      </c>
      <c r="J40">
        <v>549</v>
      </c>
      <c r="K40">
        <v>1578</v>
      </c>
      <c r="L40">
        <v>2257</v>
      </c>
      <c r="M40">
        <v>3187</v>
      </c>
      <c r="N40">
        <v>3167</v>
      </c>
      <c r="O40">
        <v>20</v>
      </c>
      <c r="P40">
        <v>179557</v>
      </c>
      <c r="Q40">
        <v>534</v>
      </c>
      <c r="R40">
        <v>5001</v>
      </c>
      <c r="S40">
        <v>20</v>
      </c>
      <c r="T40">
        <v>1435</v>
      </c>
      <c r="U40">
        <v>243</v>
      </c>
      <c r="V40">
        <v>6501</v>
      </c>
      <c r="W40">
        <v>5157</v>
      </c>
      <c r="X40">
        <v>160031</v>
      </c>
      <c r="Y40">
        <v>637</v>
      </c>
      <c r="Z40">
        <v>171431</v>
      </c>
      <c r="AA40">
        <v>85981</v>
      </c>
      <c r="AB40">
        <v>15733</v>
      </c>
      <c r="AC40">
        <v>69718</v>
      </c>
      <c r="AD40">
        <v>1400</v>
      </c>
      <c r="AE40">
        <v>866</v>
      </c>
      <c r="AF40">
        <v>417</v>
      </c>
      <c r="AG40">
        <v>118</v>
      </c>
      <c r="AH40">
        <v>12289</v>
      </c>
      <c r="AI40">
        <v>215</v>
      </c>
      <c r="AJ40">
        <v>948</v>
      </c>
      <c r="AK40">
        <v>1163</v>
      </c>
      <c r="AL40">
        <v>5388</v>
      </c>
      <c r="AM40">
        <v>1709</v>
      </c>
      <c r="AN40">
        <v>437</v>
      </c>
      <c r="AO40">
        <v>295</v>
      </c>
      <c r="AP40">
        <v>412</v>
      </c>
      <c r="AQ40">
        <v>1724</v>
      </c>
      <c r="AR40">
        <v>20559</v>
      </c>
      <c r="AS40">
        <v>112</v>
      </c>
      <c r="AT40">
        <v>333</v>
      </c>
      <c r="AU40">
        <v>98</v>
      </c>
      <c r="AV40">
        <v>894</v>
      </c>
      <c r="AW40">
        <v>392</v>
      </c>
      <c r="AX40">
        <v>591</v>
      </c>
      <c r="AY40">
        <v>1328</v>
      </c>
      <c r="AZ40">
        <v>15335</v>
      </c>
      <c r="BA40">
        <v>1478</v>
      </c>
      <c r="BB40">
        <v>20549</v>
      </c>
      <c r="BC40">
        <v>1380</v>
      </c>
      <c r="BD40">
        <v>2355</v>
      </c>
      <c r="BE40">
        <v>287</v>
      </c>
      <c r="BF40">
        <v>3128</v>
      </c>
      <c r="BG40">
        <v>1582</v>
      </c>
      <c r="BH40">
        <v>2928</v>
      </c>
      <c r="BI40">
        <v>3233</v>
      </c>
      <c r="BJ40">
        <v>2281</v>
      </c>
      <c r="BK40">
        <v>3381</v>
      </c>
      <c r="BL40">
        <v>11000</v>
      </c>
      <c r="BM40">
        <v>193</v>
      </c>
      <c r="BN40">
        <v>170</v>
      </c>
      <c r="BO40">
        <v>178</v>
      </c>
      <c r="BP40">
        <v>774</v>
      </c>
      <c r="BQ40">
        <v>191</v>
      </c>
      <c r="BR40">
        <v>4087</v>
      </c>
      <c r="BS40">
        <v>611</v>
      </c>
      <c r="BT40">
        <v>4795</v>
      </c>
      <c r="BU40">
        <v>45165</v>
      </c>
      <c r="BV40">
        <v>566</v>
      </c>
      <c r="BW40">
        <v>1340</v>
      </c>
      <c r="BX40">
        <v>23</v>
      </c>
      <c r="BY40">
        <v>35703</v>
      </c>
      <c r="BZ40">
        <v>7534</v>
      </c>
      <c r="CA40">
        <v>517857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AB0F-7C50-4BC3-A3C2-9B524F97CE9E}">
  <sheetPr>
    <tabColor rgb="FFFF0000"/>
  </sheetPr>
  <dimension ref="A1:CA8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4" sqref="D44"/>
    </sheetView>
  </sheetViews>
  <sheetFormatPr defaultRowHeight="15"/>
  <cols>
    <col min="1" max="1" width="9.140625" style="6"/>
    <col min="2" max="2" width="12.140625" style="6" bestFit="1" customWidth="1"/>
    <col min="3" max="3" width="11.140625" style="6" bestFit="1" customWidth="1"/>
    <col min="4" max="4" width="12.140625" style="6" bestFit="1" customWidth="1"/>
    <col min="5" max="6" width="11.140625" style="6" bestFit="1" customWidth="1"/>
    <col min="7" max="7" width="12.140625" style="6" bestFit="1" customWidth="1"/>
    <col min="8" max="9" width="11.140625" style="6" bestFit="1" customWidth="1"/>
    <col min="10" max="10" width="10.140625" style="6" bestFit="1" customWidth="1"/>
    <col min="11" max="14" width="11.140625" style="6" bestFit="1" customWidth="1"/>
    <col min="15" max="15" width="10.140625" style="6" bestFit="1" customWidth="1"/>
    <col min="16" max="16" width="13.28515625" style="6" bestFit="1" customWidth="1"/>
    <col min="17" max="18" width="11.140625" style="6" bestFit="1" customWidth="1"/>
    <col min="19" max="19" width="9.28515625" style="6" bestFit="1" customWidth="1"/>
    <col min="20" max="20" width="11.140625" style="6" bestFit="1" customWidth="1"/>
    <col min="21" max="21" width="10.140625" style="6" bestFit="1" customWidth="1"/>
    <col min="22" max="22" width="11.140625" style="6" bestFit="1" customWidth="1"/>
    <col min="23" max="23" width="12.140625" style="6" bestFit="1" customWidth="1"/>
    <col min="24" max="24" width="13.28515625" style="6" bestFit="1" customWidth="1"/>
    <col min="25" max="25" width="10.140625" style="6" bestFit="1" customWidth="1"/>
    <col min="26" max="27" width="13.28515625" style="6" bestFit="1" customWidth="1"/>
    <col min="28" max="29" width="12.140625" style="6" bestFit="1" customWidth="1"/>
    <col min="30" max="31" width="11.140625" style="6" bestFit="1" customWidth="1"/>
    <col min="32" max="33" width="10.140625" style="6" bestFit="1" customWidth="1"/>
    <col min="34" max="34" width="12.140625" style="6" bestFit="1" customWidth="1"/>
    <col min="35" max="35" width="10.140625" style="6" bestFit="1" customWidth="1"/>
    <col min="36" max="39" width="11.140625" style="6" bestFit="1" customWidth="1"/>
    <col min="40" max="42" width="10.140625" style="6" bestFit="1" customWidth="1"/>
    <col min="43" max="43" width="11.140625" style="6" bestFit="1" customWidth="1"/>
    <col min="44" max="44" width="12.140625" style="6" bestFit="1" customWidth="1"/>
    <col min="45" max="47" width="10.140625" style="6" bestFit="1" customWidth="1"/>
    <col min="48" max="48" width="11.140625" style="6" bestFit="1" customWidth="1"/>
    <col min="49" max="49" width="10.140625" style="6" bestFit="1" customWidth="1"/>
    <col min="50" max="51" width="11.140625" style="6" bestFit="1" customWidth="1"/>
    <col min="52" max="52" width="12.140625" style="6" bestFit="1" customWidth="1"/>
    <col min="53" max="53" width="11.140625" style="6" bestFit="1" customWidth="1"/>
    <col min="54" max="54" width="12.140625" style="6" bestFit="1" customWidth="1"/>
    <col min="55" max="56" width="11.140625" style="6" bestFit="1" customWidth="1"/>
    <col min="57" max="57" width="10.140625" style="6" bestFit="1" customWidth="1"/>
    <col min="58" max="63" width="11.140625" style="6" bestFit="1" customWidth="1"/>
    <col min="64" max="64" width="12.140625" style="6" bestFit="1" customWidth="1"/>
    <col min="65" max="69" width="10.140625" style="6" bestFit="1" customWidth="1"/>
    <col min="70" max="72" width="11.140625" style="6" bestFit="1" customWidth="1"/>
    <col min="73" max="73" width="12.140625" style="6" bestFit="1" customWidth="1"/>
    <col min="74" max="75" width="11.140625" style="6" bestFit="1" customWidth="1"/>
    <col min="76" max="76" width="9.28515625" style="6" bestFit="1" customWidth="1"/>
    <col min="77" max="78" width="12.140625" style="6" bestFit="1" customWidth="1"/>
    <col min="79" max="79" width="13.28515625" style="6" bestFit="1" customWidth="1"/>
  </cols>
  <sheetData>
    <row r="1" spans="1:79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5" t="s">
        <v>13</v>
      </c>
      <c r="O1" s="5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4" t="s">
        <v>25</v>
      </c>
      <c r="AA1" s="5" t="s">
        <v>26</v>
      </c>
      <c r="AB1" s="5" t="s">
        <v>27</v>
      </c>
      <c r="AC1" s="5" t="s">
        <v>28</v>
      </c>
      <c r="AD1" s="4" t="s">
        <v>29</v>
      </c>
      <c r="AE1" s="5" t="s">
        <v>30</v>
      </c>
      <c r="AF1" s="5" t="s">
        <v>31</v>
      </c>
      <c r="AG1" s="5" t="s">
        <v>32</v>
      </c>
      <c r="AH1" s="4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4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4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4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4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4" t="s">
        <v>78</v>
      </c>
    </row>
    <row r="2" spans="1:79">
      <c r="A2" s="6" t="s">
        <v>79</v>
      </c>
      <c r="B2" s="6" t="s">
        <v>80</v>
      </c>
      <c r="C2" s="6" t="s">
        <v>80</v>
      </c>
      <c r="D2" s="6" t="s">
        <v>80</v>
      </c>
      <c r="E2" s="6" t="s">
        <v>80</v>
      </c>
      <c r="F2" s="6" t="s">
        <v>80</v>
      </c>
      <c r="G2" s="6" t="s">
        <v>80</v>
      </c>
      <c r="H2" s="6" t="s">
        <v>80</v>
      </c>
      <c r="I2" s="6" t="s">
        <v>80</v>
      </c>
      <c r="J2" s="6" t="s">
        <v>80</v>
      </c>
      <c r="K2" s="6" t="s">
        <v>80</v>
      </c>
      <c r="L2" s="6" t="s">
        <v>80</v>
      </c>
      <c r="M2" s="6" t="s">
        <v>80</v>
      </c>
      <c r="N2" s="6" t="s">
        <v>80</v>
      </c>
      <c r="O2" s="6" t="s">
        <v>80</v>
      </c>
      <c r="P2" s="6" t="s">
        <v>80</v>
      </c>
      <c r="Q2" s="6" t="s">
        <v>80</v>
      </c>
      <c r="R2" s="6" t="s">
        <v>80</v>
      </c>
      <c r="S2" s="6" t="s">
        <v>80</v>
      </c>
      <c r="T2" s="6" t="s">
        <v>80</v>
      </c>
      <c r="U2" s="6" t="s">
        <v>80</v>
      </c>
      <c r="V2" s="6" t="s">
        <v>80</v>
      </c>
      <c r="W2" s="6" t="s">
        <v>80</v>
      </c>
      <c r="X2" s="6" t="s">
        <v>80</v>
      </c>
      <c r="Y2" s="6" t="s">
        <v>80</v>
      </c>
      <c r="Z2" s="6" t="s">
        <v>80</v>
      </c>
      <c r="AA2" s="6" t="s">
        <v>80</v>
      </c>
      <c r="AB2" s="6" t="s">
        <v>80</v>
      </c>
      <c r="AC2" s="6" t="s">
        <v>80</v>
      </c>
      <c r="AD2" s="6" t="s">
        <v>80</v>
      </c>
      <c r="AE2" s="6" t="s">
        <v>80</v>
      </c>
      <c r="AF2" s="6" t="s">
        <v>80</v>
      </c>
      <c r="AG2" s="6" t="s">
        <v>80</v>
      </c>
      <c r="AH2" s="6" t="s">
        <v>80</v>
      </c>
      <c r="AI2" s="6" t="s">
        <v>80</v>
      </c>
      <c r="AJ2" s="6" t="s">
        <v>80</v>
      </c>
      <c r="AK2" s="6" t="s">
        <v>80</v>
      </c>
      <c r="AL2" s="6" t="s">
        <v>80</v>
      </c>
      <c r="AM2" s="6" t="s">
        <v>80</v>
      </c>
      <c r="AN2" s="6" t="s">
        <v>80</v>
      </c>
      <c r="AO2" s="6" t="s">
        <v>80</v>
      </c>
      <c r="AP2" s="6" t="s">
        <v>80</v>
      </c>
      <c r="AQ2" s="6" t="s">
        <v>80</v>
      </c>
      <c r="AR2" s="6" t="s">
        <v>80</v>
      </c>
      <c r="AS2" s="6" t="s">
        <v>80</v>
      </c>
      <c r="AT2" s="6" t="s">
        <v>80</v>
      </c>
      <c r="AU2" s="6" t="s">
        <v>80</v>
      </c>
      <c r="AV2" s="6" t="s">
        <v>80</v>
      </c>
      <c r="AW2" s="6" t="s">
        <v>80</v>
      </c>
      <c r="AX2" s="6" t="s">
        <v>80</v>
      </c>
      <c r="AY2" s="6" t="s">
        <v>80</v>
      </c>
      <c r="AZ2" s="6" t="s">
        <v>80</v>
      </c>
      <c r="BA2" s="6" t="s">
        <v>80</v>
      </c>
      <c r="BB2" s="6" t="s">
        <v>80</v>
      </c>
      <c r="BC2" s="6" t="s">
        <v>80</v>
      </c>
      <c r="BD2" s="6" t="s">
        <v>80</v>
      </c>
      <c r="BE2" s="6" t="s">
        <v>80</v>
      </c>
      <c r="BF2" s="6" t="s">
        <v>80</v>
      </c>
      <c r="BG2" s="6" t="s">
        <v>80</v>
      </c>
      <c r="BH2" s="6" t="s">
        <v>80</v>
      </c>
      <c r="BI2" s="6" t="s">
        <v>80</v>
      </c>
      <c r="BJ2" s="6" t="s">
        <v>80</v>
      </c>
      <c r="BK2" s="6" t="s">
        <v>80</v>
      </c>
      <c r="BL2" s="6" t="s">
        <v>80</v>
      </c>
      <c r="BM2" s="6" t="s">
        <v>80</v>
      </c>
      <c r="BN2" s="6" t="s">
        <v>80</v>
      </c>
      <c r="BO2" s="6" t="s">
        <v>80</v>
      </c>
      <c r="BP2" s="6" t="s">
        <v>80</v>
      </c>
      <c r="BQ2" s="6" t="s">
        <v>80</v>
      </c>
      <c r="BR2" s="6" t="s">
        <v>80</v>
      </c>
      <c r="BS2" s="6" t="s">
        <v>80</v>
      </c>
      <c r="BT2" s="6" t="s">
        <v>80</v>
      </c>
      <c r="BU2" s="6" t="s">
        <v>80</v>
      </c>
      <c r="BV2" s="6" t="s">
        <v>80</v>
      </c>
      <c r="BW2" s="6" t="s">
        <v>80</v>
      </c>
      <c r="BX2" s="6" t="s">
        <v>80</v>
      </c>
      <c r="BY2" s="6" t="s">
        <v>80</v>
      </c>
      <c r="BZ2" s="6" t="s">
        <v>80</v>
      </c>
      <c r="CA2" s="6" t="s">
        <v>80</v>
      </c>
    </row>
    <row r="3" spans="1:79">
      <c r="A3" s="6" t="s">
        <v>81</v>
      </c>
      <c r="B3" s="6" t="s">
        <v>82</v>
      </c>
      <c r="C3" s="6" t="s">
        <v>83</v>
      </c>
      <c r="D3" s="6" t="s">
        <v>84</v>
      </c>
      <c r="E3" s="6" t="s">
        <v>85</v>
      </c>
      <c r="F3" s="6" t="s">
        <v>86</v>
      </c>
      <c r="G3" s="6" t="s">
        <v>87</v>
      </c>
      <c r="H3" s="6" t="s">
        <v>88</v>
      </c>
      <c r="I3" s="6" t="s">
        <v>89</v>
      </c>
      <c r="J3" s="6" t="s">
        <v>90</v>
      </c>
      <c r="K3" s="6" t="s">
        <v>91</v>
      </c>
      <c r="L3" s="6" t="s">
        <v>92</v>
      </c>
      <c r="M3" s="6" t="s">
        <v>93</v>
      </c>
      <c r="N3" s="6" t="s">
        <v>94</v>
      </c>
      <c r="O3" s="6" t="s">
        <v>95</v>
      </c>
      <c r="P3" s="6" t="s">
        <v>96</v>
      </c>
      <c r="Q3" s="6" t="s">
        <v>97</v>
      </c>
      <c r="R3" s="6" t="s">
        <v>98</v>
      </c>
      <c r="S3" s="6" t="s">
        <v>99</v>
      </c>
      <c r="T3" s="6" t="s">
        <v>100</v>
      </c>
      <c r="U3" s="6" t="s">
        <v>101</v>
      </c>
      <c r="V3" s="6" t="s">
        <v>102</v>
      </c>
      <c r="W3" s="6" t="s">
        <v>103</v>
      </c>
      <c r="X3" s="6" t="s">
        <v>104</v>
      </c>
      <c r="Y3" s="6" t="s">
        <v>105</v>
      </c>
      <c r="Z3" s="6" t="s">
        <v>106</v>
      </c>
      <c r="AA3" s="6" t="s">
        <v>107</v>
      </c>
      <c r="AB3" s="6" t="s">
        <v>108</v>
      </c>
      <c r="AC3" s="6" t="s">
        <v>109</v>
      </c>
      <c r="AD3" s="6" t="s">
        <v>110</v>
      </c>
      <c r="AE3" s="6" t="s">
        <v>111</v>
      </c>
      <c r="AF3" s="6" t="s">
        <v>112</v>
      </c>
      <c r="AG3" s="6" t="s">
        <v>113</v>
      </c>
      <c r="AH3" s="6" t="s">
        <v>114</v>
      </c>
      <c r="AI3" s="6" t="s">
        <v>115</v>
      </c>
      <c r="AJ3" s="6" t="s">
        <v>116</v>
      </c>
      <c r="AK3" s="6" t="s">
        <v>117</v>
      </c>
      <c r="AL3" s="6" t="s">
        <v>118</v>
      </c>
      <c r="AM3" s="6" t="s">
        <v>119</v>
      </c>
      <c r="AN3" s="6" t="s">
        <v>120</v>
      </c>
      <c r="AO3" s="6" t="s">
        <v>121</v>
      </c>
      <c r="AP3" s="6" t="s">
        <v>122</v>
      </c>
      <c r="AQ3" s="6" t="s">
        <v>123</v>
      </c>
      <c r="AR3" s="6" t="s">
        <v>124</v>
      </c>
      <c r="AS3" s="6" t="s">
        <v>125</v>
      </c>
      <c r="AT3" s="6" t="s">
        <v>126</v>
      </c>
      <c r="AU3" s="6" t="s">
        <v>127</v>
      </c>
      <c r="AV3" s="6" t="s">
        <v>128</v>
      </c>
      <c r="AW3" s="6" t="s">
        <v>129</v>
      </c>
      <c r="AX3" s="6" t="s">
        <v>130</v>
      </c>
      <c r="AY3" s="6" t="s">
        <v>131</v>
      </c>
      <c r="AZ3" s="6" t="s">
        <v>132</v>
      </c>
      <c r="BA3" s="6" t="s">
        <v>133</v>
      </c>
      <c r="BB3" s="6" t="s">
        <v>134</v>
      </c>
      <c r="BC3" s="6" t="s">
        <v>135</v>
      </c>
      <c r="BD3" s="6" t="s">
        <v>136</v>
      </c>
      <c r="BE3" s="6" t="s">
        <v>137</v>
      </c>
      <c r="BF3" s="6" t="s">
        <v>138</v>
      </c>
      <c r="BG3" s="6" t="s">
        <v>139</v>
      </c>
      <c r="BH3" s="6" t="s">
        <v>140</v>
      </c>
      <c r="BI3" s="6" t="s">
        <v>141</v>
      </c>
      <c r="BJ3" s="6" t="s">
        <v>142</v>
      </c>
      <c r="BK3" s="6" t="s">
        <v>143</v>
      </c>
      <c r="BL3" s="6" t="s">
        <v>144</v>
      </c>
      <c r="BM3" s="6" t="s">
        <v>145</v>
      </c>
      <c r="BN3" s="6" t="s">
        <v>146</v>
      </c>
      <c r="BO3" s="6" t="s">
        <v>147</v>
      </c>
      <c r="BP3" s="6" t="s">
        <v>148</v>
      </c>
      <c r="BQ3" s="6" t="s">
        <v>149</v>
      </c>
      <c r="BR3" s="6" t="s">
        <v>150</v>
      </c>
      <c r="BS3" s="6" t="s">
        <v>151</v>
      </c>
      <c r="BT3" s="6" t="s">
        <v>152</v>
      </c>
      <c r="BU3" s="6" t="s">
        <v>153</v>
      </c>
      <c r="BV3" s="6" t="s">
        <v>154</v>
      </c>
      <c r="BW3" s="6" t="s">
        <v>155</v>
      </c>
      <c r="BX3" s="6" t="s">
        <v>156</v>
      </c>
      <c r="BY3" s="6" t="s">
        <v>157</v>
      </c>
      <c r="BZ3" s="6" t="s">
        <v>158</v>
      </c>
      <c r="CA3" s="6" t="s">
        <v>159</v>
      </c>
    </row>
    <row r="4" spans="1:79">
      <c r="A4" s="6" t="s">
        <v>160</v>
      </c>
      <c r="B4" s="6">
        <v>7908</v>
      </c>
      <c r="C4" s="6">
        <v>322</v>
      </c>
      <c r="D4" s="6">
        <v>2423</v>
      </c>
      <c r="E4" s="6">
        <v>529</v>
      </c>
      <c r="F4" s="6">
        <v>663</v>
      </c>
      <c r="G4" s="6">
        <v>2071</v>
      </c>
      <c r="H4" s="6">
        <v>604</v>
      </c>
      <c r="I4" s="6">
        <v>859</v>
      </c>
      <c r="J4" s="6">
        <v>68</v>
      </c>
      <c r="K4" s="6">
        <v>273</v>
      </c>
      <c r="L4" s="6">
        <v>91</v>
      </c>
      <c r="M4" s="6">
        <v>273</v>
      </c>
      <c r="N4" s="6">
        <v>250</v>
      </c>
      <c r="O4" s="6">
        <v>22</v>
      </c>
      <c r="P4" s="6">
        <v>13375</v>
      </c>
      <c r="Q4" s="6">
        <v>614</v>
      </c>
      <c r="R4" s="6">
        <v>63</v>
      </c>
      <c r="S4" s="6">
        <v>10</v>
      </c>
      <c r="T4" s="6">
        <v>439</v>
      </c>
      <c r="U4" s="6">
        <v>37</v>
      </c>
      <c r="V4" s="6">
        <v>6270</v>
      </c>
      <c r="W4" s="6">
        <v>221</v>
      </c>
      <c r="X4" s="6">
        <v>5595</v>
      </c>
      <c r="Y4" s="6">
        <v>124</v>
      </c>
      <c r="Z4" s="6">
        <v>6458</v>
      </c>
      <c r="AA4" s="6">
        <v>4636</v>
      </c>
      <c r="AB4" s="6">
        <v>1615</v>
      </c>
      <c r="AC4" s="6">
        <v>210</v>
      </c>
      <c r="AD4" s="6">
        <v>145</v>
      </c>
      <c r="AE4" s="6">
        <v>122</v>
      </c>
      <c r="AF4" s="6">
        <v>14</v>
      </c>
      <c r="AG4" s="6">
        <v>10</v>
      </c>
      <c r="AH4" s="6">
        <v>1041</v>
      </c>
      <c r="AI4" s="6">
        <v>102</v>
      </c>
      <c r="AJ4" s="6">
        <v>86</v>
      </c>
      <c r="AK4" s="6">
        <v>109</v>
      </c>
      <c r="AL4" s="6">
        <v>229</v>
      </c>
      <c r="AM4" s="6">
        <v>89</v>
      </c>
      <c r="AN4" s="6">
        <v>9</v>
      </c>
      <c r="AO4" s="6">
        <v>157</v>
      </c>
      <c r="AP4" s="6">
        <v>61</v>
      </c>
      <c r="AQ4" s="6">
        <v>199</v>
      </c>
      <c r="AR4" s="6">
        <v>5340</v>
      </c>
      <c r="AS4" s="6">
        <v>165</v>
      </c>
      <c r="AT4" s="6">
        <v>72</v>
      </c>
      <c r="AU4" s="6">
        <v>15</v>
      </c>
      <c r="AV4" s="6">
        <v>116</v>
      </c>
      <c r="AW4" s="6">
        <v>148</v>
      </c>
      <c r="AX4" s="6">
        <v>318</v>
      </c>
      <c r="AY4" s="6">
        <v>501</v>
      </c>
      <c r="AZ4" s="6">
        <v>3703</v>
      </c>
      <c r="BA4" s="6">
        <v>306</v>
      </c>
      <c r="BB4" s="6">
        <v>2742</v>
      </c>
      <c r="BC4" s="6">
        <v>366</v>
      </c>
      <c r="BD4" s="6">
        <v>336</v>
      </c>
      <c r="BE4" s="6">
        <v>39</v>
      </c>
      <c r="BF4" s="6">
        <v>322</v>
      </c>
      <c r="BG4" s="6">
        <v>406</v>
      </c>
      <c r="BH4" s="6">
        <v>142</v>
      </c>
      <c r="BI4" s="6">
        <v>280</v>
      </c>
      <c r="BJ4" s="6">
        <v>392</v>
      </c>
      <c r="BK4" s="6">
        <v>461</v>
      </c>
      <c r="BL4" s="6">
        <v>1077</v>
      </c>
      <c r="BM4" s="6">
        <v>31</v>
      </c>
      <c r="BN4" s="6">
        <v>36</v>
      </c>
      <c r="BO4" s="6">
        <v>2</v>
      </c>
      <c r="BP4" s="6">
        <v>65</v>
      </c>
      <c r="BQ4" s="6">
        <v>14</v>
      </c>
      <c r="BR4" s="6">
        <v>196</v>
      </c>
      <c r="BS4" s="6">
        <v>277</v>
      </c>
      <c r="BT4" s="6">
        <v>454</v>
      </c>
      <c r="BU4" s="6">
        <v>4003</v>
      </c>
      <c r="BV4" s="6">
        <v>156</v>
      </c>
      <c r="BW4" s="6">
        <v>196</v>
      </c>
      <c r="BX4" s="6">
        <v>1</v>
      </c>
      <c r="BY4" s="6">
        <v>2674</v>
      </c>
      <c r="BZ4" s="6">
        <v>979</v>
      </c>
      <c r="CA4" s="6">
        <v>42370</v>
      </c>
    </row>
    <row r="5" spans="1:79">
      <c r="A5" s="6" t="s">
        <v>161</v>
      </c>
      <c r="B5" s="6">
        <v>9491</v>
      </c>
      <c r="C5" s="6">
        <v>244</v>
      </c>
      <c r="D5" s="6">
        <v>2639</v>
      </c>
      <c r="E5" s="6">
        <v>682</v>
      </c>
      <c r="F5" s="6">
        <v>646</v>
      </c>
      <c r="G5" s="6">
        <v>3205</v>
      </c>
      <c r="H5" s="6">
        <v>514</v>
      </c>
      <c r="I5" s="6">
        <v>1128</v>
      </c>
      <c r="J5" s="6">
        <v>65</v>
      </c>
      <c r="K5" s="6">
        <v>267</v>
      </c>
      <c r="L5" s="6">
        <v>97</v>
      </c>
      <c r="M5" s="6">
        <v>227</v>
      </c>
      <c r="N5" s="6">
        <v>211</v>
      </c>
      <c r="O5" s="6">
        <v>17</v>
      </c>
      <c r="P5" s="6">
        <v>14125</v>
      </c>
      <c r="Q5" s="6">
        <v>515</v>
      </c>
      <c r="R5" s="6">
        <v>44</v>
      </c>
      <c r="S5" s="6">
        <v>14</v>
      </c>
      <c r="T5" s="6">
        <v>409</v>
      </c>
      <c r="U5" s="6">
        <v>33</v>
      </c>
      <c r="V5" s="6">
        <v>5642</v>
      </c>
      <c r="W5" s="6">
        <v>206</v>
      </c>
      <c r="X5" s="6">
        <v>7128</v>
      </c>
      <c r="Y5" s="6">
        <v>133</v>
      </c>
      <c r="Z5" s="6">
        <v>7232</v>
      </c>
      <c r="AA5" s="6">
        <v>5314</v>
      </c>
      <c r="AB5" s="6">
        <v>1660</v>
      </c>
      <c r="AC5" s="6">
        <v>260</v>
      </c>
      <c r="AD5" s="6">
        <v>111</v>
      </c>
      <c r="AE5" s="6">
        <v>100</v>
      </c>
      <c r="AF5" s="6">
        <v>1</v>
      </c>
      <c r="AG5" s="6">
        <v>10</v>
      </c>
      <c r="AH5" s="6">
        <v>1175</v>
      </c>
      <c r="AI5" s="6">
        <v>90</v>
      </c>
      <c r="AJ5" s="6">
        <v>117</v>
      </c>
      <c r="AK5" s="6">
        <v>236</v>
      </c>
      <c r="AL5" s="6">
        <v>246</v>
      </c>
      <c r="AM5" s="6">
        <v>92</v>
      </c>
      <c r="AN5" s="6">
        <v>9</v>
      </c>
      <c r="AO5" s="6">
        <v>145</v>
      </c>
      <c r="AP5" s="6">
        <v>57</v>
      </c>
      <c r="AQ5" s="6">
        <v>182</v>
      </c>
      <c r="AR5" s="6">
        <v>6062</v>
      </c>
      <c r="AS5" s="6">
        <v>151</v>
      </c>
      <c r="AT5" s="6">
        <v>62</v>
      </c>
      <c r="AU5" s="6">
        <v>13</v>
      </c>
      <c r="AV5" s="6">
        <v>137</v>
      </c>
      <c r="AW5" s="6">
        <v>168</v>
      </c>
      <c r="AX5" s="6">
        <v>447</v>
      </c>
      <c r="AY5" s="6">
        <v>584</v>
      </c>
      <c r="AZ5" s="6">
        <v>4153</v>
      </c>
      <c r="BA5" s="6">
        <v>348</v>
      </c>
      <c r="BB5" s="6">
        <v>3286</v>
      </c>
      <c r="BC5" s="6">
        <v>378</v>
      </c>
      <c r="BD5" s="6">
        <v>382</v>
      </c>
      <c r="BE5" s="6">
        <v>54</v>
      </c>
      <c r="BF5" s="6">
        <v>351</v>
      </c>
      <c r="BG5" s="6">
        <v>480</v>
      </c>
      <c r="BH5" s="6">
        <v>219</v>
      </c>
      <c r="BI5" s="6">
        <v>327</v>
      </c>
      <c r="BJ5" s="6">
        <v>508</v>
      </c>
      <c r="BK5" s="6">
        <v>587</v>
      </c>
      <c r="BL5" s="6">
        <v>1261</v>
      </c>
      <c r="BM5" s="6">
        <v>28</v>
      </c>
      <c r="BN5" s="6">
        <v>35</v>
      </c>
      <c r="BO5" s="6">
        <v>3</v>
      </c>
      <c r="BP5" s="6">
        <v>88</v>
      </c>
      <c r="BQ5" s="6">
        <v>23</v>
      </c>
      <c r="BR5" s="6">
        <v>241</v>
      </c>
      <c r="BS5" s="6">
        <v>250</v>
      </c>
      <c r="BT5" s="6">
        <v>589</v>
      </c>
      <c r="BU5" s="6">
        <v>4036</v>
      </c>
      <c r="BV5" s="6">
        <v>153</v>
      </c>
      <c r="BW5" s="6">
        <v>205</v>
      </c>
      <c r="BX5" s="6">
        <v>0</v>
      </c>
      <c r="BY5" s="6">
        <v>2590</v>
      </c>
      <c r="BZ5" s="6">
        <v>1087</v>
      </c>
      <c r="CA5" s="6">
        <v>47007</v>
      </c>
    </row>
    <row r="6" spans="1:79">
      <c r="A6" s="6" t="s">
        <v>162</v>
      </c>
      <c r="B6" s="6">
        <v>9726</v>
      </c>
      <c r="C6" s="6">
        <v>163</v>
      </c>
      <c r="D6" s="6">
        <v>3090</v>
      </c>
      <c r="E6" s="6">
        <v>676</v>
      </c>
      <c r="F6" s="6">
        <v>676</v>
      </c>
      <c r="G6" s="6">
        <v>3014</v>
      </c>
      <c r="H6" s="6">
        <v>581</v>
      </c>
      <c r="I6" s="6">
        <v>1101</v>
      </c>
      <c r="J6" s="6">
        <v>82</v>
      </c>
      <c r="K6" s="6">
        <v>238</v>
      </c>
      <c r="L6" s="6">
        <v>105</v>
      </c>
      <c r="M6" s="6">
        <v>285</v>
      </c>
      <c r="N6" s="6">
        <v>266</v>
      </c>
      <c r="O6" s="6">
        <v>19</v>
      </c>
      <c r="P6" s="6">
        <v>13459</v>
      </c>
      <c r="Q6" s="6">
        <v>528</v>
      </c>
      <c r="R6" s="6">
        <v>51</v>
      </c>
      <c r="S6" s="6">
        <v>8</v>
      </c>
      <c r="T6" s="6">
        <v>402</v>
      </c>
      <c r="U6" s="6">
        <v>21</v>
      </c>
      <c r="V6" s="6">
        <v>3939</v>
      </c>
      <c r="W6" s="6">
        <v>240</v>
      </c>
      <c r="X6" s="6">
        <v>8113</v>
      </c>
      <c r="Y6" s="6">
        <v>159</v>
      </c>
      <c r="Z6" s="6">
        <v>9594</v>
      </c>
      <c r="AA6" s="6">
        <v>6024</v>
      </c>
      <c r="AB6" s="6">
        <v>2882</v>
      </c>
      <c r="AC6" s="6">
        <v>690</v>
      </c>
      <c r="AD6" s="6">
        <v>131</v>
      </c>
      <c r="AE6" s="6">
        <v>113</v>
      </c>
      <c r="AF6" s="6">
        <v>1</v>
      </c>
      <c r="AG6" s="6">
        <v>12</v>
      </c>
      <c r="AH6" s="6">
        <v>1295</v>
      </c>
      <c r="AI6" s="6">
        <v>106</v>
      </c>
      <c r="AJ6" s="6">
        <v>175</v>
      </c>
      <c r="AK6" s="6">
        <v>221</v>
      </c>
      <c r="AL6" s="6">
        <v>293</v>
      </c>
      <c r="AM6" s="6">
        <v>105</v>
      </c>
      <c r="AN6" s="6">
        <v>12</v>
      </c>
      <c r="AO6" s="6">
        <v>136</v>
      </c>
      <c r="AP6" s="6">
        <v>76</v>
      </c>
      <c r="AQ6" s="6">
        <v>171</v>
      </c>
      <c r="AR6" s="6">
        <v>6257</v>
      </c>
      <c r="AS6" s="6">
        <v>180</v>
      </c>
      <c r="AT6" s="6">
        <v>67</v>
      </c>
      <c r="AU6" s="6">
        <v>33</v>
      </c>
      <c r="AV6" s="6">
        <v>168</v>
      </c>
      <c r="AW6" s="6">
        <v>196</v>
      </c>
      <c r="AX6" s="6">
        <v>464</v>
      </c>
      <c r="AY6" s="6">
        <v>909</v>
      </c>
      <c r="AZ6" s="6">
        <v>3833</v>
      </c>
      <c r="BA6" s="6">
        <v>407</v>
      </c>
      <c r="BB6" s="6">
        <v>4118</v>
      </c>
      <c r="BC6" s="6">
        <v>490</v>
      </c>
      <c r="BD6" s="6">
        <v>459</v>
      </c>
      <c r="BE6" s="6">
        <v>80</v>
      </c>
      <c r="BF6" s="6">
        <v>430</v>
      </c>
      <c r="BG6" s="6">
        <v>635</v>
      </c>
      <c r="BH6" s="6">
        <v>291</v>
      </c>
      <c r="BI6" s="6">
        <v>413</v>
      </c>
      <c r="BJ6" s="6">
        <v>736</v>
      </c>
      <c r="BK6" s="6">
        <v>583</v>
      </c>
      <c r="BL6" s="6">
        <v>1305</v>
      </c>
      <c r="BM6" s="6">
        <v>37</v>
      </c>
      <c r="BN6" s="6">
        <v>42</v>
      </c>
      <c r="BO6" s="6">
        <v>5</v>
      </c>
      <c r="BP6" s="6">
        <v>125</v>
      </c>
      <c r="BQ6" s="6">
        <v>22</v>
      </c>
      <c r="BR6" s="6">
        <v>252</v>
      </c>
      <c r="BS6" s="6">
        <v>241</v>
      </c>
      <c r="BT6" s="6">
        <v>582</v>
      </c>
      <c r="BU6" s="6">
        <v>4722</v>
      </c>
      <c r="BV6" s="6">
        <v>186</v>
      </c>
      <c r="BW6" s="6">
        <v>250</v>
      </c>
      <c r="BX6" s="6">
        <v>2</v>
      </c>
      <c r="BY6" s="6">
        <v>3440</v>
      </c>
      <c r="BZ6" s="6">
        <v>845</v>
      </c>
      <c r="CA6" s="6">
        <v>50891</v>
      </c>
    </row>
    <row r="7" spans="1:79">
      <c r="A7" s="6" t="s">
        <v>163</v>
      </c>
      <c r="B7" s="6">
        <v>9312</v>
      </c>
      <c r="C7" s="6">
        <v>182</v>
      </c>
      <c r="D7" s="6">
        <v>3239</v>
      </c>
      <c r="E7" s="6">
        <v>793</v>
      </c>
      <c r="F7" s="6">
        <v>739</v>
      </c>
      <c r="G7" s="6">
        <v>2411</v>
      </c>
      <c r="H7" s="6">
        <v>651</v>
      </c>
      <c r="I7" s="6">
        <v>765</v>
      </c>
      <c r="J7" s="6">
        <v>92</v>
      </c>
      <c r="K7" s="6">
        <v>304</v>
      </c>
      <c r="L7" s="6">
        <v>135</v>
      </c>
      <c r="M7" s="6">
        <v>332</v>
      </c>
      <c r="N7" s="6">
        <v>313</v>
      </c>
      <c r="O7" s="6">
        <v>21</v>
      </c>
      <c r="P7" s="6">
        <v>13677</v>
      </c>
      <c r="Q7" s="6">
        <v>346</v>
      </c>
      <c r="R7" s="6">
        <v>59</v>
      </c>
      <c r="S7" s="6">
        <v>8</v>
      </c>
      <c r="T7" s="6">
        <v>461</v>
      </c>
      <c r="U7" s="6">
        <v>20</v>
      </c>
      <c r="V7" s="6">
        <v>4371</v>
      </c>
      <c r="W7" s="6">
        <v>290</v>
      </c>
      <c r="X7" s="6">
        <v>7955</v>
      </c>
      <c r="Y7" s="6">
        <v>163</v>
      </c>
      <c r="Z7" s="6">
        <v>10879</v>
      </c>
      <c r="AA7" s="6">
        <v>6857</v>
      </c>
      <c r="AB7" s="6">
        <v>2915</v>
      </c>
      <c r="AC7" s="6">
        <v>1105</v>
      </c>
      <c r="AD7" s="6">
        <v>136</v>
      </c>
      <c r="AE7" s="6">
        <v>117</v>
      </c>
      <c r="AF7" s="6">
        <v>1</v>
      </c>
      <c r="AG7" s="6">
        <v>18</v>
      </c>
      <c r="AH7" s="6">
        <v>1534</v>
      </c>
      <c r="AI7" s="6">
        <v>106</v>
      </c>
      <c r="AJ7" s="6">
        <v>253</v>
      </c>
      <c r="AK7" s="6">
        <v>188</v>
      </c>
      <c r="AL7" s="6">
        <v>381</v>
      </c>
      <c r="AM7" s="6">
        <v>125</v>
      </c>
      <c r="AN7" s="6">
        <v>17</v>
      </c>
      <c r="AO7" s="6">
        <v>181</v>
      </c>
      <c r="AP7" s="6">
        <v>82</v>
      </c>
      <c r="AQ7" s="6">
        <v>198</v>
      </c>
      <c r="AR7" s="6">
        <v>6480</v>
      </c>
      <c r="AS7" s="6">
        <v>187</v>
      </c>
      <c r="AT7" s="6">
        <v>67</v>
      </c>
      <c r="AU7" s="6">
        <v>50</v>
      </c>
      <c r="AV7" s="6">
        <v>209</v>
      </c>
      <c r="AW7" s="6">
        <v>218</v>
      </c>
      <c r="AX7" s="6">
        <v>556</v>
      </c>
      <c r="AY7" s="6">
        <v>1027</v>
      </c>
      <c r="AZ7" s="6">
        <v>3621</v>
      </c>
      <c r="BA7" s="6">
        <v>549</v>
      </c>
      <c r="BB7" s="6">
        <v>4867</v>
      </c>
      <c r="BC7" s="6">
        <v>566</v>
      </c>
      <c r="BD7" s="6">
        <v>523</v>
      </c>
      <c r="BE7" s="6">
        <v>79</v>
      </c>
      <c r="BF7" s="6">
        <v>511</v>
      </c>
      <c r="BG7" s="6">
        <v>808</v>
      </c>
      <c r="BH7" s="6">
        <v>317</v>
      </c>
      <c r="BI7" s="6">
        <v>542</v>
      </c>
      <c r="BJ7" s="6">
        <v>820</v>
      </c>
      <c r="BK7" s="6">
        <v>696</v>
      </c>
      <c r="BL7" s="6">
        <v>1427</v>
      </c>
      <c r="BM7" s="6">
        <v>38</v>
      </c>
      <c r="BN7" s="6">
        <v>36</v>
      </c>
      <c r="BO7" s="6">
        <v>2</v>
      </c>
      <c r="BP7" s="6">
        <v>142</v>
      </c>
      <c r="BQ7" s="6">
        <v>30</v>
      </c>
      <c r="BR7" s="6">
        <v>311</v>
      </c>
      <c r="BS7" s="6">
        <v>260</v>
      </c>
      <c r="BT7" s="6">
        <v>604</v>
      </c>
      <c r="BU7" s="6">
        <v>5072</v>
      </c>
      <c r="BV7" s="6">
        <v>197</v>
      </c>
      <c r="BW7" s="6">
        <v>321</v>
      </c>
      <c r="BX7" s="6">
        <v>0</v>
      </c>
      <c r="BY7" s="6">
        <v>3702</v>
      </c>
      <c r="BZ7" s="6">
        <v>854</v>
      </c>
      <c r="CA7" s="6">
        <v>53721</v>
      </c>
    </row>
    <row r="8" spans="1:79">
      <c r="A8" s="6" t="s">
        <v>164</v>
      </c>
      <c r="B8" s="6">
        <v>10584</v>
      </c>
      <c r="C8" s="6">
        <v>226</v>
      </c>
      <c r="D8" s="6">
        <v>3669</v>
      </c>
      <c r="E8" s="6">
        <v>957</v>
      </c>
      <c r="F8" s="6">
        <v>913</v>
      </c>
      <c r="G8" s="6">
        <v>2449</v>
      </c>
      <c r="H8" s="6">
        <v>825</v>
      </c>
      <c r="I8" s="6">
        <v>888</v>
      </c>
      <c r="J8" s="6">
        <v>112</v>
      </c>
      <c r="K8" s="6">
        <v>405</v>
      </c>
      <c r="L8" s="6">
        <v>141</v>
      </c>
      <c r="M8" s="6">
        <v>378</v>
      </c>
      <c r="N8" s="6">
        <v>355</v>
      </c>
      <c r="O8" s="6">
        <v>22</v>
      </c>
      <c r="P8" s="6">
        <v>13495</v>
      </c>
      <c r="Q8" s="6">
        <v>398</v>
      </c>
      <c r="R8" s="6">
        <v>61</v>
      </c>
      <c r="S8" s="6">
        <v>11</v>
      </c>
      <c r="T8" s="6">
        <v>419</v>
      </c>
      <c r="U8" s="6">
        <v>9</v>
      </c>
      <c r="V8" s="6">
        <v>4539</v>
      </c>
      <c r="W8" s="6">
        <v>328</v>
      </c>
      <c r="X8" s="6">
        <v>7539</v>
      </c>
      <c r="Y8" s="6">
        <v>193</v>
      </c>
      <c r="Z8" s="6">
        <v>11613</v>
      </c>
      <c r="AA8" s="6">
        <v>7345</v>
      </c>
      <c r="AB8" s="6">
        <v>3123</v>
      </c>
      <c r="AC8" s="6">
        <v>1144</v>
      </c>
      <c r="AD8" s="6">
        <v>157</v>
      </c>
      <c r="AE8" s="6">
        <v>131</v>
      </c>
      <c r="AF8" s="6">
        <v>1</v>
      </c>
      <c r="AG8" s="6">
        <v>22</v>
      </c>
      <c r="AH8" s="6">
        <v>1818</v>
      </c>
      <c r="AI8" s="6">
        <v>77</v>
      </c>
      <c r="AJ8" s="6">
        <v>195</v>
      </c>
      <c r="AK8" s="6">
        <v>297</v>
      </c>
      <c r="AL8" s="6">
        <v>517</v>
      </c>
      <c r="AM8" s="6">
        <v>155</v>
      </c>
      <c r="AN8" s="6">
        <v>15</v>
      </c>
      <c r="AO8" s="6">
        <v>192</v>
      </c>
      <c r="AP8" s="6">
        <v>94</v>
      </c>
      <c r="AQ8" s="6">
        <v>275</v>
      </c>
      <c r="AR8" s="6">
        <v>7078</v>
      </c>
      <c r="AS8" s="6">
        <v>259</v>
      </c>
      <c r="AT8" s="6">
        <v>98</v>
      </c>
      <c r="AU8" s="6">
        <v>61</v>
      </c>
      <c r="AV8" s="6">
        <v>247</v>
      </c>
      <c r="AW8" s="6">
        <v>268</v>
      </c>
      <c r="AX8" s="6">
        <v>603</v>
      </c>
      <c r="AY8" s="6">
        <v>1179</v>
      </c>
      <c r="AZ8" s="6">
        <v>3816</v>
      </c>
      <c r="BA8" s="6">
        <v>547</v>
      </c>
      <c r="BB8" s="6">
        <v>5720</v>
      </c>
      <c r="BC8" s="6">
        <v>614</v>
      </c>
      <c r="BD8" s="6">
        <v>629</v>
      </c>
      <c r="BE8" s="6">
        <v>95</v>
      </c>
      <c r="BF8" s="6">
        <v>618</v>
      </c>
      <c r="BG8" s="6">
        <v>904</v>
      </c>
      <c r="BH8" s="6">
        <v>401</v>
      </c>
      <c r="BI8" s="6">
        <v>656</v>
      </c>
      <c r="BJ8" s="6">
        <v>887</v>
      </c>
      <c r="BK8" s="6">
        <v>917</v>
      </c>
      <c r="BL8" s="6">
        <v>1778</v>
      </c>
      <c r="BM8" s="6">
        <v>91</v>
      </c>
      <c r="BN8" s="6">
        <v>45</v>
      </c>
      <c r="BO8" s="6">
        <v>4</v>
      </c>
      <c r="BP8" s="6">
        <v>175</v>
      </c>
      <c r="BQ8" s="6">
        <v>36</v>
      </c>
      <c r="BR8" s="6">
        <v>367</v>
      </c>
      <c r="BS8" s="6">
        <v>338</v>
      </c>
      <c r="BT8" s="6">
        <v>716</v>
      </c>
      <c r="BU8" s="6">
        <v>5759</v>
      </c>
      <c r="BV8" s="6">
        <v>203</v>
      </c>
      <c r="BW8" s="6">
        <v>289</v>
      </c>
      <c r="BX8" s="6">
        <v>0</v>
      </c>
      <c r="BY8" s="6">
        <v>4476</v>
      </c>
      <c r="BZ8" s="6">
        <v>791</v>
      </c>
      <c r="CA8" s="6">
        <v>58377</v>
      </c>
    </row>
    <row r="9" spans="1:79">
      <c r="A9" s="6" t="s">
        <v>165</v>
      </c>
      <c r="B9" s="6">
        <v>12440</v>
      </c>
      <c r="C9" s="6">
        <v>289</v>
      </c>
      <c r="D9" s="6">
        <v>3958</v>
      </c>
      <c r="E9" s="6">
        <v>1169</v>
      </c>
      <c r="F9" s="6">
        <v>1058</v>
      </c>
      <c r="G9" s="6">
        <v>3102</v>
      </c>
      <c r="H9" s="6">
        <v>912</v>
      </c>
      <c r="I9" s="6">
        <v>1210</v>
      </c>
      <c r="J9" s="6">
        <v>146</v>
      </c>
      <c r="K9" s="6">
        <v>430</v>
      </c>
      <c r="L9" s="6">
        <v>161</v>
      </c>
      <c r="M9" s="6">
        <v>491</v>
      </c>
      <c r="N9" s="6">
        <v>457</v>
      </c>
      <c r="O9" s="6">
        <v>35</v>
      </c>
      <c r="P9" s="6">
        <v>12753</v>
      </c>
      <c r="Q9" s="6">
        <v>378</v>
      </c>
      <c r="R9" s="6">
        <v>84</v>
      </c>
      <c r="S9" s="6">
        <v>10</v>
      </c>
      <c r="T9" s="6">
        <v>531</v>
      </c>
      <c r="U9" s="6">
        <v>13</v>
      </c>
      <c r="V9" s="6">
        <v>3662</v>
      </c>
      <c r="W9" s="6">
        <v>370</v>
      </c>
      <c r="X9" s="6">
        <v>7499</v>
      </c>
      <c r="Y9" s="6">
        <v>206</v>
      </c>
      <c r="Z9" s="6">
        <v>11977</v>
      </c>
      <c r="AA9" s="6">
        <v>7798</v>
      </c>
      <c r="AB9" s="6">
        <v>2964</v>
      </c>
      <c r="AC9" s="6">
        <v>1221</v>
      </c>
      <c r="AD9" s="6">
        <v>212</v>
      </c>
      <c r="AE9" s="6">
        <v>173</v>
      </c>
      <c r="AF9" s="6">
        <v>2</v>
      </c>
      <c r="AG9" s="6">
        <v>34</v>
      </c>
      <c r="AH9" s="6">
        <v>2185</v>
      </c>
      <c r="AI9" s="6">
        <v>83</v>
      </c>
      <c r="AJ9" s="6">
        <v>221</v>
      </c>
      <c r="AK9" s="6">
        <v>354</v>
      </c>
      <c r="AL9" s="6">
        <v>639</v>
      </c>
      <c r="AM9" s="6">
        <v>191</v>
      </c>
      <c r="AN9" s="6">
        <v>14</v>
      </c>
      <c r="AO9" s="6">
        <v>211</v>
      </c>
      <c r="AP9" s="6">
        <v>111</v>
      </c>
      <c r="AQ9" s="6">
        <v>365</v>
      </c>
      <c r="AR9" s="6">
        <v>7572</v>
      </c>
      <c r="AS9" s="6">
        <v>327</v>
      </c>
      <c r="AT9" s="6">
        <v>117</v>
      </c>
      <c r="AU9" s="6">
        <v>88</v>
      </c>
      <c r="AV9" s="6">
        <v>253</v>
      </c>
      <c r="AW9" s="6">
        <v>355</v>
      </c>
      <c r="AX9" s="6">
        <v>580</v>
      </c>
      <c r="AY9" s="6">
        <v>1380</v>
      </c>
      <c r="AZ9" s="6">
        <v>3895</v>
      </c>
      <c r="BA9" s="6">
        <v>580</v>
      </c>
      <c r="BB9" s="6">
        <v>7019</v>
      </c>
      <c r="BC9" s="6">
        <v>624</v>
      </c>
      <c r="BD9" s="6">
        <v>801</v>
      </c>
      <c r="BE9" s="6">
        <v>97</v>
      </c>
      <c r="BF9" s="6">
        <v>817</v>
      </c>
      <c r="BG9" s="6">
        <v>1169</v>
      </c>
      <c r="BH9" s="6">
        <v>436</v>
      </c>
      <c r="BI9" s="6">
        <v>886</v>
      </c>
      <c r="BJ9" s="6">
        <v>1096</v>
      </c>
      <c r="BK9" s="6">
        <v>1094</v>
      </c>
      <c r="BL9" s="6">
        <v>1998</v>
      </c>
      <c r="BM9" s="6">
        <v>46</v>
      </c>
      <c r="BN9" s="6">
        <v>75</v>
      </c>
      <c r="BO9" s="6">
        <v>10</v>
      </c>
      <c r="BP9" s="6">
        <v>222</v>
      </c>
      <c r="BQ9" s="6">
        <v>52</v>
      </c>
      <c r="BR9" s="6">
        <v>388</v>
      </c>
      <c r="BS9" s="6">
        <v>445</v>
      </c>
      <c r="BT9" s="6">
        <v>762</v>
      </c>
      <c r="BU9" s="6">
        <v>6091</v>
      </c>
      <c r="BV9" s="6">
        <v>295</v>
      </c>
      <c r="BW9" s="6">
        <v>222</v>
      </c>
      <c r="BX9" s="6">
        <v>0</v>
      </c>
      <c r="BY9" s="6">
        <v>4683</v>
      </c>
      <c r="BZ9" s="6">
        <v>893</v>
      </c>
      <c r="CA9" s="6">
        <v>62739</v>
      </c>
    </row>
    <row r="10" spans="1:79">
      <c r="A10" s="6" t="s">
        <v>166</v>
      </c>
      <c r="B10" s="6">
        <v>13395</v>
      </c>
      <c r="C10" s="6">
        <v>359</v>
      </c>
      <c r="D10" s="6">
        <v>3799</v>
      </c>
      <c r="E10" s="6">
        <v>1423</v>
      </c>
      <c r="F10" s="6">
        <v>1092</v>
      </c>
      <c r="G10" s="6">
        <v>3340</v>
      </c>
      <c r="H10" s="6">
        <v>926</v>
      </c>
      <c r="I10" s="6">
        <v>1672</v>
      </c>
      <c r="J10" s="6">
        <v>173</v>
      </c>
      <c r="K10" s="6">
        <v>403</v>
      </c>
      <c r="L10" s="6">
        <v>207</v>
      </c>
      <c r="M10" s="6">
        <v>532</v>
      </c>
      <c r="N10" s="6">
        <v>493</v>
      </c>
      <c r="O10" s="6">
        <v>38</v>
      </c>
      <c r="P10" s="6">
        <v>13074</v>
      </c>
      <c r="Q10" s="6">
        <v>452</v>
      </c>
      <c r="R10" s="6">
        <v>128</v>
      </c>
      <c r="S10" s="6">
        <v>12</v>
      </c>
      <c r="T10" s="6">
        <v>531</v>
      </c>
      <c r="U10" s="6">
        <v>27</v>
      </c>
      <c r="V10" s="6">
        <v>4287</v>
      </c>
      <c r="W10" s="6">
        <v>352</v>
      </c>
      <c r="X10" s="6">
        <v>7074</v>
      </c>
      <c r="Y10" s="6">
        <v>211</v>
      </c>
      <c r="Z10" s="6">
        <v>10675</v>
      </c>
      <c r="AA10" s="6">
        <v>6750</v>
      </c>
      <c r="AB10" s="6">
        <v>2705</v>
      </c>
      <c r="AC10" s="6">
        <v>1216</v>
      </c>
      <c r="AD10" s="6">
        <v>226</v>
      </c>
      <c r="AE10" s="6">
        <v>184</v>
      </c>
      <c r="AF10" s="6">
        <v>7</v>
      </c>
      <c r="AG10" s="6">
        <v>32</v>
      </c>
      <c r="AH10" s="6">
        <v>2468</v>
      </c>
      <c r="AI10" s="6">
        <v>85</v>
      </c>
      <c r="AJ10" s="6">
        <v>277</v>
      </c>
      <c r="AK10" s="6">
        <v>372</v>
      </c>
      <c r="AL10" s="6">
        <v>729</v>
      </c>
      <c r="AM10" s="6">
        <v>235</v>
      </c>
      <c r="AN10" s="6">
        <v>23</v>
      </c>
      <c r="AO10" s="6">
        <v>209</v>
      </c>
      <c r="AP10" s="6">
        <v>123</v>
      </c>
      <c r="AQ10" s="6">
        <v>414</v>
      </c>
      <c r="AR10" s="6">
        <v>8287</v>
      </c>
      <c r="AS10" s="6">
        <v>426</v>
      </c>
      <c r="AT10" s="6">
        <v>126</v>
      </c>
      <c r="AU10" s="6">
        <v>89</v>
      </c>
      <c r="AV10" s="6">
        <v>253</v>
      </c>
      <c r="AW10" s="6">
        <v>417</v>
      </c>
      <c r="AX10" s="6">
        <v>787</v>
      </c>
      <c r="AY10" s="6">
        <v>1505</v>
      </c>
      <c r="AZ10" s="6">
        <v>3994</v>
      </c>
      <c r="BA10" s="6">
        <v>683</v>
      </c>
      <c r="BB10" s="6">
        <v>7602</v>
      </c>
      <c r="BC10" s="6">
        <v>602</v>
      </c>
      <c r="BD10" s="6">
        <v>806</v>
      </c>
      <c r="BE10" s="6">
        <v>120</v>
      </c>
      <c r="BF10" s="6">
        <v>935</v>
      </c>
      <c r="BG10" s="6">
        <v>1509</v>
      </c>
      <c r="BH10" s="6">
        <v>689</v>
      </c>
      <c r="BI10" s="6">
        <v>1088</v>
      </c>
      <c r="BJ10" s="6">
        <v>1014</v>
      </c>
      <c r="BK10" s="6">
        <v>843</v>
      </c>
      <c r="BL10" s="6">
        <v>2233</v>
      </c>
      <c r="BM10" s="6">
        <v>48</v>
      </c>
      <c r="BN10" s="6">
        <v>75</v>
      </c>
      <c r="BO10" s="6">
        <v>13</v>
      </c>
      <c r="BP10" s="6">
        <v>288</v>
      </c>
      <c r="BQ10" s="6">
        <v>56</v>
      </c>
      <c r="BR10" s="6">
        <v>444</v>
      </c>
      <c r="BS10" s="6">
        <v>483</v>
      </c>
      <c r="BT10" s="6">
        <v>828</v>
      </c>
      <c r="BU10" s="6">
        <v>6287</v>
      </c>
      <c r="BV10" s="6">
        <v>381</v>
      </c>
      <c r="BW10" s="6">
        <v>246</v>
      </c>
      <c r="BX10" s="6">
        <v>0</v>
      </c>
      <c r="BY10" s="6">
        <v>4671</v>
      </c>
      <c r="BZ10" s="6">
        <v>983</v>
      </c>
      <c r="CA10" s="6">
        <v>64775</v>
      </c>
    </row>
    <row r="11" spans="1:79">
      <c r="A11" s="6" t="s">
        <v>167</v>
      </c>
      <c r="B11" s="6">
        <v>13073</v>
      </c>
      <c r="C11" s="6">
        <v>576</v>
      </c>
      <c r="D11" s="6">
        <v>3539</v>
      </c>
      <c r="E11" s="6">
        <v>1495</v>
      </c>
      <c r="F11" s="6">
        <v>1160</v>
      </c>
      <c r="G11" s="6">
        <v>2689</v>
      </c>
      <c r="H11" s="6">
        <v>921</v>
      </c>
      <c r="I11" s="6">
        <v>1877</v>
      </c>
      <c r="J11" s="6">
        <v>181</v>
      </c>
      <c r="K11" s="6">
        <v>412</v>
      </c>
      <c r="L11" s="6">
        <v>223</v>
      </c>
      <c r="M11" s="6">
        <v>581</v>
      </c>
      <c r="N11" s="6">
        <v>542</v>
      </c>
      <c r="O11" s="6">
        <v>43</v>
      </c>
      <c r="P11" s="6">
        <v>14643</v>
      </c>
      <c r="Q11" s="6">
        <v>492</v>
      </c>
      <c r="R11" s="6">
        <v>122</v>
      </c>
      <c r="S11" s="6">
        <v>13</v>
      </c>
      <c r="T11" s="6">
        <v>647</v>
      </c>
      <c r="U11" s="6">
        <v>47</v>
      </c>
      <c r="V11" s="6">
        <v>4404</v>
      </c>
      <c r="W11" s="6">
        <v>427</v>
      </c>
      <c r="X11" s="6">
        <v>8270</v>
      </c>
      <c r="Y11" s="6">
        <v>225</v>
      </c>
      <c r="Z11" s="6">
        <v>11976</v>
      </c>
      <c r="AA11" s="6">
        <v>7433</v>
      </c>
      <c r="AB11" s="6">
        <v>3029</v>
      </c>
      <c r="AC11" s="6">
        <v>1518</v>
      </c>
      <c r="AD11" s="6">
        <v>256</v>
      </c>
      <c r="AE11" s="6">
        <v>216</v>
      </c>
      <c r="AF11" s="6">
        <v>2</v>
      </c>
      <c r="AG11" s="6">
        <v>38</v>
      </c>
      <c r="AH11" s="6">
        <v>2909</v>
      </c>
      <c r="AI11" s="6">
        <v>80</v>
      </c>
      <c r="AJ11" s="6">
        <v>356</v>
      </c>
      <c r="AK11" s="6">
        <v>425</v>
      </c>
      <c r="AL11" s="6">
        <v>834</v>
      </c>
      <c r="AM11" s="6">
        <v>279</v>
      </c>
      <c r="AN11" s="6">
        <v>29</v>
      </c>
      <c r="AO11" s="6">
        <v>340</v>
      </c>
      <c r="AP11" s="6">
        <v>159</v>
      </c>
      <c r="AQ11" s="6">
        <v>406</v>
      </c>
      <c r="AR11" s="6">
        <v>9789</v>
      </c>
      <c r="AS11" s="6">
        <v>504</v>
      </c>
      <c r="AT11" s="6">
        <v>151</v>
      </c>
      <c r="AU11" s="6">
        <v>103</v>
      </c>
      <c r="AV11" s="6">
        <v>280</v>
      </c>
      <c r="AW11" s="6">
        <v>518</v>
      </c>
      <c r="AX11" s="6">
        <v>680</v>
      </c>
      <c r="AY11" s="6">
        <v>1767</v>
      </c>
      <c r="AZ11" s="6">
        <v>5094</v>
      </c>
      <c r="BA11" s="6">
        <v>694</v>
      </c>
      <c r="BB11" s="6">
        <v>9163</v>
      </c>
      <c r="BC11" s="6">
        <v>799</v>
      </c>
      <c r="BD11" s="6">
        <v>1063</v>
      </c>
      <c r="BE11" s="6">
        <v>142</v>
      </c>
      <c r="BF11" s="6">
        <v>1015</v>
      </c>
      <c r="BG11" s="6">
        <v>1753</v>
      </c>
      <c r="BH11" s="6">
        <v>689</v>
      </c>
      <c r="BI11" s="6">
        <v>1359</v>
      </c>
      <c r="BJ11" s="6">
        <v>1126</v>
      </c>
      <c r="BK11" s="6">
        <v>1218</v>
      </c>
      <c r="BL11" s="6">
        <v>2495</v>
      </c>
      <c r="BM11" s="6">
        <v>65</v>
      </c>
      <c r="BN11" s="6">
        <v>86</v>
      </c>
      <c r="BO11" s="6">
        <v>12</v>
      </c>
      <c r="BP11" s="6">
        <v>302</v>
      </c>
      <c r="BQ11" s="6">
        <v>63</v>
      </c>
      <c r="BR11" s="6">
        <v>469</v>
      </c>
      <c r="BS11" s="6">
        <v>530</v>
      </c>
      <c r="BT11" s="6">
        <v>969</v>
      </c>
      <c r="BU11" s="6">
        <v>6785</v>
      </c>
      <c r="BV11" s="6">
        <v>424</v>
      </c>
      <c r="BW11" s="6">
        <v>163</v>
      </c>
      <c r="BX11" s="6">
        <v>0</v>
      </c>
      <c r="BY11" s="6">
        <v>5263</v>
      </c>
      <c r="BZ11" s="6">
        <v>935</v>
      </c>
      <c r="CA11" s="6">
        <v>71670</v>
      </c>
    </row>
    <row r="12" spans="1:79">
      <c r="A12" s="6" t="s">
        <v>168</v>
      </c>
      <c r="B12" s="6">
        <v>15805</v>
      </c>
      <c r="C12" s="6">
        <v>659</v>
      </c>
      <c r="D12" s="6">
        <v>2892</v>
      </c>
      <c r="E12" s="6">
        <v>1760</v>
      </c>
      <c r="F12" s="6">
        <v>1050</v>
      </c>
      <c r="G12" s="6">
        <v>5761</v>
      </c>
      <c r="H12" s="6">
        <v>1084</v>
      </c>
      <c r="I12" s="6">
        <v>1649</v>
      </c>
      <c r="J12" s="6">
        <v>196</v>
      </c>
      <c r="K12" s="6">
        <v>500</v>
      </c>
      <c r="L12" s="6">
        <v>253</v>
      </c>
      <c r="M12" s="6">
        <v>738</v>
      </c>
      <c r="N12" s="6">
        <v>677</v>
      </c>
      <c r="O12" s="6">
        <v>63</v>
      </c>
      <c r="P12" s="6">
        <v>15021</v>
      </c>
      <c r="Q12" s="6">
        <v>496</v>
      </c>
      <c r="R12" s="6">
        <v>218</v>
      </c>
      <c r="S12" s="6">
        <v>12</v>
      </c>
      <c r="T12" s="6">
        <v>621</v>
      </c>
      <c r="U12" s="6">
        <v>14</v>
      </c>
      <c r="V12" s="6">
        <v>4285</v>
      </c>
      <c r="W12" s="6">
        <v>384</v>
      </c>
      <c r="X12" s="6">
        <v>8771</v>
      </c>
      <c r="Y12" s="6">
        <v>222</v>
      </c>
      <c r="Z12" s="6">
        <v>13002</v>
      </c>
      <c r="AA12" s="6">
        <v>7818</v>
      </c>
      <c r="AB12" s="6">
        <v>3508</v>
      </c>
      <c r="AC12" s="6">
        <v>1676</v>
      </c>
      <c r="AD12" s="6">
        <v>236</v>
      </c>
      <c r="AE12" s="6">
        <v>194</v>
      </c>
      <c r="AF12" s="6">
        <v>10</v>
      </c>
      <c r="AG12" s="6">
        <v>33</v>
      </c>
      <c r="AH12" s="6">
        <v>3000</v>
      </c>
      <c r="AI12" s="6">
        <v>91</v>
      </c>
      <c r="AJ12" s="6">
        <v>333</v>
      </c>
      <c r="AK12" s="6">
        <v>420</v>
      </c>
      <c r="AL12" s="6">
        <v>942</v>
      </c>
      <c r="AM12" s="6">
        <v>300</v>
      </c>
      <c r="AN12" s="6">
        <v>23</v>
      </c>
      <c r="AO12" s="6">
        <v>299</v>
      </c>
      <c r="AP12" s="6">
        <v>153</v>
      </c>
      <c r="AQ12" s="6">
        <v>440</v>
      </c>
      <c r="AR12" s="6">
        <v>9426</v>
      </c>
      <c r="AS12" s="6">
        <v>471</v>
      </c>
      <c r="AT12" s="6">
        <v>159</v>
      </c>
      <c r="AU12" s="6">
        <v>109</v>
      </c>
      <c r="AV12" s="6">
        <v>343</v>
      </c>
      <c r="AW12" s="6">
        <v>566</v>
      </c>
      <c r="AX12" s="6">
        <v>770</v>
      </c>
      <c r="AY12" s="6">
        <v>1623</v>
      </c>
      <c r="AZ12" s="6">
        <v>4619</v>
      </c>
      <c r="BA12" s="6">
        <v>769</v>
      </c>
      <c r="BB12" s="6">
        <v>9959</v>
      </c>
      <c r="BC12" s="6">
        <v>878</v>
      </c>
      <c r="BD12" s="6">
        <v>1089</v>
      </c>
      <c r="BE12" s="6">
        <v>200</v>
      </c>
      <c r="BF12" s="6">
        <v>1219</v>
      </c>
      <c r="BG12" s="6">
        <v>1781</v>
      </c>
      <c r="BH12" s="6">
        <v>655</v>
      </c>
      <c r="BI12" s="6">
        <v>1347</v>
      </c>
      <c r="BJ12" s="6">
        <v>1538</v>
      </c>
      <c r="BK12" s="6">
        <v>1248</v>
      </c>
      <c r="BL12" s="6">
        <v>2812</v>
      </c>
      <c r="BM12" s="6">
        <v>85</v>
      </c>
      <c r="BN12" s="6">
        <v>99</v>
      </c>
      <c r="BO12" s="6">
        <v>14</v>
      </c>
      <c r="BP12" s="6">
        <v>339</v>
      </c>
      <c r="BQ12" s="6">
        <v>64</v>
      </c>
      <c r="BR12" s="6">
        <v>596</v>
      </c>
      <c r="BS12" s="6">
        <v>578</v>
      </c>
      <c r="BT12" s="6">
        <v>1038</v>
      </c>
      <c r="BU12" s="6">
        <v>6988</v>
      </c>
      <c r="BV12" s="6">
        <v>508</v>
      </c>
      <c r="BW12" s="6">
        <v>126</v>
      </c>
      <c r="BX12" s="6">
        <v>0</v>
      </c>
      <c r="BY12" s="6">
        <v>5236</v>
      </c>
      <c r="BZ12" s="6">
        <v>1117</v>
      </c>
      <c r="CA12" s="6">
        <v>76982</v>
      </c>
    </row>
    <row r="13" spans="1:79">
      <c r="A13" s="6" t="s">
        <v>169</v>
      </c>
      <c r="B13" s="6">
        <v>17201</v>
      </c>
      <c r="C13" s="6">
        <v>743</v>
      </c>
      <c r="D13" s="6">
        <v>3442</v>
      </c>
      <c r="E13" s="6">
        <v>1834</v>
      </c>
      <c r="F13" s="6">
        <v>1203</v>
      </c>
      <c r="G13" s="6">
        <v>6042</v>
      </c>
      <c r="H13" s="6">
        <v>1156</v>
      </c>
      <c r="I13" s="6">
        <v>1723</v>
      </c>
      <c r="J13" s="6">
        <v>193</v>
      </c>
      <c r="K13" s="6">
        <v>558</v>
      </c>
      <c r="L13" s="6">
        <v>303</v>
      </c>
      <c r="M13" s="6">
        <v>892</v>
      </c>
      <c r="N13" s="6">
        <v>835</v>
      </c>
      <c r="O13" s="6">
        <v>55</v>
      </c>
      <c r="P13" s="6">
        <v>17144</v>
      </c>
      <c r="Q13" s="6">
        <v>546</v>
      </c>
      <c r="R13" s="6">
        <v>255</v>
      </c>
      <c r="S13" s="6">
        <v>11</v>
      </c>
      <c r="T13" s="6">
        <v>683</v>
      </c>
      <c r="U13" s="6">
        <v>19</v>
      </c>
      <c r="V13" s="6">
        <v>5225</v>
      </c>
      <c r="W13" s="6">
        <v>383</v>
      </c>
      <c r="X13" s="6">
        <v>9801</v>
      </c>
      <c r="Y13" s="6">
        <v>227</v>
      </c>
      <c r="Z13" s="6">
        <v>14968</v>
      </c>
      <c r="AA13" s="6">
        <v>8821</v>
      </c>
      <c r="AB13" s="6">
        <v>4102</v>
      </c>
      <c r="AC13" s="6">
        <v>2043</v>
      </c>
      <c r="AD13" s="6">
        <v>270</v>
      </c>
      <c r="AE13" s="6">
        <v>196</v>
      </c>
      <c r="AF13" s="6">
        <v>30</v>
      </c>
      <c r="AG13" s="6">
        <v>44</v>
      </c>
      <c r="AH13" s="6">
        <v>3216</v>
      </c>
      <c r="AI13" s="6">
        <v>143</v>
      </c>
      <c r="AJ13" s="6">
        <v>328</v>
      </c>
      <c r="AK13" s="6">
        <v>439</v>
      </c>
      <c r="AL13" s="6">
        <v>1058</v>
      </c>
      <c r="AM13" s="6">
        <v>298</v>
      </c>
      <c r="AN13" s="6">
        <v>21</v>
      </c>
      <c r="AO13" s="6">
        <v>318</v>
      </c>
      <c r="AP13" s="6">
        <v>162</v>
      </c>
      <c r="AQ13" s="6">
        <v>446</v>
      </c>
      <c r="AR13" s="6">
        <v>9917</v>
      </c>
      <c r="AS13" s="6">
        <v>510</v>
      </c>
      <c r="AT13" s="6">
        <v>163</v>
      </c>
      <c r="AU13" s="6">
        <v>107</v>
      </c>
      <c r="AV13" s="6">
        <v>416</v>
      </c>
      <c r="AW13" s="6">
        <v>626</v>
      </c>
      <c r="AX13" s="6">
        <v>783</v>
      </c>
      <c r="AY13" s="6">
        <v>1666</v>
      </c>
      <c r="AZ13" s="6">
        <v>4897</v>
      </c>
      <c r="BA13" s="6">
        <v>749</v>
      </c>
      <c r="BB13" s="6">
        <v>11323</v>
      </c>
      <c r="BC13" s="6">
        <v>1035</v>
      </c>
      <c r="BD13" s="6">
        <v>1189</v>
      </c>
      <c r="BE13" s="6">
        <v>221</v>
      </c>
      <c r="BF13" s="6">
        <v>1146</v>
      </c>
      <c r="BG13" s="6">
        <v>1674</v>
      </c>
      <c r="BH13" s="6">
        <v>987</v>
      </c>
      <c r="BI13" s="6">
        <v>1262</v>
      </c>
      <c r="BJ13" s="6">
        <v>1869</v>
      </c>
      <c r="BK13" s="6">
        <v>1931</v>
      </c>
      <c r="BL13" s="6">
        <v>3054</v>
      </c>
      <c r="BM13" s="6">
        <v>87</v>
      </c>
      <c r="BN13" s="6">
        <v>97</v>
      </c>
      <c r="BO13" s="6">
        <v>14</v>
      </c>
      <c r="BP13" s="6">
        <v>376</v>
      </c>
      <c r="BQ13" s="6">
        <v>59</v>
      </c>
      <c r="BR13" s="6">
        <v>710</v>
      </c>
      <c r="BS13" s="6">
        <v>665</v>
      </c>
      <c r="BT13" s="6">
        <v>1043</v>
      </c>
      <c r="BU13" s="6">
        <v>6807</v>
      </c>
      <c r="BV13" s="6">
        <v>530</v>
      </c>
      <c r="BW13" s="6">
        <v>128</v>
      </c>
      <c r="BX13" s="6">
        <v>1</v>
      </c>
      <c r="BY13" s="6">
        <v>4923</v>
      </c>
      <c r="BZ13" s="6">
        <v>1220</v>
      </c>
      <c r="CA13" s="6">
        <v>84790</v>
      </c>
    </row>
    <row r="14" spans="1:79">
      <c r="A14" s="6" t="s">
        <v>170</v>
      </c>
      <c r="B14" s="6">
        <v>15156</v>
      </c>
      <c r="C14" s="6">
        <v>567</v>
      </c>
      <c r="D14" s="6">
        <v>3911</v>
      </c>
      <c r="E14" s="6">
        <v>2142</v>
      </c>
      <c r="F14" s="6">
        <v>1178</v>
      </c>
      <c r="G14" s="6">
        <v>5017</v>
      </c>
      <c r="H14" s="6">
        <v>1135</v>
      </c>
      <c r="I14" s="6">
        <v>180</v>
      </c>
      <c r="J14" s="6">
        <v>176</v>
      </c>
      <c r="K14" s="6">
        <v>545</v>
      </c>
      <c r="L14" s="6">
        <v>301</v>
      </c>
      <c r="M14" s="6">
        <v>1156</v>
      </c>
      <c r="N14" s="6">
        <v>1084</v>
      </c>
      <c r="O14" s="6">
        <v>70</v>
      </c>
      <c r="P14" s="6">
        <v>17909</v>
      </c>
      <c r="Q14" s="6">
        <v>510</v>
      </c>
      <c r="R14" s="6">
        <v>452</v>
      </c>
      <c r="S14" s="6">
        <v>10</v>
      </c>
      <c r="T14" s="6">
        <v>699</v>
      </c>
      <c r="U14" s="6">
        <v>22</v>
      </c>
      <c r="V14" s="6">
        <v>4503</v>
      </c>
      <c r="W14" s="6">
        <v>449</v>
      </c>
      <c r="X14" s="6">
        <v>11015</v>
      </c>
      <c r="Y14" s="6">
        <v>248</v>
      </c>
      <c r="Z14" s="6">
        <v>15077</v>
      </c>
      <c r="AA14" s="6">
        <v>9849</v>
      </c>
      <c r="AB14" s="6">
        <v>3374</v>
      </c>
      <c r="AC14" s="6">
        <v>1855</v>
      </c>
      <c r="AD14" s="6">
        <v>385</v>
      </c>
      <c r="AE14" s="6">
        <v>265</v>
      </c>
      <c r="AF14" s="6">
        <v>70</v>
      </c>
      <c r="AG14" s="6">
        <v>50</v>
      </c>
      <c r="AH14" s="6">
        <v>3387</v>
      </c>
      <c r="AI14" s="6">
        <v>139</v>
      </c>
      <c r="AJ14" s="6">
        <v>316</v>
      </c>
      <c r="AK14" s="6">
        <v>525</v>
      </c>
      <c r="AL14" s="6">
        <v>1225</v>
      </c>
      <c r="AM14" s="6">
        <v>283</v>
      </c>
      <c r="AN14" s="6">
        <v>32</v>
      </c>
      <c r="AO14" s="6">
        <v>237</v>
      </c>
      <c r="AP14" s="6">
        <v>164</v>
      </c>
      <c r="AQ14" s="6">
        <v>467</v>
      </c>
      <c r="AR14" s="6">
        <v>10423</v>
      </c>
      <c r="AS14" s="6">
        <v>497</v>
      </c>
      <c r="AT14" s="6">
        <v>169</v>
      </c>
      <c r="AU14" s="6">
        <v>104</v>
      </c>
      <c r="AV14" s="6">
        <v>421</v>
      </c>
      <c r="AW14" s="6">
        <v>593</v>
      </c>
      <c r="AX14" s="6">
        <v>698</v>
      </c>
      <c r="AY14" s="6">
        <v>1826</v>
      </c>
      <c r="AZ14" s="6">
        <v>5418</v>
      </c>
      <c r="BA14" s="6">
        <v>702</v>
      </c>
      <c r="BB14" s="6">
        <v>10654</v>
      </c>
      <c r="BC14" s="6">
        <v>808</v>
      </c>
      <c r="BD14" s="6">
        <v>1365</v>
      </c>
      <c r="BE14" s="6">
        <v>181</v>
      </c>
      <c r="BF14" s="6">
        <v>1034</v>
      </c>
      <c r="BG14" s="6">
        <v>1565</v>
      </c>
      <c r="BH14" s="6">
        <v>862</v>
      </c>
      <c r="BI14" s="6">
        <v>1277</v>
      </c>
      <c r="BJ14" s="6">
        <v>1863</v>
      </c>
      <c r="BK14" s="6">
        <v>1701</v>
      </c>
      <c r="BL14" s="6">
        <v>3342</v>
      </c>
      <c r="BM14" s="6">
        <v>85</v>
      </c>
      <c r="BN14" s="6">
        <v>98</v>
      </c>
      <c r="BO14" s="6">
        <v>12</v>
      </c>
      <c r="BP14" s="6">
        <v>365</v>
      </c>
      <c r="BQ14" s="6">
        <v>62</v>
      </c>
      <c r="BR14" s="6">
        <v>872</v>
      </c>
      <c r="BS14" s="6">
        <v>671</v>
      </c>
      <c r="BT14" s="6">
        <v>1180</v>
      </c>
      <c r="BU14" s="6">
        <v>11495</v>
      </c>
      <c r="BV14" s="6">
        <v>766</v>
      </c>
      <c r="BW14" s="6">
        <v>135</v>
      </c>
      <c r="BX14" s="6">
        <v>2</v>
      </c>
      <c r="BY14" s="6">
        <v>7642</v>
      </c>
      <c r="BZ14" s="6">
        <v>2948</v>
      </c>
      <c r="CA14" s="6">
        <v>88987</v>
      </c>
    </row>
    <row r="15" spans="1:79">
      <c r="A15" s="6" t="s">
        <v>171</v>
      </c>
      <c r="B15" s="6">
        <v>15876</v>
      </c>
      <c r="C15" s="6">
        <v>698</v>
      </c>
      <c r="D15" s="6">
        <v>4163</v>
      </c>
      <c r="E15" s="6">
        <v>2209</v>
      </c>
      <c r="F15" s="6">
        <v>1387</v>
      </c>
      <c r="G15" s="6">
        <v>4882</v>
      </c>
      <c r="H15" s="6">
        <v>1192</v>
      </c>
      <c r="I15" s="6">
        <v>164</v>
      </c>
      <c r="J15" s="6">
        <v>213</v>
      </c>
      <c r="K15" s="6">
        <v>626</v>
      </c>
      <c r="L15" s="6">
        <v>344</v>
      </c>
      <c r="M15" s="6">
        <v>1402</v>
      </c>
      <c r="N15" s="6">
        <v>1345</v>
      </c>
      <c r="O15" s="6">
        <v>57</v>
      </c>
      <c r="P15" s="6">
        <v>16667</v>
      </c>
      <c r="Q15" s="6">
        <v>343</v>
      </c>
      <c r="R15" s="6">
        <v>777</v>
      </c>
      <c r="S15" s="6">
        <v>13</v>
      </c>
      <c r="T15" s="6">
        <v>698</v>
      </c>
      <c r="U15" s="6">
        <v>30</v>
      </c>
      <c r="V15" s="6">
        <v>3972</v>
      </c>
      <c r="W15" s="6">
        <v>415</v>
      </c>
      <c r="X15" s="6">
        <v>10164</v>
      </c>
      <c r="Y15" s="6">
        <v>257</v>
      </c>
      <c r="Z15" s="6">
        <v>14464</v>
      </c>
      <c r="AA15" s="6">
        <v>8406</v>
      </c>
      <c r="AB15" s="6">
        <v>4174</v>
      </c>
      <c r="AC15" s="6">
        <v>1880</v>
      </c>
      <c r="AD15" s="6">
        <v>324</v>
      </c>
      <c r="AE15" s="6">
        <v>226</v>
      </c>
      <c r="AF15" s="6">
        <v>51</v>
      </c>
      <c r="AG15" s="6">
        <v>51</v>
      </c>
      <c r="AH15" s="6">
        <v>3854</v>
      </c>
      <c r="AI15" s="6">
        <v>159</v>
      </c>
      <c r="AJ15" s="6">
        <v>380</v>
      </c>
      <c r="AK15" s="6">
        <v>524</v>
      </c>
      <c r="AL15" s="6">
        <v>1481</v>
      </c>
      <c r="AM15" s="6">
        <v>334</v>
      </c>
      <c r="AN15" s="6">
        <v>31</v>
      </c>
      <c r="AO15" s="6">
        <v>232</v>
      </c>
      <c r="AP15" s="6">
        <v>178</v>
      </c>
      <c r="AQ15" s="6">
        <v>536</v>
      </c>
      <c r="AR15" s="6">
        <v>10678</v>
      </c>
      <c r="AS15" s="6">
        <v>430</v>
      </c>
      <c r="AT15" s="6">
        <v>180</v>
      </c>
      <c r="AU15" s="6">
        <v>138</v>
      </c>
      <c r="AV15" s="6">
        <v>470</v>
      </c>
      <c r="AW15" s="6">
        <v>604</v>
      </c>
      <c r="AX15" s="6">
        <v>868</v>
      </c>
      <c r="AY15" s="6">
        <v>1362</v>
      </c>
      <c r="AZ15" s="6">
        <v>5974</v>
      </c>
      <c r="BA15" s="6">
        <v>658</v>
      </c>
      <c r="BB15" s="6">
        <v>10987</v>
      </c>
      <c r="BC15" s="6">
        <v>793</v>
      </c>
      <c r="BD15" s="6">
        <v>1096</v>
      </c>
      <c r="BE15" s="6">
        <v>197</v>
      </c>
      <c r="BF15" s="6">
        <v>1029</v>
      </c>
      <c r="BG15" s="6">
        <v>1405</v>
      </c>
      <c r="BH15" s="6">
        <v>906</v>
      </c>
      <c r="BI15" s="6">
        <v>1298</v>
      </c>
      <c r="BJ15" s="6">
        <v>2441</v>
      </c>
      <c r="BK15" s="6">
        <v>1823</v>
      </c>
      <c r="BL15" s="6">
        <v>3624</v>
      </c>
      <c r="BM15" s="6">
        <v>77</v>
      </c>
      <c r="BN15" s="6">
        <v>127</v>
      </c>
      <c r="BO15" s="6">
        <v>12</v>
      </c>
      <c r="BP15" s="6">
        <v>331</v>
      </c>
      <c r="BQ15" s="6">
        <v>63</v>
      </c>
      <c r="BR15" s="6">
        <v>1004</v>
      </c>
      <c r="BS15" s="6">
        <v>784</v>
      </c>
      <c r="BT15" s="6">
        <v>1220</v>
      </c>
      <c r="BU15" s="6">
        <v>9016</v>
      </c>
      <c r="BV15" s="6">
        <v>1807</v>
      </c>
      <c r="BW15" s="6">
        <v>98</v>
      </c>
      <c r="BX15" s="6">
        <v>8</v>
      </c>
      <c r="BY15" s="6">
        <v>4810</v>
      </c>
      <c r="BZ15" s="6">
        <v>2295</v>
      </c>
      <c r="CA15" s="6">
        <v>86893</v>
      </c>
    </row>
    <row r="16" spans="1:79">
      <c r="A16" s="6" t="s">
        <v>172</v>
      </c>
      <c r="B16" s="6">
        <v>18965</v>
      </c>
      <c r="C16" s="6">
        <v>798</v>
      </c>
      <c r="D16" s="6">
        <v>5038</v>
      </c>
      <c r="E16" s="6">
        <v>2724</v>
      </c>
      <c r="F16" s="6">
        <v>1690</v>
      </c>
      <c r="G16" s="6">
        <v>5406</v>
      </c>
      <c r="H16" s="6">
        <v>1460</v>
      </c>
      <c r="I16" s="6">
        <v>209</v>
      </c>
      <c r="J16" s="6">
        <v>257</v>
      </c>
      <c r="K16" s="6">
        <v>977</v>
      </c>
      <c r="L16" s="6">
        <v>415</v>
      </c>
      <c r="M16" s="6">
        <v>1770</v>
      </c>
      <c r="N16" s="6">
        <v>1715</v>
      </c>
      <c r="O16" s="6">
        <v>56</v>
      </c>
      <c r="P16" s="6">
        <v>21235</v>
      </c>
      <c r="Q16" s="6">
        <v>594</v>
      </c>
      <c r="R16" s="6">
        <v>723</v>
      </c>
      <c r="S16" s="6">
        <v>11</v>
      </c>
      <c r="T16" s="6">
        <v>871</v>
      </c>
      <c r="U16" s="6">
        <v>52</v>
      </c>
      <c r="V16" s="6">
        <v>4879</v>
      </c>
      <c r="W16" s="6">
        <v>451</v>
      </c>
      <c r="X16" s="6">
        <v>13382</v>
      </c>
      <c r="Y16" s="6">
        <v>273</v>
      </c>
      <c r="Z16" s="6">
        <v>23041</v>
      </c>
      <c r="AA16" s="6">
        <v>9349</v>
      </c>
      <c r="AB16" s="6">
        <v>10465</v>
      </c>
      <c r="AC16" s="6">
        <v>3227</v>
      </c>
      <c r="AD16" s="6">
        <v>305</v>
      </c>
      <c r="AE16" s="6">
        <v>215</v>
      </c>
      <c r="AF16" s="6">
        <v>42</v>
      </c>
      <c r="AG16" s="6">
        <v>50</v>
      </c>
      <c r="AH16" s="6">
        <v>4717</v>
      </c>
      <c r="AI16" s="6">
        <v>123</v>
      </c>
      <c r="AJ16" s="6">
        <v>489</v>
      </c>
      <c r="AK16" s="6">
        <v>620</v>
      </c>
      <c r="AL16" s="6">
        <v>2016</v>
      </c>
      <c r="AM16" s="6">
        <v>377</v>
      </c>
      <c r="AN16" s="6">
        <v>74</v>
      </c>
      <c r="AO16" s="6">
        <v>218</v>
      </c>
      <c r="AP16" s="6">
        <v>201</v>
      </c>
      <c r="AQ16" s="6">
        <v>598</v>
      </c>
      <c r="AR16" s="6">
        <v>13572</v>
      </c>
      <c r="AS16" s="6">
        <v>504</v>
      </c>
      <c r="AT16" s="6">
        <v>165</v>
      </c>
      <c r="AU16" s="6">
        <v>174</v>
      </c>
      <c r="AV16" s="6">
        <v>565</v>
      </c>
      <c r="AW16" s="6">
        <v>600</v>
      </c>
      <c r="AX16" s="6">
        <v>1010</v>
      </c>
      <c r="AY16" s="6">
        <v>1172</v>
      </c>
      <c r="AZ16" s="6">
        <v>8715</v>
      </c>
      <c r="BA16" s="6">
        <v>666</v>
      </c>
      <c r="BB16" s="6">
        <v>12487</v>
      </c>
      <c r="BC16" s="6">
        <v>966</v>
      </c>
      <c r="BD16" s="6">
        <v>1235</v>
      </c>
      <c r="BE16" s="6">
        <v>256</v>
      </c>
      <c r="BF16" s="6">
        <v>1119</v>
      </c>
      <c r="BG16" s="6">
        <v>1404</v>
      </c>
      <c r="BH16" s="6">
        <v>1450</v>
      </c>
      <c r="BI16" s="6">
        <v>1502</v>
      </c>
      <c r="BJ16" s="6">
        <v>3275</v>
      </c>
      <c r="BK16" s="6">
        <v>1287</v>
      </c>
      <c r="BL16" s="6">
        <v>4169</v>
      </c>
      <c r="BM16" s="6">
        <v>84</v>
      </c>
      <c r="BN16" s="6">
        <v>121</v>
      </c>
      <c r="BO16" s="6">
        <v>14</v>
      </c>
      <c r="BP16" s="6">
        <v>340</v>
      </c>
      <c r="BQ16" s="6">
        <v>65</v>
      </c>
      <c r="BR16" s="6">
        <v>1132</v>
      </c>
      <c r="BS16" s="6">
        <v>1061</v>
      </c>
      <c r="BT16" s="6">
        <v>1349</v>
      </c>
      <c r="BU16" s="6">
        <v>10096</v>
      </c>
      <c r="BV16" s="6">
        <v>1792</v>
      </c>
      <c r="BW16" s="6">
        <v>83</v>
      </c>
      <c r="BX16" s="6">
        <v>5</v>
      </c>
      <c r="BY16" s="6">
        <v>4952</v>
      </c>
      <c r="BZ16" s="6">
        <v>3260</v>
      </c>
      <c r="CA16" s="6">
        <v>110355</v>
      </c>
    </row>
    <row r="17" spans="1:79">
      <c r="A17" s="6" t="s">
        <v>173</v>
      </c>
      <c r="B17" s="6">
        <v>21991</v>
      </c>
      <c r="C17" s="6">
        <v>1030</v>
      </c>
      <c r="D17" s="6">
        <v>6369</v>
      </c>
      <c r="E17" s="6">
        <v>3049</v>
      </c>
      <c r="F17" s="6">
        <v>1711</v>
      </c>
      <c r="G17" s="6">
        <v>6281</v>
      </c>
      <c r="H17" s="6">
        <v>1634</v>
      </c>
      <c r="I17" s="6">
        <v>224</v>
      </c>
      <c r="J17" s="6">
        <v>258</v>
      </c>
      <c r="K17" s="6">
        <v>997</v>
      </c>
      <c r="L17" s="6">
        <v>435</v>
      </c>
      <c r="M17" s="6">
        <v>2185</v>
      </c>
      <c r="N17" s="6">
        <v>2115</v>
      </c>
      <c r="O17" s="6">
        <v>72</v>
      </c>
      <c r="P17" s="6">
        <v>23771</v>
      </c>
      <c r="Q17" s="6">
        <v>828</v>
      </c>
      <c r="R17" s="6">
        <v>735</v>
      </c>
      <c r="S17" s="6">
        <v>17</v>
      </c>
      <c r="T17" s="6">
        <v>859</v>
      </c>
      <c r="U17" s="6">
        <v>51</v>
      </c>
      <c r="V17" s="6">
        <v>5582</v>
      </c>
      <c r="W17" s="6">
        <v>531</v>
      </c>
      <c r="X17" s="6">
        <v>14868</v>
      </c>
      <c r="Y17" s="6">
        <v>303</v>
      </c>
      <c r="Z17" s="6">
        <v>25428</v>
      </c>
      <c r="AA17" s="6">
        <v>12514</v>
      </c>
      <c r="AB17" s="6">
        <v>9212</v>
      </c>
      <c r="AC17" s="6">
        <v>3704</v>
      </c>
      <c r="AD17" s="6">
        <v>308</v>
      </c>
      <c r="AE17" s="6">
        <v>217</v>
      </c>
      <c r="AF17" s="6">
        <v>44</v>
      </c>
      <c r="AG17" s="6">
        <v>48</v>
      </c>
      <c r="AH17" s="6">
        <v>5421</v>
      </c>
      <c r="AI17" s="6">
        <v>136</v>
      </c>
      <c r="AJ17" s="6">
        <v>564</v>
      </c>
      <c r="AK17" s="6">
        <v>647</v>
      </c>
      <c r="AL17" s="6">
        <v>2434</v>
      </c>
      <c r="AM17" s="6">
        <v>394</v>
      </c>
      <c r="AN17" s="6">
        <v>152</v>
      </c>
      <c r="AO17" s="6">
        <v>234</v>
      </c>
      <c r="AP17" s="6">
        <v>229</v>
      </c>
      <c r="AQ17" s="6">
        <v>635</v>
      </c>
      <c r="AR17" s="6">
        <v>13919</v>
      </c>
      <c r="AS17" s="6">
        <v>545</v>
      </c>
      <c r="AT17" s="6">
        <v>173</v>
      </c>
      <c r="AU17" s="6">
        <v>217</v>
      </c>
      <c r="AV17" s="6">
        <v>661</v>
      </c>
      <c r="AW17" s="6">
        <v>568</v>
      </c>
      <c r="AX17" s="6">
        <v>952</v>
      </c>
      <c r="AY17" s="6">
        <v>737</v>
      </c>
      <c r="AZ17" s="6">
        <v>9319</v>
      </c>
      <c r="BA17" s="6">
        <v>751</v>
      </c>
      <c r="BB17" s="6">
        <v>13842</v>
      </c>
      <c r="BC17" s="6">
        <v>750</v>
      </c>
      <c r="BD17" s="6">
        <v>1376</v>
      </c>
      <c r="BE17" s="6">
        <v>208</v>
      </c>
      <c r="BF17" s="6">
        <v>1303</v>
      </c>
      <c r="BG17" s="6">
        <v>1638</v>
      </c>
      <c r="BH17" s="6">
        <v>1357</v>
      </c>
      <c r="BI17" s="6">
        <v>1709</v>
      </c>
      <c r="BJ17" s="6">
        <v>4250</v>
      </c>
      <c r="BK17" s="6">
        <v>1251</v>
      </c>
      <c r="BL17" s="6">
        <v>4565</v>
      </c>
      <c r="BM17" s="6">
        <v>95</v>
      </c>
      <c r="BN17" s="6">
        <v>148</v>
      </c>
      <c r="BO17" s="6">
        <v>13</v>
      </c>
      <c r="BP17" s="6">
        <v>369</v>
      </c>
      <c r="BQ17" s="6">
        <v>62</v>
      </c>
      <c r="BR17" s="6">
        <v>1291</v>
      </c>
      <c r="BS17" s="6">
        <v>1113</v>
      </c>
      <c r="BT17" s="6">
        <v>1470</v>
      </c>
      <c r="BU17" s="6">
        <v>11096</v>
      </c>
      <c r="BV17" s="6">
        <v>2232</v>
      </c>
      <c r="BW17" s="6">
        <v>61</v>
      </c>
      <c r="BX17" s="6">
        <v>0</v>
      </c>
      <c r="BY17" s="6">
        <v>5157</v>
      </c>
      <c r="BZ17" s="6">
        <v>3645</v>
      </c>
      <c r="CA17" s="6">
        <v>122531</v>
      </c>
    </row>
    <row r="18" spans="1:79">
      <c r="A18" s="6" t="s">
        <v>174</v>
      </c>
      <c r="B18" s="6">
        <v>21142</v>
      </c>
      <c r="C18" s="6">
        <v>1168</v>
      </c>
      <c r="D18" s="6">
        <v>5952</v>
      </c>
      <c r="E18" s="6">
        <v>2887</v>
      </c>
      <c r="F18" s="6">
        <v>1627</v>
      </c>
      <c r="G18" s="6">
        <v>5959</v>
      </c>
      <c r="H18" s="6">
        <v>1644</v>
      </c>
      <c r="I18" s="6">
        <v>230</v>
      </c>
      <c r="J18" s="6">
        <v>281</v>
      </c>
      <c r="K18" s="6">
        <v>959</v>
      </c>
      <c r="L18" s="6">
        <v>439</v>
      </c>
      <c r="M18" s="6">
        <v>2617</v>
      </c>
      <c r="N18" s="6">
        <v>2516</v>
      </c>
      <c r="O18" s="6">
        <v>100</v>
      </c>
      <c r="P18" s="6">
        <v>22044</v>
      </c>
      <c r="Q18" s="6">
        <v>658</v>
      </c>
      <c r="R18" s="6">
        <v>757</v>
      </c>
      <c r="S18" s="6">
        <v>19</v>
      </c>
      <c r="T18" s="6">
        <v>972</v>
      </c>
      <c r="U18" s="6">
        <v>48</v>
      </c>
      <c r="V18" s="6">
        <v>4896</v>
      </c>
      <c r="W18" s="6">
        <v>502</v>
      </c>
      <c r="X18" s="6">
        <v>13889</v>
      </c>
      <c r="Y18" s="6">
        <v>301</v>
      </c>
      <c r="Z18" s="6">
        <v>24699</v>
      </c>
      <c r="AA18" s="6">
        <v>12877</v>
      </c>
      <c r="AB18" s="6">
        <v>8622</v>
      </c>
      <c r="AC18" s="6">
        <v>3201</v>
      </c>
      <c r="AD18" s="6">
        <v>316</v>
      </c>
      <c r="AE18" s="6">
        <v>208</v>
      </c>
      <c r="AF18" s="6">
        <v>55</v>
      </c>
      <c r="AG18" s="6">
        <v>57</v>
      </c>
      <c r="AH18" s="6">
        <v>5078</v>
      </c>
      <c r="AI18" s="6">
        <v>131</v>
      </c>
      <c r="AJ18" s="6">
        <v>548</v>
      </c>
      <c r="AK18" s="6">
        <v>679</v>
      </c>
      <c r="AL18" s="6">
        <v>1944</v>
      </c>
      <c r="AM18" s="6">
        <v>492</v>
      </c>
      <c r="AN18" s="6">
        <v>118</v>
      </c>
      <c r="AO18" s="6">
        <v>234</v>
      </c>
      <c r="AP18" s="6">
        <v>253</v>
      </c>
      <c r="AQ18" s="6">
        <v>674</v>
      </c>
      <c r="AR18" s="6">
        <v>13460</v>
      </c>
      <c r="AS18" s="6">
        <v>622</v>
      </c>
      <c r="AT18" s="6">
        <v>141</v>
      </c>
      <c r="AU18" s="6">
        <v>222</v>
      </c>
      <c r="AV18" s="6">
        <v>790</v>
      </c>
      <c r="AW18" s="6">
        <v>518</v>
      </c>
      <c r="AX18" s="6">
        <v>923</v>
      </c>
      <c r="AY18" s="6">
        <v>795</v>
      </c>
      <c r="AZ18" s="6">
        <v>8637</v>
      </c>
      <c r="BA18" s="6">
        <v>813</v>
      </c>
      <c r="BB18" s="6">
        <v>14197</v>
      </c>
      <c r="BC18" s="6">
        <v>675</v>
      </c>
      <c r="BD18" s="6">
        <v>1367</v>
      </c>
      <c r="BE18" s="6">
        <v>143</v>
      </c>
      <c r="BF18" s="6">
        <v>1259</v>
      </c>
      <c r="BG18" s="6">
        <v>1610</v>
      </c>
      <c r="BH18" s="6">
        <v>751</v>
      </c>
      <c r="BI18" s="6">
        <v>1724</v>
      </c>
      <c r="BJ18" s="6">
        <v>4263</v>
      </c>
      <c r="BK18" s="6">
        <v>2400</v>
      </c>
      <c r="BL18" s="6">
        <v>4431</v>
      </c>
      <c r="BM18" s="6">
        <v>127</v>
      </c>
      <c r="BN18" s="6">
        <v>177</v>
      </c>
      <c r="BO18" s="6">
        <v>15</v>
      </c>
      <c r="BP18" s="6">
        <v>320</v>
      </c>
      <c r="BQ18" s="6">
        <v>57</v>
      </c>
      <c r="BR18" s="6">
        <v>1335</v>
      </c>
      <c r="BS18" s="6">
        <v>725</v>
      </c>
      <c r="BT18" s="6">
        <v>1670</v>
      </c>
      <c r="BU18" s="6">
        <v>11473</v>
      </c>
      <c r="BV18" s="6">
        <v>2493</v>
      </c>
      <c r="BW18" s="6">
        <v>68</v>
      </c>
      <c r="BX18" s="6">
        <v>0</v>
      </c>
      <c r="BY18" s="6">
        <v>5307</v>
      </c>
      <c r="BZ18" s="6">
        <v>3603</v>
      </c>
      <c r="CA18" s="6">
        <v>119458</v>
      </c>
    </row>
    <row r="19" spans="1:79">
      <c r="A19" s="6" t="s">
        <v>175</v>
      </c>
      <c r="B19" s="6">
        <v>16385</v>
      </c>
      <c r="C19" s="6">
        <v>969</v>
      </c>
      <c r="D19" s="6">
        <v>5309</v>
      </c>
      <c r="E19" s="6">
        <v>2071</v>
      </c>
      <c r="F19" s="6">
        <v>1351</v>
      </c>
      <c r="G19" s="6">
        <v>3651</v>
      </c>
      <c r="H19" s="6">
        <v>1231</v>
      </c>
      <c r="I19" s="6">
        <v>178</v>
      </c>
      <c r="J19" s="6">
        <v>281</v>
      </c>
      <c r="K19" s="6">
        <v>868</v>
      </c>
      <c r="L19" s="6">
        <v>479</v>
      </c>
      <c r="M19" s="6">
        <v>2626</v>
      </c>
      <c r="N19" s="6">
        <v>2528</v>
      </c>
      <c r="O19" s="6">
        <v>98</v>
      </c>
      <c r="P19" s="6">
        <v>20202</v>
      </c>
      <c r="Q19" s="6">
        <v>637</v>
      </c>
      <c r="R19" s="6">
        <v>373</v>
      </c>
      <c r="S19" s="6">
        <v>16</v>
      </c>
      <c r="T19" s="6">
        <v>959</v>
      </c>
      <c r="U19" s="6">
        <v>56</v>
      </c>
      <c r="V19" s="6">
        <v>3497</v>
      </c>
      <c r="W19" s="6">
        <v>450</v>
      </c>
      <c r="X19" s="6">
        <v>13968</v>
      </c>
      <c r="Y19" s="6">
        <v>242</v>
      </c>
      <c r="Z19" s="6">
        <v>21348</v>
      </c>
      <c r="AA19" s="6">
        <v>10900</v>
      </c>
      <c r="AB19" s="6">
        <v>7244</v>
      </c>
      <c r="AC19" s="6">
        <v>3201</v>
      </c>
      <c r="AD19" s="6">
        <v>326</v>
      </c>
      <c r="AE19" s="6">
        <v>239</v>
      </c>
      <c r="AF19" s="6">
        <v>38</v>
      </c>
      <c r="AG19" s="6">
        <v>51</v>
      </c>
      <c r="AH19" s="6">
        <v>5193</v>
      </c>
      <c r="AI19" s="6">
        <v>145</v>
      </c>
      <c r="AJ19" s="6">
        <v>522</v>
      </c>
      <c r="AK19" s="6">
        <v>618</v>
      </c>
      <c r="AL19" s="6">
        <v>2236</v>
      </c>
      <c r="AM19" s="6">
        <v>432</v>
      </c>
      <c r="AN19" s="6">
        <v>151</v>
      </c>
      <c r="AO19" s="6">
        <v>203</v>
      </c>
      <c r="AP19" s="6">
        <v>243</v>
      </c>
      <c r="AQ19" s="6">
        <v>643</v>
      </c>
      <c r="AR19" s="6">
        <v>11371</v>
      </c>
      <c r="AS19" s="6">
        <v>520</v>
      </c>
      <c r="AT19" s="6">
        <v>135</v>
      </c>
      <c r="AU19" s="6">
        <v>195</v>
      </c>
      <c r="AV19" s="6">
        <v>745</v>
      </c>
      <c r="AW19" s="6">
        <v>475</v>
      </c>
      <c r="AX19" s="6">
        <v>870</v>
      </c>
      <c r="AY19" s="6">
        <v>893</v>
      </c>
      <c r="AZ19" s="6">
        <v>6770</v>
      </c>
      <c r="BA19" s="6">
        <v>771</v>
      </c>
      <c r="BB19" s="6">
        <v>12451</v>
      </c>
      <c r="BC19" s="6">
        <v>746</v>
      </c>
      <c r="BD19" s="6">
        <v>1178</v>
      </c>
      <c r="BE19" s="6">
        <v>141</v>
      </c>
      <c r="BF19" s="6">
        <v>1247</v>
      </c>
      <c r="BG19" s="6">
        <v>1338</v>
      </c>
      <c r="BH19" s="6">
        <v>779</v>
      </c>
      <c r="BI19" s="6">
        <v>1536</v>
      </c>
      <c r="BJ19" s="6">
        <v>4101</v>
      </c>
      <c r="BK19" s="6">
        <v>1385</v>
      </c>
      <c r="BL19" s="6">
        <v>4283</v>
      </c>
      <c r="BM19" s="6">
        <v>97</v>
      </c>
      <c r="BN19" s="6">
        <v>158</v>
      </c>
      <c r="BO19" s="6">
        <v>21</v>
      </c>
      <c r="BP19" s="6">
        <v>331</v>
      </c>
      <c r="BQ19" s="6">
        <v>50</v>
      </c>
      <c r="BR19" s="6">
        <v>1205</v>
      </c>
      <c r="BS19" s="6">
        <v>583</v>
      </c>
      <c r="BT19" s="6">
        <v>1846</v>
      </c>
      <c r="BU19" s="6">
        <v>13767</v>
      </c>
      <c r="BV19" s="6">
        <v>2703</v>
      </c>
      <c r="BW19" s="6">
        <v>80</v>
      </c>
      <c r="BX19" s="6">
        <v>0</v>
      </c>
      <c r="BY19" s="6">
        <v>5863</v>
      </c>
      <c r="BZ19" s="6">
        <v>5120</v>
      </c>
      <c r="CA19" s="6">
        <v>107956</v>
      </c>
    </row>
    <row r="20" spans="1:79">
      <c r="A20" s="6" t="s">
        <v>176</v>
      </c>
      <c r="B20" s="6">
        <v>20438</v>
      </c>
      <c r="C20" s="6">
        <v>829</v>
      </c>
      <c r="D20" s="6">
        <v>6552</v>
      </c>
      <c r="E20" s="6">
        <v>2377</v>
      </c>
      <c r="F20" s="6">
        <v>1231</v>
      </c>
      <c r="G20" s="6">
        <v>6192</v>
      </c>
      <c r="H20" s="6">
        <v>1285</v>
      </c>
      <c r="I20" s="6">
        <v>200</v>
      </c>
      <c r="J20" s="6">
        <v>286</v>
      </c>
      <c r="K20" s="6">
        <v>1017</v>
      </c>
      <c r="L20" s="6">
        <v>466</v>
      </c>
      <c r="M20" s="6">
        <v>2944</v>
      </c>
      <c r="N20" s="6">
        <v>2837</v>
      </c>
      <c r="O20" s="6">
        <v>105</v>
      </c>
      <c r="P20" s="6">
        <v>23060</v>
      </c>
      <c r="Q20" s="6">
        <v>686</v>
      </c>
      <c r="R20" s="6">
        <v>635</v>
      </c>
      <c r="S20" s="6">
        <v>15</v>
      </c>
      <c r="T20" s="6">
        <v>1043</v>
      </c>
      <c r="U20" s="6">
        <v>69</v>
      </c>
      <c r="V20" s="6">
        <v>3580</v>
      </c>
      <c r="W20" s="6">
        <v>420</v>
      </c>
      <c r="X20" s="6">
        <v>16333</v>
      </c>
      <c r="Y20" s="6">
        <v>277</v>
      </c>
      <c r="Z20" s="6">
        <v>23838</v>
      </c>
      <c r="AA20" s="6">
        <v>13475</v>
      </c>
      <c r="AB20" s="6">
        <v>7088</v>
      </c>
      <c r="AC20" s="6">
        <v>3273</v>
      </c>
      <c r="AD20" s="6">
        <v>365</v>
      </c>
      <c r="AE20" s="6">
        <v>240</v>
      </c>
      <c r="AF20" s="6">
        <v>61</v>
      </c>
      <c r="AG20" s="6">
        <v>65</v>
      </c>
      <c r="AH20" s="6">
        <v>5523</v>
      </c>
      <c r="AI20" s="6">
        <v>131</v>
      </c>
      <c r="AJ20" s="6">
        <v>512</v>
      </c>
      <c r="AK20" s="6">
        <v>627</v>
      </c>
      <c r="AL20" s="6">
        <v>2599</v>
      </c>
      <c r="AM20" s="6">
        <v>417</v>
      </c>
      <c r="AN20" s="6">
        <v>136</v>
      </c>
      <c r="AO20" s="6">
        <v>215</v>
      </c>
      <c r="AP20" s="6">
        <v>282</v>
      </c>
      <c r="AQ20" s="6">
        <v>607</v>
      </c>
      <c r="AR20" s="6">
        <v>12013</v>
      </c>
      <c r="AS20" s="6">
        <v>452</v>
      </c>
      <c r="AT20" s="6">
        <v>145</v>
      </c>
      <c r="AU20" s="6">
        <v>232</v>
      </c>
      <c r="AV20" s="6">
        <v>764</v>
      </c>
      <c r="AW20" s="6">
        <v>445</v>
      </c>
      <c r="AX20" s="6">
        <v>829</v>
      </c>
      <c r="AY20" s="6">
        <v>867</v>
      </c>
      <c r="AZ20" s="6">
        <v>7506</v>
      </c>
      <c r="BA20" s="6">
        <v>771</v>
      </c>
      <c r="BB20" s="6">
        <v>11972</v>
      </c>
      <c r="BC20" s="6">
        <v>935</v>
      </c>
      <c r="BD20" s="6">
        <v>1187</v>
      </c>
      <c r="BE20" s="6">
        <v>137</v>
      </c>
      <c r="BF20" s="6">
        <v>1370</v>
      </c>
      <c r="BG20" s="6">
        <v>1128</v>
      </c>
      <c r="BH20" s="6">
        <v>859</v>
      </c>
      <c r="BI20" s="6">
        <v>1537</v>
      </c>
      <c r="BJ20" s="6">
        <v>3947</v>
      </c>
      <c r="BK20" s="6">
        <v>870</v>
      </c>
      <c r="BL20" s="6">
        <v>4404</v>
      </c>
      <c r="BM20" s="6">
        <v>99</v>
      </c>
      <c r="BN20" s="6">
        <v>132</v>
      </c>
      <c r="BO20" s="6">
        <v>21</v>
      </c>
      <c r="BP20" s="6">
        <v>290</v>
      </c>
      <c r="BQ20" s="6">
        <v>44</v>
      </c>
      <c r="BR20" s="6">
        <v>1307</v>
      </c>
      <c r="BS20" s="6">
        <v>567</v>
      </c>
      <c r="BT20" s="6">
        <v>1946</v>
      </c>
      <c r="BU20" s="6">
        <v>13217</v>
      </c>
      <c r="BV20" s="6">
        <v>1936</v>
      </c>
      <c r="BW20" s="6">
        <v>109</v>
      </c>
      <c r="BX20" s="6">
        <v>0</v>
      </c>
      <c r="BY20" s="6">
        <v>5641</v>
      </c>
      <c r="BZ20" s="6">
        <v>5530</v>
      </c>
      <c r="CA20" s="6">
        <v>117773</v>
      </c>
    </row>
    <row r="21" spans="1:79">
      <c r="A21" s="6" t="s">
        <v>177</v>
      </c>
      <c r="B21" s="6">
        <v>18739</v>
      </c>
      <c r="C21" s="6">
        <v>817</v>
      </c>
      <c r="D21" s="6">
        <v>6860</v>
      </c>
      <c r="E21" s="6">
        <v>2439</v>
      </c>
      <c r="F21" s="6">
        <v>1222</v>
      </c>
      <c r="G21" s="6">
        <v>4406</v>
      </c>
      <c r="H21" s="6">
        <v>1289</v>
      </c>
      <c r="I21" s="6">
        <v>212</v>
      </c>
      <c r="J21" s="6">
        <v>245</v>
      </c>
      <c r="K21" s="6">
        <v>806</v>
      </c>
      <c r="L21" s="6">
        <v>442</v>
      </c>
      <c r="M21" s="6">
        <v>2963</v>
      </c>
      <c r="N21" s="6">
        <v>2884</v>
      </c>
      <c r="O21" s="6">
        <v>77</v>
      </c>
      <c r="P21" s="6">
        <v>30128</v>
      </c>
      <c r="Q21" s="6">
        <v>623</v>
      </c>
      <c r="R21" s="6">
        <v>398</v>
      </c>
      <c r="S21" s="6">
        <v>9</v>
      </c>
      <c r="T21" s="6">
        <v>1017</v>
      </c>
      <c r="U21" s="6">
        <v>131</v>
      </c>
      <c r="V21" s="6">
        <v>3362</v>
      </c>
      <c r="W21" s="6">
        <v>503</v>
      </c>
      <c r="X21" s="6">
        <v>23806</v>
      </c>
      <c r="Y21" s="6">
        <v>279</v>
      </c>
      <c r="Z21" s="6">
        <v>35570</v>
      </c>
      <c r="AA21" s="6">
        <v>21895</v>
      </c>
      <c r="AB21" s="6">
        <v>9054</v>
      </c>
      <c r="AC21" s="6">
        <v>4622</v>
      </c>
      <c r="AD21" s="6">
        <v>293</v>
      </c>
      <c r="AE21" s="6">
        <v>204</v>
      </c>
      <c r="AF21" s="6">
        <v>56</v>
      </c>
      <c r="AG21" s="6">
        <v>36</v>
      </c>
      <c r="AH21" s="6">
        <v>6461</v>
      </c>
      <c r="AI21" s="6">
        <v>134</v>
      </c>
      <c r="AJ21" s="6">
        <v>541</v>
      </c>
      <c r="AK21" s="6">
        <v>625</v>
      </c>
      <c r="AL21" s="6">
        <v>3229</v>
      </c>
      <c r="AM21" s="6">
        <v>462</v>
      </c>
      <c r="AN21" s="6">
        <v>188</v>
      </c>
      <c r="AO21" s="6">
        <v>310</v>
      </c>
      <c r="AP21" s="6">
        <v>317</v>
      </c>
      <c r="AQ21" s="6">
        <v>654</v>
      </c>
      <c r="AR21" s="6">
        <v>12937</v>
      </c>
      <c r="AS21" s="6">
        <v>398</v>
      </c>
      <c r="AT21" s="6">
        <v>168</v>
      </c>
      <c r="AU21" s="6">
        <v>236</v>
      </c>
      <c r="AV21" s="6">
        <v>701</v>
      </c>
      <c r="AW21" s="6">
        <v>430</v>
      </c>
      <c r="AX21" s="6">
        <v>858</v>
      </c>
      <c r="AY21" s="6">
        <v>746</v>
      </c>
      <c r="AZ21" s="6">
        <v>8540</v>
      </c>
      <c r="BA21" s="6">
        <v>858</v>
      </c>
      <c r="BB21" s="6">
        <v>13145</v>
      </c>
      <c r="BC21" s="6">
        <v>1119</v>
      </c>
      <c r="BD21" s="6">
        <v>1424</v>
      </c>
      <c r="BE21" s="6">
        <v>183</v>
      </c>
      <c r="BF21" s="6">
        <v>1494</v>
      </c>
      <c r="BG21" s="6">
        <v>1215</v>
      </c>
      <c r="BH21" s="6">
        <v>794</v>
      </c>
      <c r="BI21" s="6">
        <v>1523</v>
      </c>
      <c r="BJ21" s="6">
        <v>4287</v>
      </c>
      <c r="BK21" s="6">
        <v>1102</v>
      </c>
      <c r="BL21" s="6">
        <v>4440</v>
      </c>
      <c r="BM21" s="6">
        <v>116</v>
      </c>
      <c r="BN21" s="6">
        <v>131</v>
      </c>
      <c r="BO21" s="6">
        <v>24</v>
      </c>
      <c r="BP21" s="6">
        <v>271</v>
      </c>
      <c r="BQ21" s="6">
        <v>44</v>
      </c>
      <c r="BR21" s="6">
        <v>1500</v>
      </c>
      <c r="BS21" s="6">
        <v>338</v>
      </c>
      <c r="BT21" s="6">
        <v>2021</v>
      </c>
      <c r="BU21" s="6">
        <v>14401</v>
      </c>
      <c r="BV21" s="6">
        <v>2017</v>
      </c>
      <c r="BW21" s="6">
        <v>113</v>
      </c>
      <c r="BX21" s="6">
        <v>0</v>
      </c>
      <c r="BY21" s="6">
        <v>5823</v>
      </c>
      <c r="BZ21" s="6">
        <v>6451</v>
      </c>
      <c r="CA21" s="6">
        <v>139080</v>
      </c>
    </row>
    <row r="22" spans="1:79">
      <c r="A22" s="6" t="s">
        <v>178</v>
      </c>
      <c r="B22" s="6">
        <v>20066</v>
      </c>
      <c r="C22" s="6">
        <v>881</v>
      </c>
      <c r="D22" s="6">
        <v>7084</v>
      </c>
      <c r="E22" s="6">
        <v>2424</v>
      </c>
      <c r="F22" s="6">
        <v>1222</v>
      </c>
      <c r="G22" s="6">
        <v>5193</v>
      </c>
      <c r="H22" s="6">
        <v>1453</v>
      </c>
      <c r="I22" s="6">
        <v>278</v>
      </c>
      <c r="J22" s="6">
        <v>217</v>
      </c>
      <c r="K22" s="6">
        <v>874</v>
      </c>
      <c r="L22" s="6">
        <v>439</v>
      </c>
      <c r="M22" s="6">
        <v>3009</v>
      </c>
      <c r="N22" s="6">
        <v>2892</v>
      </c>
      <c r="O22" s="6">
        <v>116</v>
      </c>
      <c r="P22" s="6">
        <v>39192</v>
      </c>
      <c r="Q22" s="6">
        <v>661</v>
      </c>
      <c r="R22" s="6">
        <v>366</v>
      </c>
      <c r="S22" s="6">
        <v>0</v>
      </c>
      <c r="T22" s="6">
        <v>1143</v>
      </c>
      <c r="U22" s="6">
        <v>158</v>
      </c>
      <c r="V22" s="6">
        <v>3415</v>
      </c>
      <c r="W22" s="6">
        <v>542</v>
      </c>
      <c r="X22" s="6">
        <v>32664</v>
      </c>
      <c r="Y22" s="6">
        <v>238</v>
      </c>
      <c r="Z22" s="6">
        <v>39337</v>
      </c>
      <c r="AA22" s="6">
        <v>23357</v>
      </c>
      <c r="AB22" s="6">
        <v>9812</v>
      </c>
      <c r="AC22" s="6">
        <v>6166</v>
      </c>
      <c r="AD22" s="6">
        <v>288</v>
      </c>
      <c r="AE22" s="6">
        <v>206</v>
      </c>
      <c r="AF22" s="6">
        <v>65</v>
      </c>
      <c r="AG22" s="6">
        <v>13</v>
      </c>
      <c r="AH22" s="6">
        <v>6906</v>
      </c>
      <c r="AI22" s="6">
        <v>157</v>
      </c>
      <c r="AJ22" s="6">
        <v>648</v>
      </c>
      <c r="AK22" s="6">
        <v>641</v>
      </c>
      <c r="AL22" s="6">
        <v>3450</v>
      </c>
      <c r="AM22" s="6">
        <v>485</v>
      </c>
      <c r="AN22" s="6">
        <v>148</v>
      </c>
      <c r="AO22" s="6">
        <v>269</v>
      </c>
      <c r="AP22" s="6">
        <v>353</v>
      </c>
      <c r="AQ22" s="6">
        <v>753</v>
      </c>
      <c r="AR22" s="6">
        <v>17287</v>
      </c>
      <c r="AS22" s="6">
        <v>419</v>
      </c>
      <c r="AT22" s="6">
        <v>182</v>
      </c>
      <c r="AU22" s="6">
        <v>202</v>
      </c>
      <c r="AV22" s="6">
        <v>721</v>
      </c>
      <c r="AW22" s="6">
        <v>414</v>
      </c>
      <c r="AX22" s="6">
        <v>896</v>
      </c>
      <c r="AY22" s="6">
        <v>1062</v>
      </c>
      <c r="AZ22" s="6">
        <v>12413</v>
      </c>
      <c r="BA22" s="6">
        <v>978</v>
      </c>
      <c r="BB22" s="6">
        <v>12998</v>
      </c>
      <c r="BC22" s="6">
        <v>1292</v>
      </c>
      <c r="BD22" s="6">
        <v>1439</v>
      </c>
      <c r="BE22" s="6">
        <v>177</v>
      </c>
      <c r="BF22" s="6">
        <v>1609</v>
      </c>
      <c r="BG22" s="6">
        <v>1262</v>
      </c>
      <c r="BH22" s="6">
        <v>764</v>
      </c>
      <c r="BI22" s="6">
        <v>1638</v>
      </c>
      <c r="BJ22" s="6">
        <v>3836</v>
      </c>
      <c r="BK22" s="6">
        <v>984</v>
      </c>
      <c r="BL22" s="6">
        <v>4803</v>
      </c>
      <c r="BM22" s="6">
        <v>108</v>
      </c>
      <c r="BN22" s="6">
        <v>141</v>
      </c>
      <c r="BO22" s="6">
        <v>25</v>
      </c>
      <c r="BP22" s="6">
        <v>244</v>
      </c>
      <c r="BQ22" s="6">
        <v>43</v>
      </c>
      <c r="BR22" s="6">
        <v>1691</v>
      </c>
      <c r="BS22" s="6">
        <v>358</v>
      </c>
      <c r="BT22" s="6">
        <v>2186</v>
      </c>
      <c r="BU22" s="6">
        <v>19873</v>
      </c>
      <c r="BV22" s="6">
        <v>2696</v>
      </c>
      <c r="BW22" s="6">
        <v>151</v>
      </c>
      <c r="BX22" s="6">
        <v>0</v>
      </c>
      <c r="BY22" s="6">
        <v>9153</v>
      </c>
      <c r="BZ22" s="6">
        <v>7869</v>
      </c>
      <c r="CA22" s="6">
        <v>163753</v>
      </c>
    </row>
    <row r="23" spans="1:79">
      <c r="A23" s="6" t="s">
        <v>179</v>
      </c>
      <c r="B23" s="6">
        <v>17429</v>
      </c>
      <c r="C23" s="6">
        <v>928</v>
      </c>
      <c r="D23" s="6">
        <v>6624</v>
      </c>
      <c r="E23" s="6">
        <v>2435</v>
      </c>
      <c r="F23" s="6">
        <v>1110</v>
      </c>
      <c r="G23" s="6">
        <v>3362</v>
      </c>
      <c r="H23" s="6">
        <v>1285</v>
      </c>
      <c r="I23" s="6">
        <v>223</v>
      </c>
      <c r="J23" s="6">
        <v>256</v>
      </c>
      <c r="K23" s="6">
        <v>761</v>
      </c>
      <c r="L23" s="6">
        <v>444</v>
      </c>
      <c r="M23" s="6">
        <v>3247</v>
      </c>
      <c r="N23" s="6">
        <v>3101</v>
      </c>
      <c r="O23" s="6">
        <v>147</v>
      </c>
      <c r="P23" s="6">
        <v>42060</v>
      </c>
      <c r="Q23" s="6">
        <v>734</v>
      </c>
      <c r="R23" s="6">
        <v>150</v>
      </c>
      <c r="S23" s="6">
        <v>3</v>
      </c>
      <c r="T23" s="6">
        <v>1254</v>
      </c>
      <c r="U23" s="6">
        <v>227</v>
      </c>
      <c r="V23" s="6">
        <v>3339</v>
      </c>
      <c r="W23" s="6">
        <v>543</v>
      </c>
      <c r="X23" s="6">
        <v>35606</v>
      </c>
      <c r="Y23" s="6">
        <v>203</v>
      </c>
      <c r="Z23" s="6">
        <v>38268</v>
      </c>
      <c r="AA23" s="6">
        <v>20875</v>
      </c>
      <c r="AB23" s="6">
        <v>11211</v>
      </c>
      <c r="AC23" s="6">
        <v>6178</v>
      </c>
      <c r="AD23" s="6">
        <v>363</v>
      </c>
      <c r="AE23" s="6">
        <v>282</v>
      </c>
      <c r="AF23" s="6">
        <v>68</v>
      </c>
      <c r="AG23" s="6">
        <v>13</v>
      </c>
      <c r="AH23" s="6">
        <v>7902</v>
      </c>
      <c r="AI23" s="6">
        <v>160</v>
      </c>
      <c r="AJ23" s="6">
        <v>814</v>
      </c>
      <c r="AK23" s="6">
        <v>616</v>
      </c>
      <c r="AL23" s="6">
        <v>3948</v>
      </c>
      <c r="AM23" s="6">
        <v>531</v>
      </c>
      <c r="AN23" s="6">
        <v>259</v>
      </c>
      <c r="AO23" s="6">
        <v>373</v>
      </c>
      <c r="AP23" s="6">
        <v>349</v>
      </c>
      <c r="AQ23" s="6">
        <v>848</v>
      </c>
      <c r="AR23" s="6">
        <v>18580</v>
      </c>
      <c r="AS23" s="6">
        <v>381</v>
      </c>
      <c r="AT23" s="6">
        <v>243</v>
      </c>
      <c r="AU23" s="6">
        <v>167</v>
      </c>
      <c r="AV23" s="6">
        <v>709</v>
      </c>
      <c r="AW23" s="6">
        <v>410</v>
      </c>
      <c r="AX23" s="6">
        <v>768</v>
      </c>
      <c r="AY23" s="6">
        <v>1203</v>
      </c>
      <c r="AZ23" s="6">
        <v>13642</v>
      </c>
      <c r="BA23" s="6">
        <v>1056</v>
      </c>
      <c r="BB23" s="6">
        <v>13769</v>
      </c>
      <c r="BC23" s="6">
        <v>1169</v>
      </c>
      <c r="BD23" s="6">
        <v>1720</v>
      </c>
      <c r="BE23" s="6">
        <v>204</v>
      </c>
      <c r="BF23" s="6">
        <v>1665</v>
      </c>
      <c r="BG23" s="6">
        <v>1155</v>
      </c>
      <c r="BH23" s="6">
        <v>879</v>
      </c>
      <c r="BI23" s="6">
        <v>1847</v>
      </c>
      <c r="BJ23" s="6">
        <v>4095</v>
      </c>
      <c r="BK23" s="6">
        <v>1036</v>
      </c>
      <c r="BL23" s="6">
        <v>5063</v>
      </c>
      <c r="BM23" s="6">
        <v>137</v>
      </c>
      <c r="BN23" s="6">
        <v>110</v>
      </c>
      <c r="BO23" s="6">
        <v>30</v>
      </c>
      <c r="BP23" s="6">
        <v>241</v>
      </c>
      <c r="BQ23" s="6">
        <v>45</v>
      </c>
      <c r="BR23" s="6">
        <v>1811</v>
      </c>
      <c r="BS23" s="6">
        <v>321</v>
      </c>
      <c r="BT23" s="6">
        <v>2366</v>
      </c>
      <c r="BU23" s="6">
        <v>21708</v>
      </c>
      <c r="BV23" s="6">
        <v>1350</v>
      </c>
      <c r="BW23" s="6">
        <v>209</v>
      </c>
      <c r="BX23" s="6">
        <v>0</v>
      </c>
      <c r="BY23" s="6">
        <v>11361</v>
      </c>
      <c r="BZ23" s="6">
        <v>8790</v>
      </c>
      <c r="CA23" s="6">
        <v>168386</v>
      </c>
    </row>
    <row r="24" spans="1:79">
      <c r="A24" s="6" t="s">
        <v>180</v>
      </c>
      <c r="B24" s="6">
        <v>21813</v>
      </c>
      <c r="C24" s="6">
        <v>1119</v>
      </c>
      <c r="D24" s="6">
        <v>7197</v>
      </c>
      <c r="E24" s="6">
        <v>2655</v>
      </c>
      <c r="F24" s="6">
        <v>1106</v>
      </c>
      <c r="G24" s="6">
        <v>6098</v>
      </c>
      <c r="H24" s="6">
        <v>1407</v>
      </c>
      <c r="I24" s="6">
        <v>239</v>
      </c>
      <c r="J24" s="6">
        <v>269</v>
      </c>
      <c r="K24" s="6">
        <v>1119</v>
      </c>
      <c r="L24" s="6">
        <v>607</v>
      </c>
      <c r="M24" s="6">
        <v>2775</v>
      </c>
      <c r="N24" s="6">
        <v>2649</v>
      </c>
      <c r="O24" s="6">
        <v>125</v>
      </c>
      <c r="P24" s="6">
        <v>56259</v>
      </c>
      <c r="Q24" s="6">
        <v>720</v>
      </c>
      <c r="R24" s="6">
        <v>395</v>
      </c>
      <c r="S24" s="6">
        <v>11</v>
      </c>
      <c r="T24" s="6">
        <v>1374</v>
      </c>
      <c r="U24" s="6">
        <v>292</v>
      </c>
      <c r="V24" s="6">
        <v>2783</v>
      </c>
      <c r="W24" s="6">
        <v>400</v>
      </c>
      <c r="X24" s="6">
        <v>50045</v>
      </c>
      <c r="Y24" s="6">
        <v>243</v>
      </c>
      <c r="Z24" s="6">
        <v>71105</v>
      </c>
      <c r="AA24" s="6">
        <v>46868</v>
      </c>
      <c r="AB24" s="6">
        <v>13808</v>
      </c>
      <c r="AC24" s="6">
        <v>10432</v>
      </c>
      <c r="AD24" s="6">
        <v>572</v>
      </c>
      <c r="AE24" s="6">
        <v>392</v>
      </c>
      <c r="AF24" s="6">
        <v>167</v>
      </c>
      <c r="AG24" s="6">
        <v>13</v>
      </c>
      <c r="AH24" s="6">
        <v>8466</v>
      </c>
      <c r="AI24" s="6">
        <v>185</v>
      </c>
      <c r="AJ24" s="6">
        <v>768</v>
      </c>
      <c r="AK24" s="6">
        <v>584</v>
      </c>
      <c r="AL24" s="6">
        <v>3982</v>
      </c>
      <c r="AM24" s="6">
        <v>593</v>
      </c>
      <c r="AN24" s="6">
        <v>649</v>
      </c>
      <c r="AO24" s="6">
        <v>331</v>
      </c>
      <c r="AP24" s="6">
        <v>362</v>
      </c>
      <c r="AQ24" s="6">
        <v>1013</v>
      </c>
      <c r="AR24" s="6">
        <v>18017</v>
      </c>
      <c r="AS24" s="6">
        <v>325</v>
      </c>
      <c r="AT24" s="6">
        <v>276</v>
      </c>
      <c r="AU24" s="6">
        <v>163</v>
      </c>
      <c r="AV24" s="6">
        <v>717</v>
      </c>
      <c r="AW24" s="6">
        <v>379</v>
      </c>
      <c r="AX24" s="6">
        <v>814</v>
      </c>
      <c r="AY24" s="6">
        <v>1705</v>
      </c>
      <c r="AZ24" s="6">
        <v>12494</v>
      </c>
      <c r="BA24" s="6">
        <v>1140</v>
      </c>
      <c r="BB24" s="6">
        <v>15287</v>
      </c>
      <c r="BC24" s="6">
        <v>1057</v>
      </c>
      <c r="BD24" s="6">
        <v>1872</v>
      </c>
      <c r="BE24" s="6">
        <v>202</v>
      </c>
      <c r="BF24" s="6">
        <v>1827</v>
      </c>
      <c r="BG24" s="6">
        <v>1191</v>
      </c>
      <c r="BH24" s="6">
        <v>1034</v>
      </c>
      <c r="BI24" s="6">
        <v>1857</v>
      </c>
      <c r="BJ24" s="6">
        <v>4842</v>
      </c>
      <c r="BK24" s="6">
        <v>1401</v>
      </c>
      <c r="BL24" s="6">
        <v>5366</v>
      </c>
      <c r="BM24" s="6">
        <v>134</v>
      </c>
      <c r="BN24" s="6">
        <v>118</v>
      </c>
      <c r="BO24" s="6">
        <v>32</v>
      </c>
      <c r="BP24" s="6">
        <v>253</v>
      </c>
      <c r="BQ24" s="6">
        <v>51</v>
      </c>
      <c r="BR24" s="6">
        <v>2065</v>
      </c>
      <c r="BS24" s="6">
        <v>353</v>
      </c>
      <c r="BT24" s="6">
        <v>2366</v>
      </c>
      <c r="BU24" s="6">
        <v>22680</v>
      </c>
      <c r="BV24" s="6">
        <v>1362</v>
      </c>
      <c r="BW24" s="6">
        <v>415</v>
      </c>
      <c r="BX24" s="6">
        <v>0</v>
      </c>
      <c r="BY24" s="6">
        <v>14298</v>
      </c>
      <c r="BZ24" s="6">
        <v>6603</v>
      </c>
      <c r="CA24" s="6">
        <v>222341</v>
      </c>
    </row>
    <row r="25" spans="1:79">
      <c r="A25" s="6" t="s">
        <v>181</v>
      </c>
      <c r="B25" s="6">
        <v>21624</v>
      </c>
      <c r="C25" s="6">
        <v>1151</v>
      </c>
      <c r="D25" s="6">
        <v>6635</v>
      </c>
      <c r="E25" s="6">
        <v>2137</v>
      </c>
      <c r="F25" s="6">
        <v>1034</v>
      </c>
      <c r="G25" s="6">
        <v>6483</v>
      </c>
      <c r="H25" s="6">
        <v>1689</v>
      </c>
      <c r="I25" s="6">
        <v>272</v>
      </c>
      <c r="J25" s="6">
        <v>304</v>
      </c>
      <c r="K25" s="6">
        <v>1263</v>
      </c>
      <c r="L25" s="6">
        <v>655</v>
      </c>
      <c r="M25" s="6">
        <v>2590</v>
      </c>
      <c r="N25" s="6">
        <v>2462</v>
      </c>
      <c r="O25" s="6">
        <v>129</v>
      </c>
      <c r="P25" s="6">
        <v>51326</v>
      </c>
      <c r="Q25" s="6">
        <v>523</v>
      </c>
      <c r="R25" s="6">
        <v>765</v>
      </c>
      <c r="S25" s="6">
        <v>12</v>
      </c>
      <c r="T25" s="6">
        <v>1090</v>
      </c>
      <c r="U25" s="6">
        <v>210</v>
      </c>
      <c r="V25" s="6">
        <v>2426</v>
      </c>
      <c r="W25" s="6">
        <v>289</v>
      </c>
      <c r="X25" s="6">
        <v>45798</v>
      </c>
      <c r="Y25" s="6">
        <v>213</v>
      </c>
      <c r="Z25" s="6">
        <v>57835</v>
      </c>
      <c r="AA25" s="6">
        <v>39602</v>
      </c>
      <c r="AB25" s="6">
        <v>9600</v>
      </c>
      <c r="AC25" s="6">
        <v>8631</v>
      </c>
      <c r="AD25" s="6">
        <v>445</v>
      </c>
      <c r="AE25" s="6">
        <v>272</v>
      </c>
      <c r="AF25" s="6">
        <v>161</v>
      </c>
      <c r="AG25" s="6">
        <v>15</v>
      </c>
      <c r="AH25" s="6">
        <v>8092</v>
      </c>
      <c r="AI25" s="6">
        <v>154</v>
      </c>
      <c r="AJ25" s="6">
        <v>518</v>
      </c>
      <c r="AK25" s="6">
        <v>676</v>
      </c>
      <c r="AL25" s="6">
        <v>4071</v>
      </c>
      <c r="AM25" s="6">
        <v>602</v>
      </c>
      <c r="AN25" s="6">
        <v>405</v>
      </c>
      <c r="AO25" s="6">
        <v>253</v>
      </c>
      <c r="AP25" s="6">
        <v>419</v>
      </c>
      <c r="AQ25" s="6">
        <v>996</v>
      </c>
      <c r="AR25" s="6">
        <v>13721</v>
      </c>
      <c r="AS25" s="6">
        <v>249</v>
      </c>
      <c r="AT25" s="6">
        <v>203</v>
      </c>
      <c r="AU25" s="6">
        <v>156</v>
      </c>
      <c r="AV25" s="6">
        <v>657</v>
      </c>
      <c r="AW25" s="6">
        <v>308</v>
      </c>
      <c r="AX25" s="6">
        <v>831</v>
      </c>
      <c r="AY25" s="6">
        <v>860</v>
      </c>
      <c r="AZ25" s="6">
        <v>9388</v>
      </c>
      <c r="BA25" s="6">
        <v>1070</v>
      </c>
      <c r="BB25" s="6">
        <v>11902</v>
      </c>
      <c r="BC25" s="6">
        <v>785</v>
      </c>
      <c r="BD25" s="6">
        <v>1863</v>
      </c>
      <c r="BE25" s="6">
        <v>146</v>
      </c>
      <c r="BF25" s="6">
        <v>1764</v>
      </c>
      <c r="BG25" s="6">
        <v>1019</v>
      </c>
      <c r="BH25" s="6">
        <v>1006</v>
      </c>
      <c r="BI25" s="6">
        <v>1535</v>
      </c>
      <c r="BJ25" s="6">
        <v>2501</v>
      </c>
      <c r="BK25" s="6">
        <v>1285</v>
      </c>
      <c r="BL25" s="6">
        <v>5068</v>
      </c>
      <c r="BM25" s="6">
        <v>143</v>
      </c>
      <c r="BN25" s="6">
        <v>108</v>
      </c>
      <c r="BO25" s="6">
        <v>33</v>
      </c>
      <c r="BP25" s="6">
        <v>231</v>
      </c>
      <c r="BQ25" s="6">
        <v>43</v>
      </c>
      <c r="BR25" s="6">
        <v>2092</v>
      </c>
      <c r="BS25" s="6">
        <v>332</v>
      </c>
      <c r="BT25" s="6">
        <v>2086</v>
      </c>
      <c r="BU25" s="6">
        <v>23953</v>
      </c>
      <c r="BV25" s="6">
        <v>1944</v>
      </c>
      <c r="BW25" s="6">
        <v>551</v>
      </c>
      <c r="BX25" s="6">
        <v>0</v>
      </c>
      <c r="BY25" s="6">
        <v>15052</v>
      </c>
      <c r="BZ25" s="6">
        <v>6410</v>
      </c>
      <c r="CA25" s="6">
        <v>196556</v>
      </c>
    </row>
    <row r="26" spans="1:79">
      <c r="A26" s="6" t="s">
        <v>182</v>
      </c>
      <c r="B26" s="6">
        <v>20875</v>
      </c>
      <c r="C26" s="6">
        <v>1145</v>
      </c>
      <c r="D26" s="6">
        <v>6709</v>
      </c>
      <c r="E26" s="6">
        <v>2160</v>
      </c>
      <c r="F26" s="6">
        <v>1019</v>
      </c>
      <c r="G26" s="6">
        <v>5862</v>
      </c>
      <c r="H26" s="6">
        <v>1555</v>
      </c>
      <c r="I26" s="6">
        <v>337</v>
      </c>
      <c r="J26" s="6">
        <v>285</v>
      </c>
      <c r="K26" s="6">
        <v>1010</v>
      </c>
      <c r="L26" s="6">
        <v>798</v>
      </c>
      <c r="M26" s="6">
        <v>2419</v>
      </c>
      <c r="N26" s="6">
        <v>2292</v>
      </c>
      <c r="O26" s="6">
        <v>127</v>
      </c>
      <c r="P26" s="6">
        <v>75903</v>
      </c>
      <c r="Q26" s="6">
        <v>720</v>
      </c>
      <c r="R26" s="6">
        <v>584</v>
      </c>
      <c r="S26" s="6">
        <v>15</v>
      </c>
      <c r="T26" s="6">
        <v>1216</v>
      </c>
      <c r="U26" s="6">
        <v>264</v>
      </c>
      <c r="V26" s="6">
        <v>3318</v>
      </c>
      <c r="W26" s="6">
        <v>361</v>
      </c>
      <c r="X26" s="6">
        <v>69212</v>
      </c>
      <c r="Y26" s="6">
        <v>207</v>
      </c>
      <c r="Z26" s="6">
        <v>66589</v>
      </c>
      <c r="AA26" s="6">
        <v>43125</v>
      </c>
      <c r="AB26" s="6">
        <v>12957</v>
      </c>
      <c r="AC26" s="6">
        <v>10508</v>
      </c>
      <c r="AD26" s="6">
        <v>471</v>
      </c>
      <c r="AE26" s="6">
        <v>306</v>
      </c>
      <c r="AF26" s="6">
        <v>152</v>
      </c>
      <c r="AG26" s="6">
        <v>12</v>
      </c>
      <c r="AH26" s="6">
        <v>8081</v>
      </c>
      <c r="AI26" s="6">
        <v>183</v>
      </c>
      <c r="AJ26" s="6">
        <v>566</v>
      </c>
      <c r="AK26" s="6">
        <v>663</v>
      </c>
      <c r="AL26" s="6">
        <v>3998</v>
      </c>
      <c r="AM26" s="6">
        <v>653</v>
      </c>
      <c r="AN26" s="6">
        <v>326</v>
      </c>
      <c r="AO26" s="6">
        <v>347</v>
      </c>
      <c r="AP26" s="6">
        <v>346</v>
      </c>
      <c r="AQ26" s="6">
        <v>997</v>
      </c>
      <c r="AR26" s="6">
        <v>15255</v>
      </c>
      <c r="AS26" s="6">
        <v>276</v>
      </c>
      <c r="AT26" s="6">
        <v>187</v>
      </c>
      <c r="AU26" s="6">
        <v>151</v>
      </c>
      <c r="AV26" s="6">
        <v>796</v>
      </c>
      <c r="AW26" s="6">
        <v>265</v>
      </c>
      <c r="AX26" s="6">
        <v>728</v>
      </c>
      <c r="AY26" s="6">
        <v>1404</v>
      </c>
      <c r="AZ26" s="6">
        <v>10383</v>
      </c>
      <c r="BA26" s="6">
        <v>1060</v>
      </c>
      <c r="BB26" s="6">
        <v>12228</v>
      </c>
      <c r="BC26" s="6">
        <v>834</v>
      </c>
      <c r="BD26" s="6">
        <v>1903</v>
      </c>
      <c r="BE26" s="6">
        <v>136</v>
      </c>
      <c r="BF26" s="6">
        <v>1794</v>
      </c>
      <c r="BG26" s="6">
        <v>1182</v>
      </c>
      <c r="BH26" s="6">
        <v>933</v>
      </c>
      <c r="BI26" s="6">
        <v>1545</v>
      </c>
      <c r="BJ26" s="6">
        <v>2894</v>
      </c>
      <c r="BK26" s="6">
        <v>1008</v>
      </c>
      <c r="BL26" s="6">
        <v>4871</v>
      </c>
      <c r="BM26" s="6">
        <v>144</v>
      </c>
      <c r="BN26" s="6">
        <v>101</v>
      </c>
      <c r="BO26" s="6">
        <v>31</v>
      </c>
      <c r="BP26" s="6">
        <v>241</v>
      </c>
      <c r="BQ26" s="6">
        <v>42</v>
      </c>
      <c r="BR26" s="6">
        <v>1948</v>
      </c>
      <c r="BS26" s="6">
        <v>266</v>
      </c>
      <c r="BT26" s="6">
        <v>2100</v>
      </c>
      <c r="BU26" s="6">
        <v>24453</v>
      </c>
      <c r="BV26" s="6">
        <v>1577</v>
      </c>
      <c r="BW26" s="6">
        <v>569</v>
      </c>
      <c r="BX26" s="6">
        <v>0</v>
      </c>
      <c r="BY26" s="6">
        <v>14436</v>
      </c>
      <c r="BZ26" s="6">
        <v>7866</v>
      </c>
      <c r="CA26" s="6">
        <v>231143</v>
      </c>
    </row>
    <row r="27" spans="1:79">
      <c r="A27" s="6" t="s">
        <v>183</v>
      </c>
      <c r="B27" s="6">
        <v>24188</v>
      </c>
      <c r="C27" s="6">
        <v>1072</v>
      </c>
      <c r="D27" s="6">
        <v>7130</v>
      </c>
      <c r="E27" s="6">
        <v>2172</v>
      </c>
      <c r="F27" s="6">
        <v>1063</v>
      </c>
      <c r="G27" s="6">
        <v>8490</v>
      </c>
      <c r="H27" s="6">
        <v>1672</v>
      </c>
      <c r="I27" s="6">
        <v>330</v>
      </c>
      <c r="J27" s="6">
        <v>294</v>
      </c>
      <c r="K27" s="6">
        <v>1076</v>
      </c>
      <c r="L27" s="6">
        <v>890</v>
      </c>
      <c r="M27" s="6">
        <v>2210</v>
      </c>
      <c r="N27" s="6">
        <v>2088</v>
      </c>
      <c r="O27" s="6">
        <v>121</v>
      </c>
      <c r="P27" s="6">
        <v>95783</v>
      </c>
      <c r="Q27" s="6">
        <v>850</v>
      </c>
      <c r="R27" s="6">
        <v>1307</v>
      </c>
      <c r="S27" s="6">
        <v>17</v>
      </c>
      <c r="T27" s="6">
        <v>1092</v>
      </c>
      <c r="U27" s="6">
        <v>249</v>
      </c>
      <c r="V27" s="6">
        <v>5427</v>
      </c>
      <c r="W27" s="6">
        <v>415</v>
      </c>
      <c r="X27" s="6">
        <v>86221</v>
      </c>
      <c r="Y27" s="6">
        <v>202</v>
      </c>
      <c r="Z27" s="6">
        <v>73394</v>
      </c>
      <c r="AA27" s="6">
        <v>46948</v>
      </c>
      <c r="AB27" s="6">
        <v>14396</v>
      </c>
      <c r="AC27" s="6">
        <v>12047</v>
      </c>
      <c r="AD27" s="6">
        <v>601</v>
      </c>
      <c r="AE27" s="6">
        <v>413</v>
      </c>
      <c r="AF27" s="6">
        <v>174</v>
      </c>
      <c r="AG27" s="6">
        <v>12</v>
      </c>
      <c r="AH27" s="6">
        <v>7894</v>
      </c>
      <c r="AI27" s="6">
        <v>189</v>
      </c>
      <c r="AJ27" s="6">
        <v>586</v>
      </c>
      <c r="AK27" s="6">
        <v>775</v>
      </c>
      <c r="AL27" s="6">
        <v>3743</v>
      </c>
      <c r="AM27" s="6">
        <v>623</v>
      </c>
      <c r="AN27" s="6">
        <v>396</v>
      </c>
      <c r="AO27" s="6">
        <v>301</v>
      </c>
      <c r="AP27" s="6">
        <v>325</v>
      </c>
      <c r="AQ27" s="6">
        <v>960</v>
      </c>
      <c r="AR27" s="6">
        <v>15981</v>
      </c>
      <c r="AS27" s="6">
        <v>242</v>
      </c>
      <c r="AT27" s="6">
        <v>204</v>
      </c>
      <c r="AU27" s="6">
        <v>117</v>
      </c>
      <c r="AV27" s="6">
        <v>848</v>
      </c>
      <c r="AW27" s="6">
        <v>264</v>
      </c>
      <c r="AX27" s="6">
        <v>653</v>
      </c>
      <c r="AY27" s="6">
        <v>1234</v>
      </c>
      <c r="AZ27" s="6">
        <v>11376</v>
      </c>
      <c r="BA27" s="6">
        <v>1040</v>
      </c>
      <c r="BB27" s="6">
        <v>12586</v>
      </c>
      <c r="BC27" s="6">
        <v>961</v>
      </c>
      <c r="BD27" s="6">
        <v>1949</v>
      </c>
      <c r="BE27" s="6">
        <v>161</v>
      </c>
      <c r="BF27" s="6">
        <v>1835</v>
      </c>
      <c r="BG27" s="6">
        <v>1151</v>
      </c>
      <c r="BH27" s="6">
        <v>974</v>
      </c>
      <c r="BI27" s="6">
        <v>1557</v>
      </c>
      <c r="BJ27" s="6">
        <v>2541</v>
      </c>
      <c r="BK27" s="6">
        <v>1459</v>
      </c>
      <c r="BL27" s="6">
        <v>5182</v>
      </c>
      <c r="BM27" s="6">
        <v>118</v>
      </c>
      <c r="BN27" s="6">
        <v>98</v>
      </c>
      <c r="BO27" s="6">
        <v>31</v>
      </c>
      <c r="BP27" s="6">
        <v>250</v>
      </c>
      <c r="BQ27" s="6">
        <v>52</v>
      </c>
      <c r="BR27" s="6">
        <v>1939</v>
      </c>
      <c r="BS27" s="6">
        <v>260</v>
      </c>
      <c r="BT27" s="6">
        <v>2439</v>
      </c>
      <c r="BU27" s="6">
        <v>23886</v>
      </c>
      <c r="BV27" s="6">
        <v>1282</v>
      </c>
      <c r="BW27" s="6">
        <v>896</v>
      </c>
      <c r="BX27" s="6">
        <v>0</v>
      </c>
      <c r="BY27" s="6">
        <v>15075</v>
      </c>
      <c r="BZ27" s="6">
        <v>6626</v>
      </c>
      <c r="CA27" s="6">
        <v>261697</v>
      </c>
    </row>
    <row r="28" spans="1:79">
      <c r="A28" s="6" t="s">
        <v>184</v>
      </c>
      <c r="B28" s="6">
        <v>25264</v>
      </c>
      <c r="C28" s="6">
        <v>1049</v>
      </c>
      <c r="D28" s="6">
        <v>7201</v>
      </c>
      <c r="E28" s="6">
        <v>2170</v>
      </c>
      <c r="F28" s="6">
        <v>953</v>
      </c>
      <c r="G28" s="6">
        <v>9037</v>
      </c>
      <c r="H28" s="6">
        <v>2082</v>
      </c>
      <c r="I28" s="6">
        <v>295</v>
      </c>
      <c r="J28" s="6">
        <v>253</v>
      </c>
      <c r="K28" s="6">
        <v>1302</v>
      </c>
      <c r="L28" s="6">
        <v>914</v>
      </c>
      <c r="M28" s="6">
        <v>2152</v>
      </c>
      <c r="N28" s="6">
        <v>2070</v>
      </c>
      <c r="O28" s="6">
        <v>83</v>
      </c>
      <c r="P28" s="6">
        <v>86233</v>
      </c>
      <c r="Q28" s="6">
        <v>818</v>
      </c>
      <c r="R28" s="6">
        <v>1797</v>
      </c>
      <c r="S28" s="6">
        <v>22</v>
      </c>
      <c r="T28" s="6">
        <v>888</v>
      </c>
      <c r="U28" s="6">
        <v>236</v>
      </c>
      <c r="V28" s="6">
        <v>5214</v>
      </c>
      <c r="W28" s="6">
        <v>428</v>
      </c>
      <c r="X28" s="6">
        <v>76571</v>
      </c>
      <c r="Y28" s="6">
        <v>257</v>
      </c>
      <c r="Z28" s="6">
        <v>70344</v>
      </c>
      <c r="AA28" s="6">
        <v>41566</v>
      </c>
      <c r="AB28" s="6">
        <v>14286</v>
      </c>
      <c r="AC28" s="6">
        <v>14492</v>
      </c>
      <c r="AD28" s="6">
        <v>508</v>
      </c>
      <c r="AE28" s="6">
        <v>339</v>
      </c>
      <c r="AF28" s="6">
        <v>159</v>
      </c>
      <c r="AG28" s="6">
        <v>10</v>
      </c>
      <c r="AH28" s="6">
        <v>8421</v>
      </c>
      <c r="AI28" s="6">
        <v>223</v>
      </c>
      <c r="AJ28" s="6">
        <v>698</v>
      </c>
      <c r="AK28" s="6">
        <v>669</v>
      </c>
      <c r="AL28" s="6">
        <v>4321</v>
      </c>
      <c r="AM28" s="6">
        <v>625</v>
      </c>
      <c r="AN28" s="6">
        <v>309</v>
      </c>
      <c r="AO28" s="6">
        <v>329</v>
      </c>
      <c r="AP28" s="6">
        <v>313</v>
      </c>
      <c r="AQ28" s="6">
        <v>936</v>
      </c>
      <c r="AR28" s="6">
        <v>13824</v>
      </c>
      <c r="AS28" s="6">
        <v>196</v>
      </c>
      <c r="AT28" s="6">
        <v>210</v>
      </c>
      <c r="AU28" s="6">
        <v>95</v>
      </c>
      <c r="AV28" s="6">
        <v>802</v>
      </c>
      <c r="AW28" s="6">
        <v>247</v>
      </c>
      <c r="AX28" s="6">
        <v>610</v>
      </c>
      <c r="AY28" s="6">
        <v>710</v>
      </c>
      <c r="AZ28" s="6">
        <v>9879</v>
      </c>
      <c r="BA28" s="6">
        <v>1073</v>
      </c>
      <c r="BB28" s="6">
        <v>13303</v>
      </c>
      <c r="BC28" s="6">
        <v>843</v>
      </c>
      <c r="BD28" s="6">
        <v>2125</v>
      </c>
      <c r="BE28" s="6">
        <v>170</v>
      </c>
      <c r="BF28" s="6">
        <v>1890</v>
      </c>
      <c r="BG28" s="6">
        <v>1109</v>
      </c>
      <c r="BH28" s="6">
        <v>1008</v>
      </c>
      <c r="BI28" s="6">
        <v>1579</v>
      </c>
      <c r="BJ28" s="6">
        <v>3023</v>
      </c>
      <c r="BK28" s="6">
        <v>1558</v>
      </c>
      <c r="BL28" s="6">
        <v>4922</v>
      </c>
      <c r="BM28" s="6">
        <v>135</v>
      </c>
      <c r="BN28" s="6">
        <v>83</v>
      </c>
      <c r="BO28" s="6">
        <v>36</v>
      </c>
      <c r="BP28" s="6">
        <v>256</v>
      </c>
      <c r="BQ28" s="6">
        <v>49</v>
      </c>
      <c r="BR28" s="6">
        <v>1810</v>
      </c>
      <c r="BS28" s="6">
        <v>238</v>
      </c>
      <c r="BT28" s="6">
        <v>2312</v>
      </c>
      <c r="BU28" s="6">
        <v>22773</v>
      </c>
      <c r="BV28" s="6">
        <v>1034</v>
      </c>
      <c r="BW28" s="6">
        <v>732</v>
      </c>
      <c r="BX28" s="6">
        <v>0</v>
      </c>
      <c r="BY28" s="6">
        <v>15526</v>
      </c>
      <c r="BZ28" s="6">
        <v>5483</v>
      </c>
      <c r="CA28" s="6">
        <v>247749</v>
      </c>
    </row>
    <row r="29" spans="1:79">
      <c r="A29" s="6" t="s">
        <v>185</v>
      </c>
      <c r="B29" s="6">
        <v>27113</v>
      </c>
      <c r="C29" s="6">
        <v>1036</v>
      </c>
      <c r="D29" s="6">
        <v>8651</v>
      </c>
      <c r="E29" s="6">
        <v>2305</v>
      </c>
      <c r="F29" s="6">
        <v>1024</v>
      </c>
      <c r="G29" s="6">
        <v>9079</v>
      </c>
      <c r="H29" s="6">
        <v>2220</v>
      </c>
      <c r="I29" s="6">
        <v>287</v>
      </c>
      <c r="J29" s="6">
        <v>256</v>
      </c>
      <c r="K29" s="6">
        <v>1164</v>
      </c>
      <c r="L29" s="6">
        <v>1093</v>
      </c>
      <c r="M29" s="6">
        <v>2102</v>
      </c>
      <c r="N29" s="6">
        <v>2046</v>
      </c>
      <c r="O29" s="6">
        <v>56</v>
      </c>
      <c r="P29" s="6">
        <v>101759</v>
      </c>
      <c r="Q29" s="6">
        <v>1030</v>
      </c>
      <c r="R29" s="6">
        <v>2543</v>
      </c>
      <c r="S29" s="6">
        <v>19</v>
      </c>
      <c r="T29" s="6">
        <v>973</v>
      </c>
      <c r="U29" s="6">
        <v>231</v>
      </c>
      <c r="V29" s="6">
        <v>5287</v>
      </c>
      <c r="W29" s="6">
        <v>324</v>
      </c>
      <c r="X29" s="6">
        <v>91067</v>
      </c>
      <c r="Y29" s="6">
        <v>285</v>
      </c>
      <c r="Z29" s="6">
        <v>67513</v>
      </c>
      <c r="AA29" s="6">
        <v>40009</v>
      </c>
      <c r="AB29" s="6">
        <v>11783</v>
      </c>
      <c r="AC29" s="6">
        <v>15721</v>
      </c>
      <c r="AD29" s="6">
        <v>644</v>
      </c>
      <c r="AE29" s="6">
        <v>405</v>
      </c>
      <c r="AF29" s="6">
        <v>217</v>
      </c>
      <c r="AG29" s="6">
        <v>22</v>
      </c>
      <c r="AH29" s="6">
        <v>7790</v>
      </c>
      <c r="AI29" s="6">
        <v>168</v>
      </c>
      <c r="AJ29" s="6">
        <v>837</v>
      </c>
      <c r="AK29" s="6">
        <v>688</v>
      </c>
      <c r="AL29" s="6">
        <v>3563</v>
      </c>
      <c r="AM29" s="6">
        <v>689</v>
      </c>
      <c r="AN29" s="6">
        <v>207</v>
      </c>
      <c r="AO29" s="6">
        <v>292</v>
      </c>
      <c r="AP29" s="6">
        <v>327</v>
      </c>
      <c r="AQ29" s="6">
        <v>1017</v>
      </c>
      <c r="AR29" s="6">
        <v>14476</v>
      </c>
      <c r="AS29" s="6">
        <v>217</v>
      </c>
      <c r="AT29" s="6">
        <v>200</v>
      </c>
      <c r="AU29" s="6">
        <v>75</v>
      </c>
      <c r="AV29" s="6">
        <v>935</v>
      </c>
      <c r="AW29" s="6">
        <v>233</v>
      </c>
      <c r="AX29" s="6">
        <v>825</v>
      </c>
      <c r="AY29" s="6">
        <v>692</v>
      </c>
      <c r="AZ29" s="6">
        <v>10227</v>
      </c>
      <c r="BA29" s="6">
        <v>1068</v>
      </c>
      <c r="BB29" s="6">
        <v>13615</v>
      </c>
      <c r="BC29" s="6">
        <v>899</v>
      </c>
      <c r="BD29" s="6">
        <v>1980</v>
      </c>
      <c r="BE29" s="6">
        <v>163</v>
      </c>
      <c r="BF29" s="6">
        <v>1903</v>
      </c>
      <c r="BG29" s="6">
        <v>1267</v>
      </c>
      <c r="BH29" s="6">
        <v>1135</v>
      </c>
      <c r="BI29" s="6">
        <v>1482</v>
      </c>
      <c r="BJ29" s="6">
        <v>3067</v>
      </c>
      <c r="BK29" s="6">
        <v>1724</v>
      </c>
      <c r="BL29" s="6">
        <v>5037</v>
      </c>
      <c r="BM29" s="6">
        <v>167</v>
      </c>
      <c r="BN29" s="6">
        <v>86</v>
      </c>
      <c r="BO29" s="6">
        <v>39</v>
      </c>
      <c r="BP29" s="6">
        <v>238</v>
      </c>
      <c r="BQ29" s="6">
        <v>57</v>
      </c>
      <c r="BR29" s="6">
        <v>1873</v>
      </c>
      <c r="BS29" s="6">
        <v>246</v>
      </c>
      <c r="BT29" s="6">
        <v>2331</v>
      </c>
      <c r="BU29" s="6">
        <v>21908</v>
      </c>
      <c r="BV29" s="6">
        <v>1145</v>
      </c>
      <c r="BW29" s="6">
        <v>1042</v>
      </c>
      <c r="BX29" s="6">
        <v>0</v>
      </c>
      <c r="BY29" s="6">
        <v>13898</v>
      </c>
      <c r="BZ29" s="6">
        <v>5822</v>
      </c>
      <c r="CA29" s="6">
        <v>261958</v>
      </c>
    </row>
    <row r="30" spans="1:79">
      <c r="A30" s="6" t="s">
        <v>186</v>
      </c>
      <c r="B30" s="6">
        <v>31103</v>
      </c>
      <c r="C30" s="6">
        <v>1617</v>
      </c>
      <c r="D30" s="6">
        <v>11574</v>
      </c>
      <c r="E30" s="6">
        <v>2560</v>
      </c>
      <c r="F30" s="6">
        <v>1210</v>
      </c>
      <c r="G30" s="6">
        <v>8975</v>
      </c>
      <c r="H30" s="6">
        <v>2363</v>
      </c>
      <c r="I30" s="6">
        <v>244</v>
      </c>
      <c r="J30" s="6">
        <v>296</v>
      </c>
      <c r="K30" s="6">
        <v>1162</v>
      </c>
      <c r="L30" s="6">
        <v>1105</v>
      </c>
      <c r="M30" s="6">
        <v>2151</v>
      </c>
      <c r="N30" s="6">
        <v>2086</v>
      </c>
      <c r="O30" s="6">
        <v>64</v>
      </c>
      <c r="P30" s="6">
        <v>97436</v>
      </c>
      <c r="Q30" s="6">
        <v>1027</v>
      </c>
      <c r="R30" s="6">
        <v>1627</v>
      </c>
      <c r="S30" s="6">
        <v>14</v>
      </c>
      <c r="T30" s="6">
        <v>1260</v>
      </c>
      <c r="U30" s="6">
        <v>235</v>
      </c>
      <c r="V30" s="6">
        <v>4500</v>
      </c>
      <c r="W30" s="6">
        <v>437</v>
      </c>
      <c r="X30" s="6">
        <v>88010</v>
      </c>
      <c r="Y30" s="6">
        <v>327</v>
      </c>
      <c r="Z30" s="6">
        <v>70511</v>
      </c>
      <c r="AA30" s="6">
        <v>38193</v>
      </c>
      <c r="AB30" s="6">
        <v>13401</v>
      </c>
      <c r="AC30" s="6">
        <v>18917</v>
      </c>
      <c r="AD30" s="6">
        <v>648</v>
      </c>
      <c r="AE30" s="6">
        <v>422</v>
      </c>
      <c r="AF30" s="6">
        <v>209</v>
      </c>
      <c r="AG30" s="6">
        <v>19</v>
      </c>
      <c r="AH30" s="6">
        <v>7342</v>
      </c>
      <c r="AI30" s="6">
        <v>168</v>
      </c>
      <c r="AJ30" s="6">
        <v>800</v>
      </c>
      <c r="AK30" s="6">
        <v>779</v>
      </c>
      <c r="AL30" s="6">
        <v>2923</v>
      </c>
      <c r="AM30" s="6">
        <v>719</v>
      </c>
      <c r="AN30" s="6">
        <v>242</v>
      </c>
      <c r="AO30" s="6">
        <v>331</v>
      </c>
      <c r="AP30" s="6">
        <v>345</v>
      </c>
      <c r="AQ30" s="6">
        <v>1029</v>
      </c>
      <c r="AR30" s="6">
        <v>15366</v>
      </c>
      <c r="AS30" s="6">
        <v>241</v>
      </c>
      <c r="AT30" s="6">
        <v>208</v>
      </c>
      <c r="AU30" s="6">
        <v>101</v>
      </c>
      <c r="AV30" s="6">
        <v>985</v>
      </c>
      <c r="AW30" s="6">
        <v>238</v>
      </c>
      <c r="AX30" s="6">
        <v>930</v>
      </c>
      <c r="AY30" s="6">
        <v>676</v>
      </c>
      <c r="AZ30" s="6">
        <v>10909</v>
      </c>
      <c r="BA30" s="6">
        <v>1078</v>
      </c>
      <c r="BB30" s="6">
        <v>14709</v>
      </c>
      <c r="BC30" s="6">
        <v>915</v>
      </c>
      <c r="BD30" s="6">
        <v>1988</v>
      </c>
      <c r="BE30" s="6">
        <v>189</v>
      </c>
      <c r="BF30" s="6">
        <v>1978</v>
      </c>
      <c r="BG30" s="6">
        <v>1531</v>
      </c>
      <c r="BH30" s="6">
        <v>1347</v>
      </c>
      <c r="BI30" s="6">
        <v>1544</v>
      </c>
      <c r="BJ30" s="6">
        <v>2996</v>
      </c>
      <c r="BK30" s="6">
        <v>2225</v>
      </c>
      <c r="BL30" s="6">
        <v>5389</v>
      </c>
      <c r="BM30" s="6">
        <v>146</v>
      </c>
      <c r="BN30" s="6">
        <v>100</v>
      </c>
      <c r="BO30" s="6">
        <v>44</v>
      </c>
      <c r="BP30" s="6">
        <v>247</v>
      </c>
      <c r="BQ30" s="6">
        <v>68</v>
      </c>
      <c r="BR30" s="6">
        <v>2127</v>
      </c>
      <c r="BS30" s="6">
        <v>286</v>
      </c>
      <c r="BT30" s="6">
        <v>2372</v>
      </c>
      <c r="BU30" s="6">
        <v>21271</v>
      </c>
      <c r="BV30" s="6">
        <v>1292</v>
      </c>
      <c r="BW30" s="6">
        <v>710</v>
      </c>
      <c r="BX30" s="6">
        <v>1</v>
      </c>
      <c r="BY30" s="6">
        <v>13459</v>
      </c>
      <c r="BZ30" s="6">
        <v>5807</v>
      </c>
      <c r="CA30" s="6">
        <v>265923</v>
      </c>
    </row>
    <row r="31" spans="1:79">
      <c r="A31" s="6" t="s">
        <v>187</v>
      </c>
      <c r="B31" s="6">
        <v>35650</v>
      </c>
      <c r="C31" s="6">
        <v>1897</v>
      </c>
      <c r="D31" s="6">
        <v>13138</v>
      </c>
      <c r="E31" s="6">
        <v>2388</v>
      </c>
      <c r="F31" s="6">
        <v>1396</v>
      </c>
      <c r="G31" s="6">
        <v>9339</v>
      </c>
      <c r="H31" s="6">
        <v>3894</v>
      </c>
      <c r="I31" s="6">
        <v>281</v>
      </c>
      <c r="J31" s="6">
        <v>328</v>
      </c>
      <c r="K31" s="6">
        <v>1208</v>
      </c>
      <c r="L31" s="6">
        <v>1779</v>
      </c>
      <c r="M31" s="6">
        <v>2522</v>
      </c>
      <c r="N31" s="6">
        <v>2455</v>
      </c>
      <c r="O31" s="6">
        <v>66</v>
      </c>
      <c r="P31" s="6">
        <v>81539</v>
      </c>
      <c r="Q31" s="6">
        <v>1023</v>
      </c>
      <c r="R31" s="6">
        <v>1606</v>
      </c>
      <c r="S31" s="6">
        <v>11</v>
      </c>
      <c r="T31" s="6">
        <v>1553</v>
      </c>
      <c r="U31" s="6">
        <v>254</v>
      </c>
      <c r="V31" s="6">
        <v>4071</v>
      </c>
      <c r="W31" s="6">
        <v>594</v>
      </c>
      <c r="X31" s="6">
        <v>71950</v>
      </c>
      <c r="Y31" s="6">
        <v>481</v>
      </c>
      <c r="Z31" s="6">
        <v>62248</v>
      </c>
      <c r="AA31" s="6">
        <v>37110</v>
      </c>
      <c r="AB31" s="6">
        <v>8085</v>
      </c>
      <c r="AC31" s="6">
        <v>17054</v>
      </c>
      <c r="AD31" s="6">
        <v>655</v>
      </c>
      <c r="AE31" s="6">
        <v>393</v>
      </c>
      <c r="AF31" s="6">
        <v>236</v>
      </c>
      <c r="AG31" s="6">
        <v>25</v>
      </c>
      <c r="AH31" s="6">
        <v>7334</v>
      </c>
      <c r="AI31" s="6">
        <v>207</v>
      </c>
      <c r="AJ31" s="6">
        <v>832</v>
      </c>
      <c r="AK31" s="6">
        <v>845</v>
      </c>
      <c r="AL31" s="6">
        <v>2473</v>
      </c>
      <c r="AM31" s="6">
        <v>823</v>
      </c>
      <c r="AN31" s="6">
        <v>363</v>
      </c>
      <c r="AO31" s="6">
        <v>364</v>
      </c>
      <c r="AP31" s="6">
        <v>376</v>
      </c>
      <c r="AQ31" s="6">
        <v>1049</v>
      </c>
      <c r="AR31" s="6">
        <v>14714</v>
      </c>
      <c r="AS31" s="6">
        <v>252</v>
      </c>
      <c r="AT31" s="6">
        <v>242</v>
      </c>
      <c r="AU31" s="6">
        <v>103</v>
      </c>
      <c r="AV31" s="6">
        <v>1003</v>
      </c>
      <c r="AW31" s="6">
        <v>282</v>
      </c>
      <c r="AX31" s="6">
        <v>1080</v>
      </c>
      <c r="AY31" s="6">
        <v>680</v>
      </c>
      <c r="AZ31" s="6">
        <v>10002</v>
      </c>
      <c r="BA31" s="6">
        <v>1072</v>
      </c>
      <c r="BB31" s="6">
        <v>16038</v>
      </c>
      <c r="BC31" s="6">
        <v>998</v>
      </c>
      <c r="BD31" s="6">
        <v>1938</v>
      </c>
      <c r="BE31" s="6">
        <v>160</v>
      </c>
      <c r="BF31" s="6">
        <v>2163</v>
      </c>
      <c r="BG31" s="6">
        <v>1756</v>
      </c>
      <c r="BH31" s="6">
        <v>1704</v>
      </c>
      <c r="BI31" s="6">
        <v>1646</v>
      </c>
      <c r="BJ31" s="6">
        <v>3339</v>
      </c>
      <c r="BK31" s="6">
        <v>2331</v>
      </c>
      <c r="BL31" s="6">
        <v>6302</v>
      </c>
      <c r="BM31" s="6">
        <v>184</v>
      </c>
      <c r="BN31" s="6">
        <v>128</v>
      </c>
      <c r="BO31" s="6">
        <v>45</v>
      </c>
      <c r="BP31" s="6">
        <v>303</v>
      </c>
      <c r="BQ31" s="6">
        <v>82</v>
      </c>
      <c r="BR31" s="6">
        <v>2433</v>
      </c>
      <c r="BS31" s="6">
        <v>390</v>
      </c>
      <c r="BT31" s="6">
        <v>2736</v>
      </c>
      <c r="BU31" s="6">
        <v>22613</v>
      </c>
      <c r="BV31" s="6">
        <v>1302</v>
      </c>
      <c r="BW31" s="6">
        <v>838</v>
      </c>
      <c r="BX31" s="6">
        <v>5</v>
      </c>
      <c r="BY31" s="6">
        <v>14504</v>
      </c>
      <c r="BZ31" s="6">
        <v>5963</v>
      </c>
      <c r="CA31" s="6">
        <v>249613</v>
      </c>
    </row>
    <row r="32" spans="1:79">
      <c r="A32" s="6" t="s">
        <v>188</v>
      </c>
      <c r="B32" s="6">
        <v>32621</v>
      </c>
      <c r="C32" s="6">
        <v>1874</v>
      </c>
      <c r="D32" s="6">
        <v>11088</v>
      </c>
      <c r="E32" s="6">
        <v>2208</v>
      </c>
      <c r="F32" s="6">
        <v>1379</v>
      </c>
      <c r="G32" s="6">
        <v>7580</v>
      </c>
      <c r="H32" s="6">
        <v>4153</v>
      </c>
      <c r="I32" s="6">
        <v>319</v>
      </c>
      <c r="J32" s="6">
        <v>363</v>
      </c>
      <c r="K32" s="6">
        <v>1174</v>
      </c>
      <c r="L32" s="6">
        <v>2478</v>
      </c>
      <c r="M32" s="6">
        <v>2679</v>
      </c>
      <c r="N32" s="6">
        <v>2610</v>
      </c>
      <c r="O32" s="6">
        <v>68</v>
      </c>
      <c r="P32" s="6">
        <v>83621</v>
      </c>
      <c r="Q32" s="6">
        <v>827</v>
      </c>
      <c r="R32" s="6">
        <v>1415</v>
      </c>
      <c r="S32" s="6">
        <v>7</v>
      </c>
      <c r="T32" s="6">
        <v>1769</v>
      </c>
      <c r="U32" s="6">
        <v>242</v>
      </c>
      <c r="V32" s="6">
        <v>4722</v>
      </c>
      <c r="W32" s="6">
        <v>665</v>
      </c>
      <c r="X32" s="6">
        <v>73494</v>
      </c>
      <c r="Y32" s="6">
        <v>476</v>
      </c>
      <c r="Z32" s="6">
        <v>67702</v>
      </c>
      <c r="AA32" s="6">
        <v>42273</v>
      </c>
      <c r="AB32" s="6">
        <v>6946</v>
      </c>
      <c r="AC32" s="6">
        <v>18480</v>
      </c>
      <c r="AD32" s="6">
        <v>675</v>
      </c>
      <c r="AE32" s="6">
        <v>422</v>
      </c>
      <c r="AF32" s="6">
        <v>217</v>
      </c>
      <c r="AG32" s="6">
        <v>37</v>
      </c>
      <c r="AH32" s="6">
        <v>8367</v>
      </c>
      <c r="AI32" s="6">
        <v>227</v>
      </c>
      <c r="AJ32" s="6">
        <v>657</v>
      </c>
      <c r="AK32" s="6">
        <v>847</v>
      </c>
      <c r="AL32" s="6">
        <v>3486</v>
      </c>
      <c r="AM32" s="6">
        <v>985</v>
      </c>
      <c r="AN32" s="6">
        <v>369</v>
      </c>
      <c r="AO32" s="6">
        <v>315</v>
      </c>
      <c r="AP32" s="6">
        <v>418</v>
      </c>
      <c r="AQ32" s="6">
        <v>1065</v>
      </c>
      <c r="AR32" s="6">
        <v>13406</v>
      </c>
      <c r="AS32" s="6">
        <v>184</v>
      </c>
      <c r="AT32" s="6">
        <v>246</v>
      </c>
      <c r="AU32" s="6">
        <v>111</v>
      </c>
      <c r="AV32" s="6">
        <v>984</v>
      </c>
      <c r="AW32" s="6">
        <v>268</v>
      </c>
      <c r="AX32" s="6">
        <v>1060</v>
      </c>
      <c r="AY32" s="6">
        <v>602</v>
      </c>
      <c r="AZ32" s="6">
        <v>8842</v>
      </c>
      <c r="BA32" s="6">
        <v>1107</v>
      </c>
      <c r="BB32" s="6">
        <v>15387</v>
      </c>
      <c r="BC32" s="6">
        <v>872</v>
      </c>
      <c r="BD32" s="6">
        <v>1872</v>
      </c>
      <c r="BE32" s="6">
        <v>161</v>
      </c>
      <c r="BF32" s="6">
        <v>2269</v>
      </c>
      <c r="BG32" s="6">
        <v>1542</v>
      </c>
      <c r="BH32" s="6">
        <v>1752</v>
      </c>
      <c r="BI32" s="6">
        <v>1691</v>
      </c>
      <c r="BJ32" s="6">
        <v>2940</v>
      </c>
      <c r="BK32" s="6">
        <v>2290</v>
      </c>
      <c r="BL32" s="6">
        <v>6558</v>
      </c>
      <c r="BM32" s="6">
        <v>136</v>
      </c>
      <c r="BN32" s="6">
        <v>133</v>
      </c>
      <c r="BO32" s="6">
        <v>64</v>
      </c>
      <c r="BP32" s="6">
        <v>328</v>
      </c>
      <c r="BQ32" s="6">
        <v>92</v>
      </c>
      <c r="BR32" s="6">
        <v>2532</v>
      </c>
      <c r="BS32" s="6">
        <v>409</v>
      </c>
      <c r="BT32" s="6">
        <v>2862</v>
      </c>
      <c r="BU32" s="6">
        <v>27452</v>
      </c>
      <c r="BV32" s="6">
        <v>1563</v>
      </c>
      <c r="BW32" s="6">
        <v>989</v>
      </c>
      <c r="BX32" s="6">
        <v>1</v>
      </c>
      <c r="BY32" s="6">
        <v>18857</v>
      </c>
      <c r="BZ32" s="6">
        <v>6043</v>
      </c>
      <c r="CA32" s="6">
        <v>258469</v>
      </c>
    </row>
    <row r="33" spans="1:79">
      <c r="A33" s="6" t="s">
        <v>189</v>
      </c>
      <c r="B33" s="6">
        <v>36596</v>
      </c>
      <c r="C33" s="6">
        <v>1618</v>
      </c>
      <c r="D33" s="6">
        <v>11834</v>
      </c>
      <c r="E33" s="6">
        <v>2345</v>
      </c>
      <c r="F33" s="6">
        <v>1424</v>
      </c>
      <c r="G33" s="6">
        <v>9336</v>
      </c>
      <c r="H33" s="6">
        <v>5099</v>
      </c>
      <c r="I33" s="6">
        <v>330</v>
      </c>
      <c r="J33" s="6">
        <v>369</v>
      </c>
      <c r="K33" s="6">
        <v>1230</v>
      </c>
      <c r="L33" s="6">
        <v>3011</v>
      </c>
      <c r="M33" s="6">
        <v>3031</v>
      </c>
      <c r="N33" s="6">
        <v>2962</v>
      </c>
      <c r="O33" s="6">
        <v>67</v>
      </c>
      <c r="P33" s="6">
        <v>99473</v>
      </c>
      <c r="Q33" s="6">
        <v>808</v>
      </c>
      <c r="R33" s="6">
        <v>1906</v>
      </c>
      <c r="S33" s="6">
        <v>0</v>
      </c>
      <c r="T33" s="6">
        <v>1975</v>
      </c>
      <c r="U33" s="6">
        <v>277</v>
      </c>
      <c r="V33" s="6">
        <v>5852</v>
      </c>
      <c r="W33" s="6">
        <v>1575</v>
      </c>
      <c r="X33" s="6">
        <v>86583</v>
      </c>
      <c r="Y33" s="6">
        <v>496</v>
      </c>
      <c r="Z33" s="6">
        <v>91149</v>
      </c>
      <c r="AA33" s="6">
        <v>57133</v>
      </c>
      <c r="AB33" s="6">
        <v>7662</v>
      </c>
      <c r="AC33" s="6">
        <v>26355</v>
      </c>
      <c r="AD33" s="6">
        <v>680</v>
      </c>
      <c r="AE33" s="6">
        <v>390</v>
      </c>
      <c r="AF33" s="6">
        <v>241</v>
      </c>
      <c r="AG33" s="6">
        <v>49</v>
      </c>
      <c r="AH33" s="6">
        <v>8643</v>
      </c>
      <c r="AI33" s="6">
        <v>199</v>
      </c>
      <c r="AJ33" s="6">
        <v>702</v>
      </c>
      <c r="AK33" s="6">
        <v>959</v>
      </c>
      <c r="AL33" s="6">
        <v>3478</v>
      </c>
      <c r="AM33" s="6">
        <v>1180</v>
      </c>
      <c r="AN33" s="6">
        <v>265</v>
      </c>
      <c r="AO33" s="6">
        <v>339</v>
      </c>
      <c r="AP33" s="6">
        <v>443</v>
      </c>
      <c r="AQ33" s="6">
        <v>1072</v>
      </c>
      <c r="AR33" s="6">
        <v>14749</v>
      </c>
      <c r="AS33" s="6">
        <v>166</v>
      </c>
      <c r="AT33" s="6">
        <v>294</v>
      </c>
      <c r="AU33" s="6">
        <v>115</v>
      </c>
      <c r="AV33" s="6">
        <v>1013</v>
      </c>
      <c r="AW33" s="6">
        <v>274</v>
      </c>
      <c r="AX33" s="6">
        <v>902</v>
      </c>
      <c r="AY33" s="6">
        <v>917</v>
      </c>
      <c r="AZ33" s="6">
        <v>9957</v>
      </c>
      <c r="BA33" s="6">
        <v>1114</v>
      </c>
      <c r="BB33" s="6">
        <v>14638</v>
      </c>
      <c r="BC33" s="6">
        <v>742</v>
      </c>
      <c r="BD33" s="6">
        <v>1886</v>
      </c>
      <c r="BE33" s="6">
        <v>188</v>
      </c>
      <c r="BF33" s="6">
        <v>2191</v>
      </c>
      <c r="BG33" s="6">
        <v>1226</v>
      </c>
      <c r="BH33" s="6">
        <v>2012</v>
      </c>
      <c r="BI33" s="6">
        <v>1847</v>
      </c>
      <c r="BJ33" s="6">
        <v>2264</v>
      </c>
      <c r="BK33" s="6">
        <v>2283</v>
      </c>
      <c r="BL33" s="6">
        <v>6857</v>
      </c>
      <c r="BM33" s="6">
        <v>144</v>
      </c>
      <c r="BN33" s="6">
        <v>141</v>
      </c>
      <c r="BO33" s="6">
        <v>70</v>
      </c>
      <c r="BP33" s="6">
        <v>328</v>
      </c>
      <c r="BQ33" s="6">
        <v>115</v>
      </c>
      <c r="BR33" s="6">
        <v>2619</v>
      </c>
      <c r="BS33" s="6">
        <v>427</v>
      </c>
      <c r="BT33" s="6">
        <v>3017</v>
      </c>
      <c r="BU33" s="6">
        <v>25523</v>
      </c>
      <c r="BV33" s="6">
        <v>1474</v>
      </c>
      <c r="BW33" s="6">
        <v>677</v>
      </c>
      <c r="BX33" s="6">
        <v>1</v>
      </c>
      <c r="BY33" s="6">
        <v>17620</v>
      </c>
      <c r="BZ33" s="6">
        <v>5749</v>
      </c>
      <c r="CA33" s="6">
        <v>301334</v>
      </c>
    </row>
    <row r="34" spans="1:79">
      <c r="A34" s="6" t="s">
        <v>190</v>
      </c>
      <c r="B34" s="6">
        <v>35271</v>
      </c>
      <c r="C34" s="6">
        <v>1825</v>
      </c>
      <c r="D34" s="6">
        <v>13605</v>
      </c>
      <c r="E34" s="6">
        <v>2481</v>
      </c>
      <c r="F34" s="6">
        <v>1469</v>
      </c>
      <c r="G34" s="6">
        <v>7326</v>
      </c>
      <c r="H34" s="6">
        <v>3567</v>
      </c>
      <c r="I34" s="6">
        <v>300</v>
      </c>
      <c r="J34" s="6">
        <v>393</v>
      </c>
      <c r="K34" s="6">
        <v>1359</v>
      </c>
      <c r="L34" s="6">
        <v>2946</v>
      </c>
      <c r="M34" s="6">
        <v>3377</v>
      </c>
      <c r="N34" s="6">
        <v>3318</v>
      </c>
      <c r="O34" s="6">
        <v>59</v>
      </c>
      <c r="P34" s="6">
        <v>106879</v>
      </c>
      <c r="Q34" s="6">
        <v>731</v>
      </c>
      <c r="R34" s="6">
        <v>1398</v>
      </c>
      <c r="S34" s="6">
        <v>15</v>
      </c>
      <c r="T34" s="6">
        <v>2218</v>
      </c>
      <c r="U34" s="6">
        <v>238</v>
      </c>
      <c r="V34" s="6">
        <v>6474</v>
      </c>
      <c r="W34" s="6">
        <v>2110</v>
      </c>
      <c r="X34" s="6">
        <v>93112</v>
      </c>
      <c r="Y34" s="6">
        <v>584</v>
      </c>
      <c r="Z34" s="6">
        <v>122269</v>
      </c>
      <c r="AA34" s="6">
        <v>66848</v>
      </c>
      <c r="AB34" s="6">
        <v>11191</v>
      </c>
      <c r="AC34" s="6">
        <v>44229</v>
      </c>
      <c r="AD34" s="6">
        <v>663</v>
      </c>
      <c r="AE34" s="6">
        <v>368</v>
      </c>
      <c r="AF34" s="6">
        <v>240</v>
      </c>
      <c r="AG34" s="6">
        <v>55</v>
      </c>
      <c r="AH34" s="6">
        <v>10510</v>
      </c>
      <c r="AI34" s="6">
        <v>201</v>
      </c>
      <c r="AJ34" s="6">
        <v>937</v>
      </c>
      <c r="AK34" s="6">
        <v>1029</v>
      </c>
      <c r="AL34" s="6">
        <v>4750</v>
      </c>
      <c r="AM34" s="6">
        <v>1346</v>
      </c>
      <c r="AN34" s="6">
        <v>320</v>
      </c>
      <c r="AO34" s="6">
        <v>298</v>
      </c>
      <c r="AP34" s="6">
        <v>443</v>
      </c>
      <c r="AQ34" s="6">
        <v>1185</v>
      </c>
      <c r="AR34" s="6">
        <v>17031</v>
      </c>
      <c r="AS34" s="6">
        <v>166</v>
      </c>
      <c r="AT34" s="6">
        <v>307</v>
      </c>
      <c r="AU34" s="6">
        <v>97</v>
      </c>
      <c r="AV34" s="6">
        <v>1145</v>
      </c>
      <c r="AW34" s="6">
        <v>273</v>
      </c>
      <c r="AX34" s="6">
        <v>927</v>
      </c>
      <c r="AY34" s="6">
        <v>1029</v>
      </c>
      <c r="AZ34" s="6">
        <v>11823</v>
      </c>
      <c r="BA34" s="6">
        <v>1265</v>
      </c>
      <c r="BB34" s="6">
        <v>15352</v>
      </c>
      <c r="BC34" s="6">
        <v>939</v>
      </c>
      <c r="BD34" s="6">
        <v>1833</v>
      </c>
      <c r="BE34" s="6">
        <v>275</v>
      </c>
      <c r="BF34" s="6">
        <v>2296</v>
      </c>
      <c r="BG34" s="6">
        <v>1284</v>
      </c>
      <c r="BH34" s="6">
        <v>2008</v>
      </c>
      <c r="BI34" s="6">
        <v>2078</v>
      </c>
      <c r="BJ34" s="6">
        <v>1693</v>
      </c>
      <c r="BK34" s="6">
        <v>2945</v>
      </c>
      <c r="BL34" s="6">
        <v>7288</v>
      </c>
      <c r="BM34" s="6">
        <v>162</v>
      </c>
      <c r="BN34" s="6">
        <v>152</v>
      </c>
      <c r="BO34" s="6">
        <v>80</v>
      </c>
      <c r="BP34" s="6">
        <v>336</v>
      </c>
      <c r="BQ34" s="6">
        <v>124</v>
      </c>
      <c r="BR34" s="6">
        <v>2765</v>
      </c>
      <c r="BS34" s="6">
        <v>440</v>
      </c>
      <c r="BT34" s="6">
        <v>3231</v>
      </c>
      <c r="BU34" s="6">
        <v>25975</v>
      </c>
      <c r="BV34" s="6">
        <v>1371</v>
      </c>
      <c r="BW34" s="6">
        <v>814</v>
      </c>
      <c r="BX34" s="6">
        <v>0</v>
      </c>
      <c r="BY34" s="6">
        <v>19136</v>
      </c>
      <c r="BZ34" s="6">
        <v>4651</v>
      </c>
      <c r="CA34" s="6">
        <v>344615</v>
      </c>
    </row>
    <row r="35" spans="1:79">
      <c r="A35" s="6" t="s">
        <v>191</v>
      </c>
      <c r="B35" s="6">
        <v>37649</v>
      </c>
      <c r="C35" s="6">
        <v>2126</v>
      </c>
      <c r="D35" s="6">
        <v>16462</v>
      </c>
      <c r="E35" s="6">
        <v>2488</v>
      </c>
      <c r="F35" s="6">
        <v>1529</v>
      </c>
      <c r="G35" s="6">
        <v>5891</v>
      </c>
      <c r="H35" s="6">
        <v>4112</v>
      </c>
      <c r="I35" s="6">
        <v>268</v>
      </c>
      <c r="J35" s="6">
        <v>425</v>
      </c>
      <c r="K35" s="6">
        <v>1374</v>
      </c>
      <c r="L35" s="6">
        <v>2977</v>
      </c>
      <c r="M35" s="6">
        <v>3582</v>
      </c>
      <c r="N35" s="6">
        <v>3523</v>
      </c>
      <c r="O35" s="6">
        <v>59</v>
      </c>
      <c r="P35" s="6">
        <v>136415</v>
      </c>
      <c r="Q35" s="6">
        <v>579</v>
      </c>
      <c r="R35" s="6">
        <v>1051</v>
      </c>
      <c r="S35" s="6">
        <v>20</v>
      </c>
      <c r="T35" s="6">
        <v>2225</v>
      </c>
      <c r="U35" s="6">
        <v>183</v>
      </c>
      <c r="V35" s="6">
        <v>4844</v>
      </c>
      <c r="W35" s="6">
        <v>1717</v>
      </c>
      <c r="X35" s="6">
        <v>125211</v>
      </c>
      <c r="Y35" s="6">
        <v>584</v>
      </c>
      <c r="Z35" s="6">
        <v>126288</v>
      </c>
      <c r="AA35" s="6">
        <v>63941</v>
      </c>
      <c r="AB35" s="6">
        <v>12224</v>
      </c>
      <c r="AC35" s="6">
        <v>50124</v>
      </c>
      <c r="AD35" s="6">
        <v>647</v>
      </c>
      <c r="AE35" s="6">
        <v>359</v>
      </c>
      <c r="AF35" s="6">
        <v>243</v>
      </c>
      <c r="AG35" s="6">
        <v>47</v>
      </c>
      <c r="AH35" s="6">
        <v>11971</v>
      </c>
      <c r="AI35" s="6">
        <v>212</v>
      </c>
      <c r="AJ35" s="6">
        <v>754</v>
      </c>
      <c r="AK35" s="6">
        <v>1008</v>
      </c>
      <c r="AL35" s="6">
        <v>6249</v>
      </c>
      <c r="AM35" s="6">
        <v>1532</v>
      </c>
      <c r="AN35" s="6">
        <v>262</v>
      </c>
      <c r="AO35" s="6">
        <v>328</v>
      </c>
      <c r="AP35" s="6">
        <v>397</v>
      </c>
      <c r="AQ35" s="6">
        <v>1225</v>
      </c>
      <c r="AR35" s="6">
        <v>17567</v>
      </c>
      <c r="AS35" s="6">
        <v>141</v>
      </c>
      <c r="AT35" s="6">
        <v>325</v>
      </c>
      <c r="AU35" s="6">
        <v>108</v>
      </c>
      <c r="AV35" s="6">
        <v>1094</v>
      </c>
      <c r="AW35" s="6">
        <v>305</v>
      </c>
      <c r="AX35" s="6">
        <v>1005</v>
      </c>
      <c r="AY35" s="6">
        <v>1217</v>
      </c>
      <c r="AZ35" s="6">
        <v>11999</v>
      </c>
      <c r="BA35" s="6">
        <v>1372</v>
      </c>
      <c r="BB35" s="6">
        <v>16992</v>
      </c>
      <c r="BC35" s="6">
        <v>1064</v>
      </c>
      <c r="BD35" s="6">
        <v>1961</v>
      </c>
      <c r="BE35" s="6">
        <v>192</v>
      </c>
      <c r="BF35" s="6">
        <v>2456</v>
      </c>
      <c r="BG35" s="6">
        <v>1410</v>
      </c>
      <c r="BH35" s="6">
        <v>2657</v>
      </c>
      <c r="BI35" s="6">
        <v>2131</v>
      </c>
      <c r="BJ35" s="6">
        <v>1919</v>
      </c>
      <c r="BK35" s="6">
        <v>3208</v>
      </c>
      <c r="BL35" s="6">
        <v>8208</v>
      </c>
      <c r="BM35" s="6">
        <v>157</v>
      </c>
      <c r="BN35" s="6">
        <v>182</v>
      </c>
      <c r="BO35" s="6">
        <v>94</v>
      </c>
      <c r="BP35" s="6">
        <v>377</v>
      </c>
      <c r="BQ35" s="6">
        <v>122</v>
      </c>
      <c r="BR35" s="6">
        <v>3906</v>
      </c>
      <c r="BS35" s="6">
        <v>466</v>
      </c>
      <c r="BT35" s="6">
        <v>2901</v>
      </c>
      <c r="BU35" s="6">
        <v>30661</v>
      </c>
      <c r="BV35" s="6">
        <v>1239</v>
      </c>
      <c r="BW35" s="6">
        <v>861</v>
      </c>
      <c r="BX35" s="6">
        <v>0</v>
      </c>
      <c r="BY35" s="6">
        <v>23372</v>
      </c>
      <c r="BZ35" s="6">
        <v>5188</v>
      </c>
      <c r="CA35" s="6">
        <v>389981</v>
      </c>
    </row>
    <row r="36" spans="1:79">
      <c r="A36" s="6" t="s">
        <v>192</v>
      </c>
      <c r="B36" s="6">
        <v>35628</v>
      </c>
      <c r="C36" s="6">
        <v>1949</v>
      </c>
      <c r="D36" s="6">
        <v>14705</v>
      </c>
      <c r="E36" s="6">
        <v>2544</v>
      </c>
      <c r="F36" s="6">
        <v>1229</v>
      </c>
      <c r="G36" s="6">
        <v>6440</v>
      </c>
      <c r="H36" s="6">
        <v>4127</v>
      </c>
      <c r="I36" s="6">
        <v>283</v>
      </c>
      <c r="J36" s="6">
        <v>447</v>
      </c>
      <c r="K36" s="6">
        <v>1310</v>
      </c>
      <c r="L36" s="6">
        <v>2591</v>
      </c>
      <c r="M36" s="6">
        <v>3283</v>
      </c>
      <c r="N36" s="6">
        <v>3246</v>
      </c>
      <c r="O36" s="6">
        <v>37</v>
      </c>
      <c r="P36" s="6">
        <v>151968</v>
      </c>
      <c r="Q36" s="6">
        <v>414</v>
      </c>
      <c r="R36" s="6">
        <v>1183</v>
      </c>
      <c r="S36" s="6">
        <v>10</v>
      </c>
      <c r="T36" s="6">
        <v>1669</v>
      </c>
      <c r="U36" s="6">
        <v>172</v>
      </c>
      <c r="V36" s="6">
        <v>2739</v>
      </c>
      <c r="W36" s="6">
        <v>1163</v>
      </c>
      <c r="X36" s="6">
        <v>144068</v>
      </c>
      <c r="Y36" s="6">
        <v>551</v>
      </c>
      <c r="Z36" s="6">
        <v>88821</v>
      </c>
      <c r="AA36" s="6">
        <v>43367</v>
      </c>
      <c r="AB36" s="6">
        <v>7755</v>
      </c>
      <c r="AC36" s="6">
        <v>37699</v>
      </c>
      <c r="AD36" s="6">
        <v>761</v>
      </c>
      <c r="AE36" s="6">
        <v>444</v>
      </c>
      <c r="AF36" s="6">
        <v>282</v>
      </c>
      <c r="AG36" s="6">
        <v>33</v>
      </c>
      <c r="AH36" s="6">
        <v>11092</v>
      </c>
      <c r="AI36" s="6">
        <v>227</v>
      </c>
      <c r="AJ36" s="6">
        <v>641</v>
      </c>
      <c r="AK36" s="6">
        <v>894</v>
      </c>
      <c r="AL36" s="6">
        <v>5547</v>
      </c>
      <c r="AM36" s="6">
        <v>1590</v>
      </c>
      <c r="AN36" s="6">
        <v>330</v>
      </c>
      <c r="AO36" s="6">
        <v>232</v>
      </c>
      <c r="AP36" s="6">
        <v>311</v>
      </c>
      <c r="AQ36" s="6">
        <v>1325</v>
      </c>
      <c r="AR36" s="6">
        <v>14708</v>
      </c>
      <c r="AS36" s="6">
        <v>112</v>
      </c>
      <c r="AT36" s="6">
        <v>260</v>
      </c>
      <c r="AU36" s="6">
        <v>103</v>
      </c>
      <c r="AV36" s="6">
        <v>934</v>
      </c>
      <c r="AW36" s="6">
        <v>276</v>
      </c>
      <c r="AX36" s="6">
        <v>736</v>
      </c>
      <c r="AY36" s="6">
        <v>920</v>
      </c>
      <c r="AZ36" s="6">
        <v>10215</v>
      </c>
      <c r="BA36" s="6">
        <v>1154</v>
      </c>
      <c r="BB36" s="6">
        <v>14678</v>
      </c>
      <c r="BC36" s="6">
        <v>1068</v>
      </c>
      <c r="BD36" s="6">
        <v>1769</v>
      </c>
      <c r="BE36" s="6">
        <v>138</v>
      </c>
      <c r="BF36" s="6">
        <v>2164</v>
      </c>
      <c r="BG36" s="6">
        <v>1300</v>
      </c>
      <c r="BH36" s="6">
        <v>2251</v>
      </c>
      <c r="BI36" s="6">
        <v>2006</v>
      </c>
      <c r="BJ36" s="6">
        <v>1598</v>
      </c>
      <c r="BK36" s="6">
        <v>2387</v>
      </c>
      <c r="BL36" s="6">
        <v>7376</v>
      </c>
      <c r="BM36" s="6">
        <v>161</v>
      </c>
      <c r="BN36" s="6">
        <v>136</v>
      </c>
      <c r="BO36" s="6">
        <v>112</v>
      </c>
      <c r="BP36" s="6">
        <v>387</v>
      </c>
      <c r="BQ36" s="6">
        <v>129</v>
      </c>
      <c r="BR36" s="6">
        <v>3526</v>
      </c>
      <c r="BS36" s="6">
        <v>432</v>
      </c>
      <c r="BT36" s="6">
        <v>2494</v>
      </c>
      <c r="BU36" s="6">
        <v>34408</v>
      </c>
      <c r="BV36" s="6">
        <v>1063</v>
      </c>
      <c r="BW36" s="6">
        <v>1303</v>
      </c>
      <c r="BX36" s="6">
        <v>2</v>
      </c>
      <c r="BY36" s="6">
        <v>25492</v>
      </c>
      <c r="BZ36" s="6">
        <v>6551</v>
      </c>
      <c r="CA36" s="6">
        <v>362728</v>
      </c>
    </row>
    <row r="37" spans="1:79">
      <c r="A37" s="6" t="s">
        <v>193</v>
      </c>
      <c r="B37" s="6">
        <v>43540</v>
      </c>
      <c r="C37" s="6">
        <v>1646</v>
      </c>
      <c r="D37" s="6">
        <v>14801</v>
      </c>
      <c r="E37" s="6">
        <v>2947</v>
      </c>
      <c r="F37" s="6">
        <v>1207</v>
      </c>
      <c r="G37" s="6">
        <v>14105</v>
      </c>
      <c r="H37" s="6">
        <v>4512</v>
      </c>
      <c r="I37" s="6">
        <v>318</v>
      </c>
      <c r="J37" s="6">
        <v>476</v>
      </c>
      <c r="K37" s="6">
        <v>1424</v>
      </c>
      <c r="L37" s="6">
        <v>2105</v>
      </c>
      <c r="M37" s="6">
        <v>2523</v>
      </c>
      <c r="N37" s="6">
        <v>2503</v>
      </c>
      <c r="O37" s="6">
        <v>21</v>
      </c>
      <c r="P37" s="6">
        <v>198179</v>
      </c>
      <c r="Q37" s="6">
        <v>504</v>
      </c>
      <c r="R37" s="6">
        <v>3166</v>
      </c>
      <c r="S37" s="6">
        <v>11</v>
      </c>
      <c r="T37" s="6">
        <v>1338</v>
      </c>
      <c r="U37" s="6">
        <v>266</v>
      </c>
      <c r="V37" s="6">
        <v>5081</v>
      </c>
      <c r="W37" s="6">
        <v>1948</v>
      </c>
      <c r="X37" s="6">
        <v>185259</v>
      </c>
      <c r="Y37" s="6">
        <v>613</v>
      </c>
      <c r="Z37" s="6">
        <v>126395</v>
      </c>
      <c r="AA37" s="6">
        <v>63504</v>
      </c>
      <c r="AB37" s="6">
        <v>11715</v>
      </c>
      <c r="AC37" s="6">
        <v>51179</v>
      </c>
      <c r="AD37" s="6">
        <v>1085</v>
      </c>
      <c r="AE37" s="6">
        <v>669</v>
      </c>
      <c r="AF37" s="6">
        <v>360</v>
      </c>
      <c r="AG37" s="6">
        <v>54</v>
      </c>
      <c r="AH37" s="6">
        <v>10052</v>
      </c>
      <c r="AI37" s="6">
        <v>239</v>
      </c>
      <c r="AJ37" s="6">
        <v>808</v>
      </c>
      <c r="AK37" s="6">
        <v>1036</v>
      </c>
      <c r="AL37" s="6">
        <v>3630</v>
      </c>
      <c r="AM37" s="6">
        <v>1663</v>
      </c>
      <c r="AN37" s="6">
        <v>490</v>
      </c>
      <c r="AO37" s="6">
        <v>368</v>
      </c>
      <c r="AP37" s="6">
        <v>345</v>
      </c>
      <c r="AQ37" s="6">
        <v>1474</v>
      </c>
      <c r="AR37" s="6">
        <v>16703</v>
      </c>
      <c r="AS37" s="6">
        <v>160</v>
      </c>
      <c r="AT37" s="6">
        <v>257</v>
      </c>
      <c r="AU37" s="6">
        <v>96</v>
      </c>
      <c r="AV37" s="6">
        <v>948</v>
      </c>
      <c r="AW37" s="6">
        <v>333</v>
      </c>
      <c r="AX37" s="6">
        <v>570</v>
      </c>
      <c r="AY37" s="6">
        <v>793</v>
      </c>
      <c r="AZ37" s="6">
        <v>12328</v>
      </c>
      <c r="BA37" s="6">
        <v>1220</v>
      </c>
      <c r="BB37" s="6">
        <v>14728</v>
      </c>
      <c r="BC37" s="6">
        <v>872</v>
      </c>
      <c r="BD37" s="6">
        <v>1678</v>
      </c>
      <c r="BE37" s="6">
        <v>175</v>
      </c>
      <c r="BF37" s="6">
        <v>2230</v>
      </c>
      <c r="BG37" s="6">
        <v>1376</v>
      </c>
      <c r="BH37" s="6">
        <v>2331</v>
      </c>
      <c r="BI37" s="6">
        <v>2227</v>
      </c>
      <c r="BJ37" s="6">
        <v>1853</v>
      </c>
      <c r="BK37" s="6">
        <v>1988</v>
      </c>
      <c r="BL37" s="6">
        <v>8036</v>
      </c>
      <c r="BM37" s="6">
        <v>203</v>
      </c>
      <c r="BN37" s="6">
        <v>145</v>
      </c>
      <c r="BO37" s="6">
        <v>116</v>
      </c>
      <c r="BP37" s="6">
        <v>480</v>
      </c>
      <c r="BQ37" s="6">
        <v>119</v>
      </c>
      <c r="BR37" s="6">
        <v>3875</v>
      </c>
      <c r="BS37" s="6">
        <v>453</v>
      </c>
      <c r="BT37" s="6">
        <v>2646</v>
      </c>
      <c r="BU37" s="6">
        <v>36933</v>
      </c>
      <c r="BV37" s="6">
        <v>1789</v>
      </c>
      <c r="BW37" s="6">
        <v>2576</v>
      </c>
      <c r="BX37" s="6">
        <v>2</v>
      </c>
      <c r="BY37" s="6">
        <v>23281</v>
      </c>
      <c r="BZ37" s="6">
        <v>9283</v>
      </c>
      <c r="CA37" s="6">
        <v>458168</v>
      </c>
    </row>
    <row r="38" spans="1:79">
      <c r="A38" s="6" t="s">
        <v>194</v>
      </c>
      <c r="B38" s="6">
        <v>53122</v>
      </c>
      <c r="C38" s="6">
        <v>1518</v>
      </c>
      <c r="D38" s="6">
        <v>16600</v>
      </c>
      <c r="E38" s="6">
        <v>3385</v>
      </c>
      <c r="F38" s="6">
        <v>1205</v>
      </c>
      <c r="G38" s="6">
        <v>20672</v>
      </c>
      <c r="H38" s="6">
        <v>5027</v>
      </c>
      <c r="I38" s="6">
        <v>321</v>
      </c>
      <c r="J38" s="6">
        <v>517</v>
      </c>
      <c r="K38" s="6">
        <v>1719</v>
      </c>
      <c r="L38" s="6">
        <v>2160</v>
      </c>
      <c r="M38" s="6">
        <v>2572</v>
      </c>
      <c r="N38" s="6">
        <v>2553</v>
      </c>
      <c r="O38" s="6">
        <v>19</v>
      </c>
      <c r="P38" s="6">
        <v>188296</v>
      </c>
      <c r="Q38" s="6">
        <v>454</v>
      </c>
      <c r="R38" s="6">
        <v>7762</v>
      </c>
      <c r="S38" s="6">
        <v>9</v>
      </c>
      <c r="T38" s="6">
        <v>1523</v>
      </c>
      <c r="U38" s="6">
        <v>307</v>
      </c>
      <c r="V38" s="6">
        <v>7710</v>
      </c>
      <c r="W38" s="6">
        <v>12384</v>
      </c>
      <c r="X38" s="6">
        <v>157451</v>
      </c>
      <c r="Y38" s="6">
        <v>692</v>
      </c>
      <c r="Z38" s="6">
        <v>251334</v>
      </c>
      <c r="AA38" s="6">
        <v>142345</v>
      </c>
      <c r="AB38" s="6">
        <v>17341</v>
      </c>
      <c r="AC38" s="6">
        <v>91648</v>
      </c>
      <c r="AD38" s="6">
        <v>1682</v>
      </c>
      <c r="AE38" s="6">
        <v>1080</v>
      </c>
      <c r="AF38" s="6">
        <v>538</v>
      </c>
      <c r="AG38" s="6">
        <v>64</v>
      </c>
      <c r="AH38" s="6">
        <v>12575</v>
      </c>
      <c r="AI38" s="6">
        <v>245</v>
      </c>
      <c r="AJ38" s="6">
        <v>1675</v>
      </c>
      <c r="AK38" s="6">
        <v>1068</v>
      </c>
      <c r="AL38" s="6">
        <v>4328</v>
      </c>
      <c r="AM38" s="6">
        <v>1768</v>
      </c>
      <c r="AN38" s="6">
        <v>731</v>
      </c>
      <c r="AO38" s="6">
        <v>303</v>
      </c>
      <c r="AP38" s="6">
        <v>451</v>
      </c>
      <c r="AQ38" s="6">
        <v>2007</v>
      </c>
      <c r="AR38" s="6">
        <v>19431</v>
      </c>
      <c r="AS38" s="6">
        <v>148</v>
      </c>
      <c r="AT38" s="6">
        <v>363</v>
      </c>
      <c r="AU38" s="6">
        <v>96</v>
      </c>
      <c r="AV38" s="6">
        <v>1014</v>
      </c>
      <c r="AW38" s="6">
        <v>356</v>
      </c>
      <c r="AX38" s="6">
        <v>604</v>
      </c>
      <c r="AY38" s="6">
        <v>1340</v>
      </c>
      <c r="AZ38" s="6">
        <v>14078</v>
      </c>
      <c r="BA38" s="6">
        <v>1430</v>
      </c>
      <c r="BB38" s="6">
        <v>16516</v>
      </c>
      <c r="BC38" s="6">
        <v>1027</v>
      </c>
      <c r="BD38" s="6">
        <v>1911</v>
      </c>
      <c r="BE38" s="6">
        <v>260</v>
      </c>
      <c r="BF38" s="6">
        <v>2489</v>
      </c>
      <c r="BG38" s="6">
        <v>1545</v>
      </c>
      <c r="BH38" s="6">
        <v>2337</v>
      </c>
      <c r="BI38" s="6">
        <v>2692</v>
      </c>
      <c r="BJ38" s="6">
        <v>2013</v>
      </c>
      <c r="BK38" s="6">
        <v>2245</v>
      </c>
      <c r="BL38" s="6">
        <v>9077</v>
      </c>
      <c r="BM38" s="6">
        <v>175</v>
      </c>
      <c r="BN38" s="6">
        <v>166</v>
      </c>
      <c r="BO38" s="6">
        <v>201</v>
      </c>
      <c r="BP38" s="6">
        <v>649</v>
      </c>
      <c r="BQ38" s="6">
        <v>141</v>
      </c>
      <c r="BR38" s="6">
        <v>4409</v>
      </c>
      <c r="BS38" s="6">
        <v>506</v>
      </c>
      <c r="BT38" s="6">
        <v>2834</v>
      </c>
      <c r="BU38" s="6">
        <v>39255</v>
      </c>
      <c r="BV38" s="6">
        <v>764</v>
      </c>
      <c r="BW38" s="6">
        <v>3046</v>
      </c>
      <c r="BX38" s="6">
        <v>9</v>
      </c>
      <c r="BY38" s="6">
        <v>23514</v>
      </c>
      <c r="BZ38" s="6">
        <v>11921</v>
      </c>
      <c r="CA38" s="6">
        <v>593865</v>
      </c>
    </row>
    <row r="39" spans="1:79">
      <c r="A39" s="6" t="s">
        <v>195</v>
      </c>
      <c r="B39" s="6">
        <v>54749</v>
      </c>
      <c r="C39" s="6">
        <v>1236</v>
      </c>
      <c r="D39" s="6">
        <v>17798</v>
      </c>
      <c r="E39" s="6">
        <v>3000</v>
      </c>
      <c r="F39" s="6">
        <v>1346</v>
      </c>
      <c r="G39" s="6">
        <v>20628</v>
      </c>
      <c r="H39" s="6">
        <v>5891</v>
      </c>
      <c r="I39" s="6">
        <v>297</v>
      </c>
      <c r="J39" s="6">
        <v>509</v>
      </c>
      <c r="K39" s="6">
        <v>1737</v>
      </c>
      <c r="L39" s="6">
        <v>2314</v>
      </c>
      <c r="M39" s="6">
        <v>2548</v>
      </c>
      <c r="N39" s="6">
        <v>2524</v>
      </c>
      <c r="O39" s="6">
        <v>24</v>
      </c>
      <c r="P39" s="6">
        <v>202961</v>
      </c>
      <c r="Q39" s="6">
        <v>451</v>
      </c>
      <c r="R39" s="6">
        <v>5508</v>
      </c>
      <c r="S39" s="6">
        <v>14</v>
      </c>
      <c r="T39" s="6">
        <v>1435</v>
      </c>
      <c r="U39" s="6">
        <v>203</v>
      </c>
      <c r="V39" s="6">
        <v>7407</v>
      </c>
      <c r="W39" s="6">
        <v>19055</v>
      </c>
      <c r="X39" s="6">
        <v>168243</v>
      </c>
      <c r="Y39" s="6">
        <v>650</v>
      </c>
      <c r="Z39" s="6">
        <v>195549</v>
      </c>
      <c r="AA39" s="6">
        <v>103331</v>
      </c>
      <c r="AB39" s="6">
        <v>15760</v>
      </c>
      <c r="AC39" s="6">
        <v>76456</v>
      </c>
      <c r="AD39" s="6">
        <v>1609</v>
      </c>
      <c r="AE39" s="6">
        <v>1053</v>
      </c>
      <c r="AF39" s="6">
        <v>420</v>
      </c>
      <c r="AG39" s="6">
        <v>136</v>
      </c>
      <c r="AH39" s="6">
        <v>11484</v>
      </c>
      <c r="AI39" s="6">
        <v>221</v>
      </c>
      <c r="AJ39" s="6">
        <v>1264</v>
      </c>
      <c r="AK39" s="6">
        <v>920</v>
      </c>
      <c r="AL39" s="6">
        <v>4754</v>
      </c>
      <c r="AM39" s="6">
        <v>1686</v>
      </c>
      <c r="AN39" s="6">
        <v>338</v>
      </c>
      <c r="AO39" s="6">
        <v>277</v>
      </c>
      <c r="AP39" s="6">
        <v>385</v>
      </c>
      <c r="AQ39" s="6">
        <v>1643</v>
      </c>
      <c r="AR39" s="6">
        <v>19357</v>
      </c>
      <c r="AS39" s="6">
        <v>109</v>
      </c>
      <c r="AT39" s="6">
        <v>397</v>
      </c>
      <c r="AU39" s="6">
        <v>98</v>
      </c>
      <c r="AV39" s="6">
        <v>888</v>
      </c>
      <c r="AW39" s="6">
        <v>364</v>
      </c>
      <c r="AX39" s="6">
        <v>854</v>
      </c>
      <c r="AY39" s="6">
        <v>1256</v>
      </c>
      <c r="AZ39" s="6">
        <v>13950</v>
      </c>
      <c r="BA39" s="6">
        <v>1442</v>
      </c>
      <c r="BB39" s="6">
        <v>18604</v>
      </c>
      <c r="BC39" s="6">
        <v>1303</v>
      </c>
      <c r="BD39" s="6">
        <v>2113</v>
      </c>
      <c r="BE39" s="6">
        <v>272</v>
      </c>
      <c r="BF39" s="6">
        <v>3044</v>
      </c>
      <c r="BG39" s="6">
        <v>1489</v>
      </c>
      <c r="BH39" s="6">
        <v>2677</v>
      </c>
      <c r="BI39" s="6">
        <v>2954</v>
      </c>
      <c r="BJ39" s="6">
        <v>2180</v>
      </c>
      <c r="BK39" s="6">
        <v>2574</v>
      </c>
      <c r="BL39" s="6">
        <v>10517</v>
      </c>
      <c r="BM39" s="6">
        <v>170</v>
      </c>
      <c r="BN39" s="6">
        <v>188</v>
      </c>
      <c r="BO39" s="6">
        <v>188</v>
      </c>
      <c r="BP39" s="6">
        <v>706</v>
      </c>
      <c r="BQ39" s="6">
        <v>181</v>
      </c>
      <c r="BR39" s="6">
        <v>4871</v>
      </c>
      <c r="BS39" s="6">
        <v>576</v>
      </c>
      <c r="BT39" s="6">
        <v>3636</v>
      </c>
      <c r="BU39" s="6">
        <v>41247</v>
      </c>
      <c r="BV39" s="6">
        <v>612</v>
      </c>
      <c r="BW39" s="6">
        <v>2011</v>
      </c>
      <c r="BX39" s="6">
        <v>11</v>
      </c>
      <c r="BY39" s="6">
        <v>28352</v>
      </c>
      <c r="BZ39" s="6">
        <v>10257</v>
      </c>
      <c r="CA39" s="6">
        <v>558623</v>
      </c>
    </row>
    <row r="40" spans="1:79">
      <c r="A40" s="6" t="s">
        <v>275</v>
      </c>
      <c r="B40" s="6">
        <v>52718</v>
      </c>
      <c r="C40" s="6">
        <v>1114</v>
      </c>
      <c r="D40" s="6">
        <v>21379</v>
      </c>
      <c r="E40" s="6">
        <v>3437</v>
      </c>
      <c r="F40" s="6">
        <v>1227</v>
      </c>
      <c r="G40" s="6">
        <v>13754</v>
      </c>
      <c r="H40" s="6">
        <v>7127</v>
      </c>
      <c r="I40" s="6">
        <v>299</v>
      </c>
      <c r="J40" s="6">
        <v>549</v>
      </c>
      <c r="K40" s="6">
        <v>1578</v>
      </c>
      <c r="L40" s="6">
        <v>2257</v>
      </c>
      <c r="M40" s="6">
        <v>3187</v>
      </c>
      <c r="N40" s="6">
        <v>3167</v>
      </c>
      <c r="O40" s="6">
        <v>20</v>
      </c>
      <c r="P40" s="6">
        <v>179557</v>
      </c>
      <c r="Q40" s="6">
        <v>534</v>
      </c>
      <c r="R40" s="6">
        <v>5001</v>
      </c>
      <c r="S40" s="6">
        <v>20</v>
      </c>
      <c r="T40" s="6">
        <v>1435</v>
      </c>
      <c r="U40" s="6">
        <v>243</v>
      </c>
      <c r="V40" s="6">
        <v>6501</v>
      </c>
      <c r="W40" s="6">
        <v>5157</v>
      </c>
      <c r="X40" s="6">
        <v>160031</v>
      </c>
      <c r="Y40" s="6">
        <v>637</v>
      </c>
      <c r="Z40" s="6">
        <v>171431</v>
      </c>
      <c r="AA40" s="6">
        <v>85981</v>
      </c>
      <c r="AB40" s="6">
        <v>15733</v>
      </c>
      <c r="AC40" s="6">
        <v>69718</v>
      </c>
      <c r="AD40" s="6">
        <v>1400</v>
      </c>
      <c r="AE40" s="6">
        <v>866</v>
      </c>
      <c r="AF40" s="6">
        <v>417</v>
      </c>
      <c r="AG40" s="6">
        <v>118</v>
      </c>
      <c r="AH40" s="6">
        <v>12289</v>
      </c>
      <c r="AI40" s="6">
        <v>215</v>
      </c>
      <c r="AJ40" s="6">
        <v>948</v>
      </c>
      <c r="AK40" s="6">
        <v>1163</v>
      </c>
      <c r="AL40" s="6">
        <v>5388</v>
      </c>
      <c r="AM40" s="6">
        <v>1709</v>
      </c>
      <c r="AN40" s="6">
        <v>437</v>
      </c>
      <c r="AO40" s="6">
        <v>295</v>
      </c>
      <c r="AP40" s="6">
        <v>412</v>
      </c>
      <c r="AQ40" s="6">
        <v>1724</v>
      </c>
      <c r="AR40" s="6">
        <v>20559</v>
      </c>
      <c r="AS40" s="6">
        <v>112</v>
      </c>
      <c r="AT40" s="6">
        <v>333</v>
      </c>
      <c r="AU40" s="6">
        <v>98</v>
      </c>
      <c r="AV40" s="6">
        <v>894</v>
      </c>
      <c r="AW40" s="6">
        <v>392</v>
      </c>
      <c r="AX40" s="6">
        <v>591</v>
      </c>
      <c r="AY40" s="6">
        <v>1328</v>
      </c>
      <c r="AZ40" s="6">
        <v>15335</v>
      </c>
      <c r="BA40" s="6">
        <v>1478</v>
      </c>
      <c r="BB40" s="6">
        <v>20549</v>
      </c>
      <c r="BC40" s="6">
        <v>1380</v>
      </c>
      <c r="BD40" s="6">
        <v>2355</v>
      </c>
      <c r="BE40" s="6">
        <v>287</v>
      </c>
      <c r="BF40" s="6">
        <v>3128</v>
      </c>
      <c r="BG40" s="6">
        <v>1582</v>
      </c>
      <c r="BH40" s="6">
        <v>2928</v>
      </c>
      <c r="BI40" s="6">
        <v>3233</v>
      </c>
      <c r="BJ40" s="6">
        <v>2281</v>
      </c>
      <c r="BK40" s="6">
        <v>3381</v>
      </c>
      <c r="BL40" s="6">
        <v>11000</v>
      </c>
      <c r="BM40" s="6">
        <v>193</v>
      </c>
      <c r="BN40" s="6">
        <v>170</v>
      </c>
      <c r="BO40" s="6">
        <v>178</v>
      </c>
      <c r="BP40" s="6">
        <v>774</v>
      </c>
      <c r="BQ40" s="6">
        <v>191</v>
      </c>
      <c r="BR40" s="6">
        <v>4087</v>
      </c>
      <c r="BS40" s="6">
        <v>611</v>
      </c>
      <c r="BT40" s="6">
        <v>4795</v>
      </c>
      <c r="BU40" s="6">
        <v>45165</v>
      </c>
      <c r="BV40" s="6">
        <v>566</v>
      </c>
      <c r="BW40" s="6">
        <v>1340</v>
      </c>
      <c r="BX40" s="6">
        <v>23</v>
      </c>
      <c r="BY40" s="6">
        <v>35703</v>
      </c>
      <c r="BZ40" s="6">
        <v>7534</v>
      </c>
      <c r="CA40" s="6">
        <v>517857</v>
      </c>
    </row>
    <row r="41" spans="1:79">
      <c r="A41" s="4" t="s">
        <v>0</v>
      </c>
      <c r="B41" s="4" t="s">
        <v>1</v>
      </c>
      <c r="C41" s="5" t="s">
        <v>2</v>
      </c>
      <c r="D41" s="5" t="s">
        <v>3</v>
      </c>
      <c r="E41" s="5" t="s">
        <v>4</v>
      </c>
      <c r="F41" s="5" t="s">
        <v>5</v>
      </c>
      <c r="G41" s="5" t="s">
        <v>6</v>
      </c>
      <c r="H41" s="5" t="s">
        <v>7</v>
      </c>
      <c r="I41" s="5" t="s">
        <v>8</v>
      </c>
      <c r="J41" s="5" t="s">
        <v>9</v>
      </c>
      <c r="K41" s="5" t="s">
        <v>10</v>
      </c>
      <c r="L41" s="5" t="s">
        <v>11</v>
      </c>
      <c r="M41" s="4" t="s">
        <v>12</v>
      </c>
      <c r="N41" s="5" t="s">
        <v>13</v>
      </c>
      <c r="O41" s="5" t="s">
        <v>14</v>
      </c>
      <c r="P41" s="4" t="s">
        <v>15</v>
      </c>
      <c r="Q41" s="5" t="s">
        <v>16</v>
      </c>
      <c r="R41" s="5" t="s">
        <v>17</v>
      </c>
      <c r="S41" s="5" t="s">
        <v>18</v>
      </c>
      <c r="T41" s="5" t="s">
        <v>19</v>
      </c>
      <c r="U41" s="5" t="s">
        <v>20</v>
      </c>
      <c r="V41" s="5" t="s">
        <v>21</v>
      </c>
      <c r="W41" s="5" t="s">
        <v>22</v>
      </c>
      <c r="X41" s="5" t="s">
        <v>23</v>
      </c>
      <c r="Y41" s="5" t="s">
        <v>24</v>
      </c>
      <c r="Z41" s="4" t="s">
        <v>25</v>
      </c>
      <c r="AA41" s="5" t="s">
        <v>26</v>
      </c>
      <c r="AB41" s="5" t="s">
        <v>27</v>
      </c>
      <c r="AC41" s="5" t="s">
        <v>28</v>
      </c>
      <c r="AD41" s="4" t="s">
        <v>29</v>
      </c>
      <c r="AE41" s="5" t="s">
        <v>30</v>
      </c>
      <c r="AF41" s="5" t="s">
        <v>31</v>
      </c>
      <c r="AG41" s="5" t="s">
        <v>32</v>
      </c>
      <c r="AH41" s="4" t="s">
        <v>33</v>
      </c>
      <c r="AI41" s="5" t="s">
        <v>34</v>
      </c>
      <c r="AJ41" s="5" t="s">
        <v>35</v>
      </c>
      <c r="AK41" s="5" t="s">
        <v>36</v>
      </c>
      <c r="AL41" s="5" t="s">
        <v>37</v>
      </c>
      <c r="AM41" s="5" t="s">
        <v>38</v>
      </c>
      <c r="AN41" s="5" t="s">
        <v>39</v>
      </c>
      <c r="AO41" s="5" t="s">
        <v>40</v>
      </c>
      <c r="AP41" s="5" t="s">
        <v>41</v>
      </c>
      <c r="AQ41" s="5" t="s">
        <v>42</v>
      </c>
      <c r="AR41" s="4" t="s">
        <v>43</v>
      </c>
      <c r="AS41" s="5" t="s">
        <v>44</v>
      </c>
      <c r="AT41" s="5" t="s">
        <v>45</v>
      </c>
      <c r="AU41" s="5" t="s">
        <v>46</v>
      </c>
      <c r="AV41" s="5" t="s">
        <v>47</v>
      </c>
      <c r="AW41" s="5" t="s">
        <v>48</v>
      </c>
      <c r="AX41" s="5" t="s">
        <v>49</v>
      </c>
      <c r="AY41" s="5" t="s">
        <v>50</v>
      </c>
      <c r="AZ41" s="5" t="s">
        <v>51</v>
      </c>
      <c r="BA41" s="5" t="s">
        <v>52</v>
      </c>
      <c r="BB41" s="4" t="s">
        <v>53</v>
      </c>
      <c r="BC41" s="5" t="s">
        <v>54</v>
      </c>
      <c r="BD41" s="5" t="s">
        <v>55</v>
      </c>
      <c r="BE41" s="5" t="s">
        <v>56</v>
      </c>
      <c r="BF41" s="5" t="s">
        <v>57</v>
      </c>
      <c r="BG41" s="5" t="s">
        <v>58</v>
      </c>
      <c r="BH41" s="5" t="s">
        <v>59</v>
      </c>
      <c r="BI41" s="5" t="s">
        <v>60</v>
      </c>
      <c r="BJ41" s="5" t="s">
        <v>61</v>
      </c>
      <c r="BK41" s="5" t="s">
        <v>62</v>
      </c>
      <c r="BL41" s="4" t="s">
        <v>63</v>
      </c>
      <c r="BM41" s="5" t="s">
        <v>64</v>
      </c>
      <c r="BN41" s="5" t="s">
        <v>65</v>
      </c>
      <c r="BO41" s="5" t="s">
        <v>66</v>
      </c>
      <c r="BP41" s="5" t="s">
        <v>67</v>
      </c>
      <c r="BQ41" s="5" t="s">
        <v>68</v>
      </c>
      <c r="BR41" s="5" t="s">
        <v>69</v>
      </c>
      <c r="BS41" s="5" t="s">
        <v>70</v>
      </c>
      <c r="BT41" s="5" t="s">
        <v>71</v>
      </c>
      <c r="BU41" s="4" t="s">
        <v>72</v>
      </c>
      <c r="BV41" s="5" t="s">
        <v>73</v>
      </c>
      <c r="BW41" s="5" t="s">
        <v>74</v>
      </c>
      <c r="BX41" s="5" t="s">
        <v>75</v>
      </c>
      <c r="BY41" s="5" t="s">
        <v>76</v>
      </c>
      <c r="BZ41" s="5" t="s">
        <v>77</v>
      </c>
      <c r="CA41" s="4" t="s">
        <v>78</v>
      </c>
    </row>
    <row r="42" spans="1:79">
      <c r="A42" s="6" t="s">
        <v>79</v>
      </c>
      <c r="B42" s="6" t="s">
        <v>80</v>
      </c>
      <c r="C42" s="6" t="s">
        <v>80</v>
      </c>
      <c r="D42" s="6" t="s">
        <v>80</v>
      </c>
      <c r="E42" s="6" t="s">
        <v>80</v>
      </c>
      <c r="F42" s="6" t="s">
        <v>80</v>
      </c>
      <c r="G42" s="6" t="s">
        <v>80</v>
      </c>
      <c r="H42" s="6" t="s">
        <v>80</v>
      </c>
      <c r="I42" s="6" t="s">
        <v>80</v>
      </c>
      <c r="J42" s="6" t="s">
        <v>80</v>
      </c>
      <c r="K42" s="6" t="s">
        <v>80</v>
      </c>
      <c r="L42" s="6" t="s">
        <v>80</v>
      </c>
      <c r="M42" s="6" t="s">
        <v>80</v>
      </c>
      <c r="N42" s="6" t="s">
        <v>80</v>
      </c>
      <c r="O42" s="6" t="s">
        <v>80</v>
      </c>
      <c r="P42" s="6" t="s">
        <v>80</v>
      </c>
      <c r="Q42" s="6" t="s">
        <v>80</v>
      </c>
      <c r="R42" s="6" t="s">
        <v>80</v>
      </c>
      <c r="S42" s="6" t="s">
        <v>80</v>
      </c>
      <c r="T42" s="6" t="s">
        <v>80</v>
      </c>
      <c r="U42" s="6" t="s">
        <v>80</v>
      </c>
      <c r="V42" s="6" t="s">
        <v>80</v>
      </c>
      <c r="W42" s="6" t="s">
        <v>80</v>
      </c>
      <c r="X42" s="6" t="s">
        <v>80</v>
      </c>
      <c r="Y42" s="6" t="s">
        <v>80</v>
      </c>
      <c r="Z42" s="6" t="s">
        <v>80</v>
      </c>
      <c r="AA42" s="6" t="s">
        <v>80</v>
      </c>
      <c r="AB42" s="6" t="s">
        <v>80</v>
      </c>
      <c r="AC42" s="6" t="s">
        <v>80</v>
      </c>
      <c r="AD42" s="6" t="s">
        <v>80</v>
      </c>
      <c r="AE42" s="6" t="s">
        <v>80</v>
      </c>
      <c r="AF42" s="6" t="s">
        <v>80</v>
      </c>
      <c r="AG42" s="6" t="s">
        <v>80</v>
      </c>
      <c r="AH42" s="6" t="s">
        <v>80</v>
      </c>
      <c r="AI42" s="6" t="s">
        <v>80</v>
      </c>
      <c r="AJ42" s="6" t="s">
        <v>80</v>
      </c>
      <c r="AK42" s="6" t="s">
        <v>80</v>
      </c>
      <c r="AL42" s="6" t="s">
        <v>80</v>
      </c>
      <c r="AM42" s="6" t="s">
        <v>80</v>
      </c>
      <c r="AN42" s="6" t="s">
        <v>80</v>
      </c>
      <c r="AO42" s="6" t="s">
        <v>80</v>
      </c>
      <c r="AP42" s="6" t="s">
        <v>80</v>
      </c>
      <c r="AQ42" s="6" t="s">
        <v>80</v>
      </c>
      <c r="AR42" s="6" t="s">
        <v>80</v>
      </c>
      <c r="AS42" s="6" t="s">
        <v>80</v>
      </c>
      <c r="AT42" s="6" t="s">
        <v>80</v>
      </c>
      <c r="AU42" s="6" t="s">
        <v>80</v>
      </c>
      <c r="AV42" s="6" t="s">
        <v>80</v>
      </c>
      <c r="AW42" s="6" t="s">
        <v>80</v>
      </c>
      <c r="AX42" s="6" t="s">
        <v>80</v>
      </c>
      <c r="AY42" s="6" t="s">
        <v>80</v>
      </c>
      <c r="AZ42" s="6" t="s">
        <v>80</v>
      </c>
      <c r="BA42" s="6" t="s">
        <v>80</v>
      </c>
      <c r="BB42" s="6" t="s">
        <v>80</v>
      </c>
      <c r="BC42" s="6" t="s">
        <v>80</v>
      </c>
      <c r="BD42" s="6" t="s">
        <v>80</v>
      </c>
      <c r="BE42" s="6" t="s">
        <v>80</v>
      </c>
      <c r="BF42" s="6" t="s">
        <v>80</v>
      </c>
      <c r="BG42" s="6" t="s">
        <v>80</v>
      </c>
      <c r="BH42" s="6" t="s">
        <v>80</v>
      </c>
      <c r="BI42" s="6" t="s">
        <v>80</v>
      </c>
      <c r="BJ42" s="6" t="s">
        <v>80</v>
      </c>
      <c r="BK42" s="6" t="s">
        <v>80</v>
      </c>
      <c r="BL42" s="6" t="s">
        <v>80</v>
      </c>
      <c r="BM42" s="6" t="s">
        <v>80</v>
      </c>
      <c r="BN42" s="6" t="s">
        <v>80</v>
      </c>
      <c r="BO42" s="6" t="s">
        <v>80</v>
      </c>
      <c r="BP42" s="6" t="s">
        <v>80</v>
      </c>
      <c r="BQ42" s="6" t="s">
        <v>80</v>
      </c>
      <c r="BR42" s="6" t="s">
        <v>80</v>
      </c>
      <c r="BS42" s="6" t="s">
        <v>80</v>
      </c>
      <c r="BT42" s="6" t="s">
        <v>80</v>
      </c>
      <c r="BU42" s="6" t="s">
        <v>80</v>
      </c>
      <c r="BV42" s="6" t="s">
        <v>80</v>
      </c>
      <c r="BW42" s="6" t="s">
        <v>80</v>
      </c>
      <c r="BX42" s="6" t="s">
        <v>80</v>
      </c>
      <c r="BY42" s="6" t="s">
        <v>80</v>
      </c>
      <c r="BZ42" s="6" t="s">
        <v>80</v>
      </c>
      <c r="CA42" s="6" t="s">
        <v>80</v>
      </c>
    </row>
    <row r="43" spans="1:79">
      <c r="A43" s="6" t="s">
        <v>81</v>
      </c>
      <c r="B43" s="6" t="s">
        <v>82</v>
      </c>
      <c r="C43" s="6" t="s">
        <v>83</v>
      </c>
      <c r="D43" s="6" t="s">
        <v>84</v>
      </c>
      <c r="E43" s="6" t="s">
        <v>85</v>
      </c>
      <c r="F43" s="6" t="s">
        <v>86</v>
      </c>
      <c r="G43" s="6" t="s">
        <v>87</v>
      </c>
      <c r="H43" s="6" t="s">
        <v>88</v>
      </c>
      <c r="I43" s="6" t="s">
        <v>89</v>
      </c>
      <c r="J43" s="6" t="s">
        <v>90</v>
      </c>
      <c r="K43" s="6" t="s">
        <v>91</v>
      </c>
      <c r="L43" s="6" t="s">
        <v>92</v>
      </c>
      <c r="M43" s="6" t="s">
        <v>93</v>
      </c>
      <c r="N43" s="6" t="s">
        <v>94</v>
      </c>
      <c r="O43" s="6" t="s">
        <v>95</v>
      </c>
      <c r="P43" s="6" t="s">
        <v>96</v>
      </c>
      <c r="Q43" s="6" t="s">
        <v>97</v>
      </c>
      <c r="R43" s="6" t="s">
        <v>98</v>
      </c>
      <c r="S43" s="6" t="s">
        <v>99</v>
      </c>
      <c r="T43" s="6" t="s">
        <v>100</v>
      </c>
      <c r="U43" s="6" t="s">
        <v>101</v>
      </c>
      <c r="V43" s="6" t="s">
        <v>102</v>
      </c>
      <c r="W43" s="6" t="s">
        <v>103</v>
      </c>
      <c r="X43" s="6" t="s">
        <v>104</v>
      </c>
      <c r="Y43" s="6" t="s">
        <v>105</v>
      </c>
      <c r="Z43" s="6" t="s">
        <v>106</v>
      </c>
      <c r="AA43" s="6" t="s">
        <v>107</v>
      </c>
      <c r="AB43" s="6" t="s">
        <v>108</v>
      </c>
      <c r="AC43" s="6" t="s">
        <v>109</v>
      </c>
      <c r="AD43" s="6" t="s">
        <v>110</v>
      </c>
      <c r="AE43" s="6" t="s">
        <v>111</v>
      </c>
      <c r="AF43" s="6" t="s">
        <v>112</v>
      </c>
      <c r="AG43" s="6" t="s">
        <v>113</v>
      </c>
      <c r="AH43" s="6" t="s">
        <v>114</v>
      </c>
      <c r="AI43" s="6" t="s">
        <v>115</v>
      </c>
      <c r="AJ43" s="6" t="s">
        <v>116</v>
      </c>
      <c r="AK43" s="6" t="s">
        <v>117</v>
      </c>
      <c r="AL43" s="6" t="s">
        <v>118</v>
      </c>
      <c r="AM43" s="6" t="s">
        <v>119</v>
      </c>
      <c r="AN43" s="6" t="s">
        <v>120</v>
      </c>
      <c r="AO43" s="6" t="s">
        <v>121</v>
      </c>
      <c r="AP43" s="6" t="s">
        <v>122</v>
      </c>
      <c r="AQ43" s="6" t="s">
        <v>123</v>
      </c>
      <c r="AR43" s="6" t="s">
        <v>124</v>
      </c>
      <c r="AS43" s="6" t="s">
        <v>125</v>
      </c>
      <c r="AT43" s="6" t="s">
        <v>126</v>
      </c>
      <c r="AU43" s="6" t="s">
        <v>127</v>
      </c>
      <c r="AV43" s="6" t="s">
        <v>128</v>
      </c>
      <c r="AW43" s="6" t="s">
        <v>129</v>
      </c>
      <c r="AX43" s="6" t="s">
        <v>130</v>
      </c>
      <c r="AY43" s="6" t="s">
        <v>131</v>
      </c>
      <c r="AZ43" s="6" t="s">
        <v>132</v>
      </c>
      <c r="BA43" s="6" t="s">
        <v>133</v>
      </c>
      <c r="BB43" s="6" t="s">
        <v>134</v>
      </c>
      <c r="BC43" s="6" t="s">
        <v>135</v>
      </c>
      <c r="BD43" s="6" t="s">
        <v>136</v>
      </c>
      <c r="BE43" s="6" t="s">
        <v>137</v>
      </c>
      <c r="BF43" s="6" t="s">
        <v>138</v>
      </c>
      <c r="BG43" s="6" t="s">
        <v>139</v>
      </c>
      <c r="BH43" s="6" t="s">
        <v>140</v>
      </c>
      <c r="BI43" s="6" t="s">
        <v>141</v>
      </c>
      <c r="BJ43" s="6" t="s">
        <v>142</v>
      </c>
      <c r="BK43" s="6" t="s">
        <v>143</v>
      </c>
      <c r="BL43" s="6" t="s">
        <v>144</v>
      </c>
      <c r="BM43" s="6" t="s">
        <v>145</v>
      </c>
      <c r="BN43" s="6" t="s">
        <v>146</v>
      </c>
      <c r="BO43" s="6" t="s">
        <v>147</v>
      </c>
      <c r="BP43" s="6" t="s">
        <v>148</v>
      </c>
      <c r="BQ43" s="6" t="s">
        <v>149</v>
      </c>
      <c r="BR43" s="6" t="s">
        <v>150</v>
      </c>
      <c r="BS43" s="6" t="s">
        <v>151</v>
      </c>
      <c r="BT43" s="6" t="s">
        <v>152</v>
      </c>
      <c r="BU43" s="6" t="s">
        <v>153</v>
      </c>
      <c r="BV43" s="6" t="s">
        <v>154</v>
      </c>
      <c r="BW43" s="6" t="s">
        <v>155</v>
      </c>
      <c r="BX43" s="6" t="s">
        <v>156</v>
      </c>
      <c r="BY43" s="6" t="s">
        <v>157</v>
      </c>
      <c r="BZ43" s="6" t="s">
        <v>158</v>
      </c>
      <c r="CA43" s="6" t="s">
        <v>159</v>
      </c>
    </row>
    <row r="44" spans="1:79">
      <c r="A44" s="6" t="s">
        <v>160</v>
      </c>
      <c r="B44" s="7">
        <f>B4/$CA4</f>
        <v>0.18664149162143026</v>
      </c>
      <c r="C44" s="7">
        <f>C4/B4</f>
        <v>4.0718259989883661E-2</v>
      </c>
      <c r="D44" s="7">
        <f>D4/B4</f>
        <v>0.30639858371269602</v>
      </c>
      <c r="E44" s="7">
        <f>E4/B4</f>
        <v>6.6894284269094592E-2</v>
      </c>
      <c r="F44" s="7">
        <f>F4/B4</f>
        <v>8.3839150227617606E-2</v>
      </c>
      <c r="G44" s="7">
        <f>G4/B4</f>
        <v>0.26188669701568035</v>
      </c>
      <c r="H44" s="7">
        <f>H4/B4</f>
        <v>7.6378351036924627E-2</v>
      </c>
      <c r="I44" s="7">
        <f>I4/B4</f>
        <v>0.10862417804754679</v>
      </c>
      <c r="J44" s="7">
        <f>J4/B4</f>
        <v>8.5988872028325749E-3</v>
      </c>
      <c r="K44" s="7">
        <f>K4/B4</f>
        <v>3.4522003034901369E-2</v>
      </c>
      <c r="L44" s="7">
        <f>L4/B4</f>
        <v>1.1507334344967122E-2</v>
      </c>
      <c r="M44" s="7">
        <f>M4/$CA4</f>
        <v>6.4432381401935334E-3</v>
      </c>
      <c r="N44" s="7"/>
      <c r="P44" s="7">
        <f>P4/$CA4</f>
        <v>0.31567146565966486</v>
      </c>
      <c r="Z44" s="7">
        <f>Z4/$CA4</f>
        <v>0.15241916450318621</v>
      </c>
      <c r="AD44" s="7">
        <f>AD4/$CA4</f>
        <v>3.422232711824404E-3</v>
      </c>
      <c r="AH44" s="7">
        <f>AH4/$CA4</f>
        <v>2.4569270710408309E-2</v>
      </c>
      <c r="AR44" s="7">
        <f>AR4/$CA4</f>
        <v>0.1260325702147746</v>
      </c>
      <c r="BB44" s="7">
        <f>BB4/$CA4</f>
        <v>6.4715600660844932E-2</v>
      </c>
      <c r="BL44" s="7">
        <f>BL4/$CA4</f>
        <v>2.5418928487137126E-2</v>
      </c>
      <c r="BU44" s="7">
        <f>BU4/$CA4</f>
        <v>9.4477224451262692E-2</v>
      </c>
      <c r="CA44" s="6">
        <f>SUM(B44+M44+P44+Z44+AD44+AH44+AR44+BB44+BL44+BU44)</f>
        <v>0.99981118716072703</v>
      </c>
    </row>
    <row r="45" spans="1:79">
      <c r="A45" s="6" t="s">
        <v>161</v>
      </c>
      <c r="B45" s="7">
        <f t="shared" ref="B45:B80" si="0">B5/$CA5</f>
        <v>0.20190609909162466</v>
      </c>
      <c r="C45" s="7">
        <f t="shared" ref="C45:C80" si="1">C5/B5</f>
        <v>2.5708566009904121E-2</v>
      </c>
      <c r="D45" s="7">
        <f t="shared" ref="D45:D80" si="2">D5/B5</f>
        <v>0.27805289221367613</v>
      </c>
      <c r="E45" s="7">
        <f t="shared" ref="E45:E80" si="3">E5/B5</f>
        <v>7.1857549257191025E-2</v>
      </c>
      <c r="F45" s="7">
        <f t="shared" ref="F45:F80" si="4">F5/B5</f>
        <v>6.8064482140975657E-2</v>
      </c>
      <c r="G45" s="7">
        <f t="shared" ref="G45:G80" si="5">G5/B5</f>
        <v>0.33768833631861761</v>
      </c>
      <c r="H45" s="7">
        <f t="shared" ref="H45:H80" si="6">H5/B5</f>
        <v>5.4156569381519332E-2</v>
      </c>
      <c r="I45" s="7">
        <f t="shared" ref="I45:I80" si="7">I5/B5</f>
        <v>0.11884943630808134</v>
      </c>
      <c r="J45" s="7">
        <f t="shared" ref="J45:J80" si="8">J5/B5</f>
        <v>6.8485934042777372E-3</v>
      </c>
      <c r="K45" s="7">
        <f t="shared" ref="K45:K80" si="9">K5/B5</f>
        <v>2.8131914445263934E-2</v>
      </c>
      <c r="L45" s="7">
        <f t="shared" ref="L45:L80" si="10">L5/B5</f>
        <v>1.0220208618691391E-2</v>
      </c>
      <c r="M45" s="7">
        <f t="shared" ref="M45:M80" si="11">M5/$CA5</f>
        <v>4.8290680111472755E-3</v>
      </c>
      <c r="P45" s="7">
        <f t="shared" ref="P45:P80" si="12">P5/$CA5</f>
        <v>0.30048716148658711</v>
      </c>
      <c r="Z45" s="7">
        <f t="shared" ref="Z45:Z80" si="13">Z5/$CA5</f>
        <v>0.15384942668113261</v>
      </c>
      <c r="AD45" s="7">
        <f t="shared" ref="AD45:AD80" si="14">AD5/$CA5</f>
        <v>2.3613504371689325E-3</v>
      </c>
      <c r="AH45" s="7">
        <f t="shared" ref="AH45:AH80" si="15">AH5/$CA5</f>
        <v>2.499627715021167E-2</v>
      </c>
      <c r="AR45" s="7">
        <f t="shared" ref="AR45:AR80" si="16">AR5/$CA5</f>
        <v>0.12895951666773034</v>
      </c>
      <c r="BB45" s="7">
        <f t="shared" ref="BB45:BB80" si="17">BB5/$CA5</f>
        <v>6.9904482311145155E-2</v>
      </c>
      <c r="BL45" s="7">
        <f t="shared" ref="BL45:BL80" si="18">BL5/$CA5</f>
        <v>2.6825791903333545E-2</v>
      </c>
      <c r="BU45" s="7">
        <f t="shared" ref="BU45:BU80" si="19">BU5/$CA5</f>
        <v>8.5859552832556849E-2</v>
      </c>
      <c r="CA45" s="6">
        <f t="shared" ref="CA45:CA80" si="20">SUM(B45+M45+P45+Z45+AD45+AH45+AR45+BB45+BL45+BU45)</f>
        <v>0.99997872657263809</v>
      </c>
    </row>
    <row r="46" spans="1:79">
      <c r="A46" s="6" t="s">
        <v>162</v>
      </c>
      <c r="B46" s="7">
        <f t="shared" si="0"/>
        <v>0.19111434241810929</v>
      </c>
      <c r="C46" s="7">
        <f t="shared" si="1"/>
        <v>1.6759202138597575E-2</v>
      </c>
      <c r="D46" s="7">
        <f t="shared" si="2"/>
        <v>0.31770512029611353</v>
      </c>
      <c r="E46" s="7">
        <f t="shared" si="3"/>
        <v>6.950442113921447E-2</v>
      </c>
      <c r="F46" s="7">
        <f t="shared" si="4"/>
        <v>6.950442113921447E-2</v>
      </c>
      <c r="G46" s="7">
        <f t="shared" si="5"/>
        <v>0.30989101377750361</v>
      </c>
      <c r="H46" s="7">
        <f t="shared" si="6"/>
        <v>5.9736787990952084E-2</v>
      </c>
      <c r="I46" s="7">
        <f t="shared" si="7"/>
        <v>0.11320172732880937</v>
      </c>
      <c r="J46" s="7">
        <f t="shared" si="8"/>
        <v>8.4310096648159572E-3</v>
      </c>
      <c r="K46" s="7">
        <f t="shared" si="9"/>
        <v>2.4470491466173146E-2</v>
      </c>
      <c r="L46" s="7">
        <f t="shared" si="10"/>
        <v>1.0795805058605799E-2</v>
      </c>
      <c r="M46" s="7">
        <f t="shared" si="11"/>
        <v>5.6002043583344794E-3</v>
      </c>
      <c r="P46" s="7">
        <f t="shared" si="12"/>
        <v>0.26446719459236406</v>
      </c>
      <c r="Z46" s="7">
        <f t="shared" si="13"/>
        <v>0.18852056355740701</v>
      </c>
      <c r="AD46" s="7">
        <f t="shared" si="14"/>
        <v>2.5741290208484801E-3</v>
      </c>
      <c r="AH46" s="7">
        <f t="shared" si="15"/>
        <v>2.5446542610677723E-2</v>
      </c>
      <c r="AR46" s="7">
        <f t="shared" si="16"/>
        <v>0.12294904796525909</v>
      </c>
      <c r="BB46" s="7">
        <f t="shared" si="17"/>
        <v>8.0918040517969775E-2</v>
      </c>
      <c r="BL46" s="7">
        <f t="shared" si="18"/>
        <v>2.5643041009215776E-2</v>
      </c>
      <c r="BU46" s="7">
        <f t="shared" si="19"/>
        <v>9.2786543789668108E-2</v>
      </c>
      <c r="CA46" s="6">
        <f t="shared" si="20"/>
        <v>1.0000196498398539</v>
      </c>
    </row>
    <row r="47" spans="1:79">
      <c r="A47" s="6" t="s">
        <v>163</v>
      </c>
      <c r="B47" s="7">
        <f t="shared" si="0"/>
        <v>0.17334003462333167</v>
      </c>
      <c r="C47" s="7">
        <f t="shared" si="1"/>
        <v>1.95446735395189E-2</v>
      </c>
      <c r="D47" s="7">
        <f t="shared" si="2"/>
        <v>0.34783075601374569</v>
      </c>
      <c r="E47" s="7">
        <f t="shared" si="3"/>
        <v>8.5158934707903783E-2</v>
      </c>
      <c r="F47" s="7">
        <f t="shared" si="4"/>
        <v>7.9359965635738827E-2</v>
      </c>
      <c r="G47" s="7">
        <f t="shared" si="5"/>
        <v>0.25891323024054985</v>
      </c>
      <c r="H47" s="7">
        <f t="shared" si="6"/>
        <v>6.9909793814432991E-2</v>
      </c>
      <c r="I47" s="7">
        <f t="shared" si="7"/>
        <v>8.2152061855670103E-2</v>
      </c>
      <c r="J47" s="7">
        <f t="shared" si="8"/>
        <v>9.8797250859106525E-3</v>
      </c>
      <c r="K47" s="7">
        <f t="shared" si="9"/>
        <v>3.2646048109965638E-2</v>
      </c>
      <c r="L47" s="7">
        <f t="shared" si="10"/>
        <v>1.4497422680412372E-2</v>
      </c>
      <c r="M47" s="7">
        <f t="shared" si="11"/>
        <v>6.1800785540105357E-3</v>
      </c>
      <c r="P47" s="7">
        <f t="shared" si="12"/>
        <v>0.25459317585301838</v>
      </c>
      <c r="Z47" s="7">
        <f t="shared" si="13"/>
        <v>0.20250926081048379</v>
      </c>
      <c r="AD47" s="7">
        <f t="shared" si="14"/>
        <v>2.5315984438115447E-3</v>
      </c>
      <c r="AH47" s="7">
        <f t="shared" si="15"/>
        <v>2.8554941270639043E-2</v>
      </c>
      <c r="AR47" s="7">
        <f t="shared" si="16"/>
        <v>0.12062321996984419</v>
      </c>
      <c r="BB47" s="7">
        <f t="shared" si="17"/>
        <v>9.0597717838461683E-2</v>
      </c>
      <c r="BL47" s="7">
        <f t="shared" si="18"/>
        <v>2.6563168965581429E-2</v>
      </c>
      <c r="BU47" s="7">
        <f t="shared" si="19"/>
        <v>9.4413730198618789E-2</v>
      </c>
      <c r="CA47" s="6">
        <f t="shared" si="20"/>
        <v>0.99990692652780111</v>
      </c>
    </row>
    <row r="48" spans="1:79">
      <c r="A48" s="6" t="s">
        <v>164</v>
      </c>
      <c r="B48" s="7">
        <f t="shared" si="0"/>
        <v>0.18130428079551877</v>
      </c>
      <c r="C48" s="7">
        <f t="shared" si="1"/>
        <v>2.1352985638699924E-2</v>
      </c>
      <c r="D48" s="7">
        <f t="shared" si="2"/>
        <v>0.34665532879818595</v>
      </c>
      <c r="E48" s="7">
        <f t="shared" si="3"/>
        <v>9.0419501133786842E-2</v>
      </c>
      <c r="F48" s="7">
        <f t="shared" si="4"/>
        <v>8.626228269085412E-2</v>
      </c>
      <c r="G48" s="7">
        <f t="shared" si="5"/>
        <v>0.23138699924414211</v>
      </c>
      <c r="H48" s="7">
        <f t="shared" si="6"/>
        <v>7.7947845804988661E-2</v>
      </c>
      <c r="I48" s="7">
        <f t="shared" si="7"/>
        <v>8.390022675736962E-2</v>
      </c>
      <c r="J48" s="7">
        <f t="shared" si="8"/>
        <v>1.0582010582010581E-2</v>
      </c>
      <c r="K48" s="7">
        <f t="shared" si="9"/>
        <v>3.826530612244898E-2</v>
      </c>
      <c r="L48" s="7">
        <f t="shared" si="10"/>
        <v>1.3321995464852607E-2</v>
      </c>
      <c r="M48" s="7">
        <f t="shared" si="11"/>
        <v>6.4751528855542424E-3</v>
      </c>
      <c r="P48" s="7">
        <f t="shared" si="12"/>
        <v>0.23116981002792195</v>
      </c>
      <c r="Z48" s="7">
        <f t="shared" si="13"/>
        <v>0.19893108587286087</v>
      </c>
      <c r="AD48" s="7">
        <f t="shared" si="14"/>
        <v>2.6894153519365503E-3</v>
      </c>
      <c r="AH48" s="7">
        <f t="shared" si="15"/>
        <v>3.1142401973379925E-2</v>
      </c>
      <c r="AR48" s="7">
        <f t="shared" si="16"/>
        <v>0.12124638128029874</v>
      </c>
      <c r="BB48" s="7">
        <f t="shared" si="17"/>
        <v>9.7983794987752032E-2</v>
      </c>
      <c r="BL48" s="7">
        <f t="shared" si="18"/>
        <v>3.0457200609829215E-2</v>
      </c>
      <c r="BU48" s="7">
        <f t="shared" si="19"/>
        <v>9.8651866317213968E-2</v>
      </c>
      <c r="CA48" s="6">
        <f t="shared" si="20"/>
        <v>1.0000513901022663</v>
      </c>
    </row>
    <row r="49" spans="1:79">
      <c r="A49" s="6" t="s">
        <v>165</v>
      </c>
      <c r="B49" s="7">
        <f t="shared" si="0"/>
        <v>0.19828177050957141</v>
      </c>
      <c r="C49" s="7">
        <f t="shared" si="1"/>
        <v>2.3231511254019292E-2</v>
      </c>
      <c r="D49" s="7">
        <f t="shared" si="2"/>
        <v>0.31816720257234726</v>
      </c>
      <c r="E49" s="7">
        <f t="shared" si="3"/>
        <v>9.3971061093247585E-2</v>
      </c>
      <c r="F49" s="7">
        <f t="shared" si="4"/>
        <v>8.5048231511254013E-2</v>
      </c>
      <c r="G49" s="7">
        <f t="shared" si="5"/>
        <v>0.24935691318327974</v>
      </c>
      <c r="H49" s="7">
        <f t="shared" si="6"/>
        <v>7.3311897106109331E-2</v>
      </c>
      <c r="I49" s="7">
        <f t="shared" si="7"/>
        <v>9.7266881028938906E-2</v>
      </c>
      <c r="J49" s="7">
        <f t="shared" si="8"/>
        <v>1.1736334405144695E-2</v>
      </c>
      <c r="K49" s="7">
        <f t="shared" si="9"/>
        <v>3.4565916398713828E-2</v>
      </c>
      <c r="L49" s="7">
        <f t="shared" si="10"/>
        <v>1.2942122186495177E-2</v>
      </c>
      <c r="M49" s="7">
        <f t="shared" si="11"/>
        <v>7.8260730964790637E-3</v>
      </c>
      <c r="P49" s="7">
        <f t="shared" si="12"/>
        <v>0.20327069287046334</v>
      </c>
      <c r="Z49" s="7">
        <f t="shared" si="13"/>
        <v>0.19090199078722964</v>
      </c>
      <c r="AD49" s="7">
        <f t="shared" si="14"/>
        <v>3.3790784041824065E-3</v>
      </c>
      <c r="AH49" s="7">
        <f t="shared" si="15"/>
        <v>3.4826822231785654E-2</v>
      </c>
      <c r="AR49" s="7">
        <f t="shared" si="16"/>
        <v>0.12069047960598671</v>
      </c>
      <c r="BB49" s="7">
        <f t="shared" si="17"/>
        <v>0.11187618546677505</v>
      </c>
      <c r="BL49" s="7">
        <f t="shared" si="18"/>
        <v>3.184622005451155E-2</v>
      </c>
      <c r="BU49" s="7">
        <f t="shared" si="19"/>
        <v>9.7084747923938855E-2</v>
      </c>
      <c r="CA49" s="6">
        <f t="shared" si="20"/>
        <v>0.99998406095092363</v>
      </c>
    </row>
    <row r="50" spans="1:79">
      <c r="A50" s="6" t="s">
        <v>166</v>
      </c>
      <c r="B50" s="7">
        <f t="shared" si="0"/>
        <v>0.20679274411424162</v>
      </c>
      <c r="C50" s="7">
        <f t="shared" si="1"/>
        <v>2.6801045166106756E-2</v>
      </c>
      <c r="D50" s="7">
        <f t="shared" si="2"/>
        <v>0.28361328854050016</v>
      </c>
      <c r="E50" s="7">
        <f t="shared" si="3"/>
        <v>0.10623366927958193</v>
      </c>
      <c r="F50" s="7">
        <f t="shared" si="4"/>
        <v>8.1522956326987681E-2</v>
      </c>
      <c r="G50" s="7">
        <f t="shared" si="5"/>
        <v>0.24934677118327733</v>
      </c>
      <c r="H50" s="7">
        <f t="shared" si="6"/>
        <v>6.9130272489734981E-2</v>
      </c>
      <c r="I50" s="7">
        <f t="shared" si="7"/>
        <v>0.12482269503546099</v>
      </c>
      <c r="J50" s="7">
        <f t="shared" si="8"/>
        <v>1.2915266890630833E-2</v>
      </c>
      <c r="K50" s="7">
        <f t="shared" si="9"/>
        <v>3.0085852930197835E-2</v>
      </c>
      <c r="L50" s="7">
        <f t="shared" si="10"/>
        <v>1.5453527435610303E-2</v>
      </c>
      <c r="M50" s="7">
        <f t="shared" si="11"/>
        <v>8.2130451563103054E-3</v>
      </c>
      <c r="P50" s="7">
        <f t="shared" si="12"/>
        <v>0.20183712852180624</v>
      </c>
      <c r="Z50" s="7">
        <f t="shared" si="13"/>
        <v>0.1648012350443844</v>
      </c>
      <c r="AD50" s="7">
        <f t="shared" si="14"/>
        <v>3.4890003859513702E-3</v>
      </c>
      <c r="AH50" s="7">
        <f t="shared" si="15"/>
        <v>3.8101119258973366E-2</v>
      </c>
      <c r="AR50" s="7">
        <f t="shared" si="16"/>
        <v>0.1279351601698186</v>
      </c>
      <c r="BB50" s="7">
        <f t="shared" si="17"/>
        <v>0.11736009262832883</v>
      </c>
      <c r="BL50" s="7">
        <f t="shared" si="18"/>
        <v>3.4473176379776149E-2</v>
      </c>
      <c r="BU50" s="7">
        <f t="shared" si="19"/>
        <v>9.7059050559629489E-2</v>
      </c>
      <c r="CA50" s="6">
        <f t="shared" si="20"/>
        <v>1.0000617522192203</v>
      </c>
    </row>
    <row r="51" spans="1:79">
      <c r="A51" s="6" t="s">
        <v>167</v>
      </c>
      <c r="B51" s="7">
        <f t="shared" si="0"/>
        <v>0.1824054695130459</v>
      </c>
      <c r="C51" s="7">
        <f t="shared" si="1"/>
        <v>4.4060276906601394E-2</v>
      </c>
      <c r="D51" s="7">
        <f t="shared" si="2"/>
        <v>0.27071062495219156</v>
      </c>
      <c r="E51" s="7">
        <f t="shared" si="3"/>
        <v>0.11435783676279354</v>
      </c>
      <c r="F51" s="7">
        <f t="shared" si="4"/>
        <v>8.8732502103572253E-2</v>
      </c>
      <c r="G51" s="7">
        <f t="shared" si="5"/>
        <v>0.20569111910043603</v>
      </c>
      <c r="H51" s="7">
        <f t="shared" si="6"/>
        <v>7.0450546928784524E-2</v>
      </c>
      <c r="I51" s="7">
        <f t="shared" si="7"/>
        <v>0.14357836762793544</v>
      </c>
      <c r="J51" s="7">
        <f t="shared" si="8"/>
        <v>1.3845330069609118E-2</v>
      </c>
      <c r="K51" s="7">
        <f t="shared" si="9"/>
        <v>3.1515336954027383E-2</v>
      </c>
      <c r="L51" s="7">
        <f t="shared" si="10"/>
        <v>1.7058058594048804E-2</v>
      </c>
      <c r="M51" s="7">
        <f t="shared" si="11"/>
        <v>8.1065996930375327E-3</v>
      </c>
      <c r="P51" s="7">
        <f t="shared" si="12"/>
        <v>0.20431142737547092</v>
      </c>
      <c r="Z51" s="7">
        <f t="shared" si="13"/>
        <v>0.16709920468815403</v>
      </c>
      <c r="AD51" s="7">
        <f t="shared" si="14"/>
        <v>3.571926887121529E-3</v>
      </c>
      <c r="AH51" s="7">
        <f t="shared" si="15"/>
        <v>4.0588809822798937E-2</v>
      </c>
      <c r="AR51" s="7">
        <f t="shared" si="16"/>
        <v>0.13658434491419003</v>
      </c>
      <c r="BB51" s="7">
        <f t="shared" si="17"/>
        <v>0.12784986744802568</v>
      </c>
      <c r="BL51" s="7">
        <f t="shared" si="18"/>
        <v>3.4812334310032091E-2</v>
      </c>
      <c r="BU51" s="7">
        <f t="shared" si="19"/>
        <v>9.4670015348123346E-2</v>
      </c>
      <c r="CA51" s="6">
        <f t="shared" si="20"/>
        <v>0.99999999999999978</v>
      </c>
    </row>
    <row r="52" spans="1:79">
      <c r="A52" s="6" t="s">
        <v>168</v>
      </c>
      <c r="B52" s="7">
        <f t="shared" si="0"/>
        <v>0.20530773427554494</v>
      </c>
      <c r="C52" s="7">
        <f t="shared" si="1"/>
        <v>4.1695665928503635E-2</v>
      </c>
      <c r="D52" s="7">
        <f t="shared" si="2"/>
        <v>0.18298006959822841</v>
      </c>
      <c r="E52" s="7">
        <f t="shared" si="3"/>
        <v>0.11135716545397026</v>
      </c>
      <c r="F52" s="7">
        <f t="shared" si="4"/>
        <v>6.6434672571970901E-2</v>
      </c>
      <c r="G52" s="7">
        <f t="shared" si="5"/>
        <v>0.36450490351154696</v>
      </c>
      <c r="H52" s="7">
        <f t="shared" si="6"/>
        <v>6.8585890540968045E-2</v>
      </c>
      <c r="I52" s="7">
        <f t="shared" si="7"/>
        <v>0.10433407149636191</v>
      </c>
      <c r="J52" s="7">
        <f t="shared" si="8"/>
        <v>1.2401138880101234E-2</v>
      </c>
      <c r="K52" s="7">
        <f t="shared" si="9"/>
        <v>3.163555836760519E-2</v>
      </c>
      <c r="L52" s="7">
        <f t="shared" si="10"/>
        <v>1.6007592534008224E-2</v>
      </c>
      <c r="M52" s="7">
        <f t="shared" si="11"/>
        <v>9.586656621028292E-3</v>
      </c>
      <c r="P52" s="7">
        <f t="shared" si="12"/>
        <v>0.19512353537190513</v>
      </c>
      <c r="Z52" s="7">
        <f t="shared" si="13"/>
        <v>0.1688966251851082</v>
      </c>
      <c r="AD52" s="7">
        <f t="shared" si="14"/>
        <v>3.0656517107895353E-3</v>
      </c>
      <c r="AH52" s="7">
        <f t="shared" si="15"/>
        <v>3.8970148865968668E-2</v>
      </c>
      <c r="AR52" s="7">
        <f t="shared" si="16"/>
        <v>0.12244420773687356</v>
      </c>
      <c r="BB52" s="7">
        <f t="shared" si="17"/>
        <v>0.12936790418539398</v>
      </c>
      <c r="BL52" s="7">
        <f t="shared" si="18"/>
        <v>3.6528019537034634E-2</v>
      </c>
      <c r="BU52" s="7">
        <f t="shared" si="19"/>
        <v>9.0774466758463013E-2</v>
      </c>
      <c r="CA52" s="6">
        <f t="shared" si="20"/>
        <v>1.00006495024811</v>
      </c>
    </row>
    <row r="53" spans="1:79">
      <c r="A53" s="6" t="s">
        <v>169</v>
      </c>
      <c r="B53" s="7">
        <f t="shared" si="0"/>
        <v>0.202865903998113</v>
      </c>
      <c r="C53" s="7">
        <f t="shared" si="1"/>
        <v>4.3195163071914421E-2</v>
      </c>
      <c r="D53" s="7">
        <f t="shared" si="2"/>
        <v>0.20010464507877448</v>
      </c>
      <c r="E53" s="7">
        <f t="shared" si="3"/>
        <v>0.10662170804023022</v>
      </c>
      <c r="F53" s="7">
        <f t="shared" si="4"/>
        <v>6.9937794314284055E-2</v>
      </c>
      <c r="G53" s="7">
        <f t="shared" si="5"/>
        <v>0.35125864775303761</v>
      </c>
      <c r="H53" s="7">
        <f t="shared" si="6"/>
        <v>6.720539503517238E-2</v>
      </c>
      <c r="I53" s="7">
        <f t="shared" si="7"/>
        <v>0.10016859484913668</v>
      </c>
      <c r="J53" s="7">
        <f t="shared" si="8"/>
        <v>1.1220277890820302E-2</v>
      </c>
      <c r="K53" s="7">
        <f t="shared" si="9"/>
        <v>3.2439974420091854E-2</v>
      </c>
      <c r="L53" s="7">
        <f t="shared" si="10"/>
        <v>1.7615254927039126E-2</v>
      </c>
      <c r="M53" s="7">
        <f t="shared" si="11"/>
        <v>1.0520108503361245E-2</v>
      </c>
      <c r="P53" s="7">
        <f t="shared" si="12"/>
        <v>0.20219365491213587</v>
      </c>
      <c r="Z53" s="7">
        <f t="shared" si="13"/>
        <v>0.17653025120886898</v>
      </c>
      <c r="AD53" s="7">
        <f t="shared" si="14"/>
        <v>3.1843377756810946E-3</v>
      </c>
      <c r="AH53" s="7">
        <f t="shared" si="15"/>
        <v>3.7929001061445929E-2</v>
      </c>
      <c r="AR53" s="7">
        <f t="shared" si="16"/>
        <v>0.11695954711640523</v>
      </c>
      <c r="BB53" s="7">
        <f t="shared" si="17"/>
        <v>0.13354169123717419</v>
      </c>
      <c r="BL53" s="7">
        <f t="shared" si="18"/>
        <v>3.6018398396037266E-2</v>
      </c>
      <c r="BU53" s="7">
        <f t="shared" si="19"/>
        <v>8.0280693478004483E-2</v>
      </c>
      <c r="CA53" s="6">
        <f t="shared" si="20"/>
        <v>1.0000235876872272</v>
      </c>
    </row>
    <row r="54" spans="1:79">
      <c r="A54" s="6" t="s">
        <v>170</v>
      </c>
      <c r="B54" s="7">
        <f t="shared" si="0"/>
        <v>0.17031701259734569</v>
      </c>
      <c r="C54" s="7">
        <f t="shared" si="1"/>
        <v>3.7410926365795724E-2</v>
      </c>
      <c r="D54" s="7">
        <f t="shared" si="2"/>
        <v>0.25804961731327525</v>
      </c>
      <c r="E54" s="7">
        <f t="shared" si="3"/>
        <v>0.14133016627078385</v>
      </c>
      <c r="F54" s="7">
        <f t="shared" si="4"/>
        <v>7.7724993401953019E-2</v>
      </c>
      <c r="G54" s="7">
        <f t="shared" si="5"/>
        <v>0.33102401689100025</v>
      </c>
      <c r="H54" s="7">
        <f t="shared" si="6"/>
        <v>7.4887833201372392E-2</v>
      </c>
      <c r="I54" s="7">
        <f t="shared" si="7"/>
        <v>1.1876484560570071E-2</v>
      </c>
      <c r="J54" s="7">
        <f t="shared" si="8"/>
        <v>1.1612562681446292E-2</v>
      </c>
      <c r="K54" s="7">
        <f t="shared" si="9"/>
        <v>3.5959356030614939E-2</v>
      </c>
      <c r="L54" s="7">
        <f t="shared" si="10"/>
        <v>1.9860121404064398E-2</v>
      </c>
      <c r="M54" s="7">
        <f t="shared" si="11"/>
        <v>1.2990661557306124E-2</v>
      </c>
      <c r="P54" s="7">
        <f t="shared" si="12"/>
        <v>0.20125411576971916</v>
      </c>
      <c r="Z54" s="7">
        <f t="shared" si="13"/>
        <v>0.16942924247361973</v>
      </c>
      <c r="AD54" s="7">
        <f t="shared" si="14"/>
        <v>4.3264746536010876E-3</v>
      </c>
      <c r="AH54" s="7">
        <f t="shared" si="15"/>
        <v>3.8061739355186711E-2</v>
      </c>
      <c r="AR54" s="7">
        <f t="shared" si="16"/>
        <v>0.11712946834930944</v>
      </c>
      <c r="BB54" s="7">
        <f t="shared" si="17"/>
        <v>0.11972535314147011</v>
      </c>
      <c r="BL54" s="7">
        <f t="shared" si="18"/>
        <v>3.7556047512558012E-2</v>
      </c>
      <c r="BU54" s="7">
        <f t="shared" si="19"/>
        <v>0.12917617180037533</v>
      </c>
      <c r="CA54" s="6">
        <f t="shared" si="20"/>
        <v>0.99996628721049152</v>
      </c>
    </row>
    <row r="55" spans="1:79">
      <c r="A55" s="6" t="s">
        <v>171</v>
      </c>
      <c r="B55" s="7">
        <f t="shared" si="0"/>
        <v>0.18270746780523173</v>
      </c>
      <c r="C55" s="7">
        <f t="shared" si="1"/>
        <v>4.396573444192492E-2</v>
      </c>
      <c r="D55" s="7">
        <f t="shared" si="2"/>
        <v>0.26221970269589318</v>
      </c>
      <c r="E55" s="7">
        <f t="shared" si="3"/>
        <v>0.1391408415217939</v>
      </c>
      <c r="F55" s="7">
        <f t="shared" si="4"/>
        <v>8.7364575459813548E-2</v>
      </c>
      <c r="G55" s="7">
        <f t="shared" si="5"/>
        <v>0.30750818846056943</v>
      </c>
      <c r="H55" s="7">
        <f t="shared" si="6"/>
        <v>7.5081884605694135E-2</v>
      </c>
      <c r="I55" s="7">
        <f t="shared" si="7"/>
        <v>1.0330057949105569E-2</v>
      </c>
      <c r="J55" s="7">
        <f t="shared" si="8"/>
        <v>1.3416477702191988E-2</v>
      </c>
      <c r="K55" s="7">
        <f t="shared" si="9"/>
        <v>3.9430587049634667E-2</v>
      </c>
      <c r="L55" s="7">
        <f t="shared" si="10"/>
        <v>2.1667926429831192E-2</v>
      </c>
      <c r="M55" s="7">
        <f t="shared" si="11"/>
        <v>1.6134786461510134E-2</v>
      </c>
      <c r="P55" s="7">
        <f t="shared" si="12"/>
        <v>0.19181061765619786</v>
      </c>
      <c r="Z55" s="7">
        <f t="shared" si="13"/>
        <v>0.16645759727480924</v>
      </c>
      <c r="AD55" s="7">
        <f t="shared" si="14"/>
        <v>3.7287238327598309E-3</v>
      </c>
      <c r="AH55" s="7">
        <f t="shared" si="15"/>
        <v>4.4353400158816017E-2</v>
      </c>
      <c r="AR55" s="7">
        <f t="shared" si="16"/>
        <v>0.12288676878459714</v>
      </c>
      <c r="BB55" s="7">
        <f t="shared" si="17"/>
        <v>0.12644286651398848</v>
      </c>
      <c r="BL55" s="7">
        <f t="shared" si="18"/>
        <v>4.1706466573832188E-2</v>
      </c>
      <c r="BU55" s="7">
        <f t="shared" si="19"/>
        <v>0.10375979653136616</v>
      </c>
      <c r="CA55" s="6">
        <f t="shared" si="20"/>
        <v>0.99998849159310876</v>
      </c>
    </row>
    <row r="56" spans="1:79">
      <c r="A56" s="6" t="s">
        <v>172</v>
      </c>
      <c r="B56" s="7">
        <f t="shared" si="0"/>
        <v>0.17185446966607765</v>
      </c>
      <c r="C56" s="7">
        <f t="shared" si="1"/>
        <v>4.2077511204851044E-2</v>
      </c>
      <c r="D56" s="7">
        <f t="shared" si="2"/>
        <v>0.26564724492486158</v>
      </c>
      <c r="E56" s="7">
        <f t="shared" si="3"/>
        <v>0.14363300817295016</v>
      </c>
      <c r="F56" s="7">
        <f t="shared" si="4"/>
        <v>8.9111521223306095E-2</v>
      </c>
      <c r="G56" s="7">
        <f t="shared" si="5"/>
        <v>0.28505141049301347</v>
      </c>
      <c r="H56" s="7">
        <f t="shared" si="6"/>
        <v>7.6983917743211172E-2</v>
      </c>
      <c r="I56" s="7">
        <f t="shared" si="7"/>
        <v>1.1020300553651463E-2</v>
      </c>
      <c r="J56" s="7">
        <f t="shared" si="8"/>
        <v>1.3551278671236488E-2</v>
      </c>
      <c r="K56" s="7">
        <f t="shared" si="9"/>
        <v>5.1515950435011865E-2</v>
      </c>
      <c r="L56" s="7">
        <f t="shared" si="10"/>
        <v>2.1882414974953864E-2</v>
      </c>
      <c r="M56" s="7">
        <f t="shared" si="11"/>
        <v>1.6039146391192062E-2</v>
      </c>
      <c r="P56" s="7">
        <f t="shared" si="12"/>
        <v>0.19242444837116579</v>
      </c>
      <c r="Z56" s="7">
        <f t="shared" si="13"/>
        <v>0.20878981468895835</v>
      </c>
      <c r="AD56" s="7">
        <f t="shared" si="14"/>
        <v>2.7638077114765982E-3</v>
      </c>
      <c r="AH56" s="7">
        <f t="shared" si="15"/>
        <v>4.2743872049295459E-2</v>
      </c>
      <c r="AR56" s="7">
        <f t="shared" si="16"/>
        <v>0.12298491232839473</v>
      </c>
      <c r="BB56" s="7">
        <f t="shared" si="17"/>
        <v>0.11315300620724027</v>
      </c>
      <c r="BL56" s="7">
        <f t="shared" si="18"/>
        <v>3.7778079833265373E-2</v>
      </c>
      <c r="BU56" s="7">
        <f t="shared" si="19"/>
        <v>9.1486566082189302E-2</v>
      </c>
      <c r="CA56" s="6">
        <f t="shared" si="20"/>
        <v>1.0000181233292555</v>
      </c>
    </row>
    <row r="57" spans="1:79">
      <c r="A57" s="6" t="s">
        <v>173</v>
      </c>
      <c r="B57" s="7">
        <f t="shared" si="0"/>
        <v>0.17947294970252425</v>
      </c>
      <c r="C57" s="7">
        <f t="shared" si="1"/>
        <v>4.6837342549224684E-2</v>
      </c>
      <c r="D57" s="7">
        <f t="shared" si="2"/>
        <v>0.28961848028739029</v>
      </c>
      <c r="E57" s="7">
        <f t="shared" si="3"/>
        <v>0.13864762857532628</v>
      </c>
      <c r="F57" s="7">
        <f t="shared" si="4"/>
        <v>7.7804556409440229E-2</v>
      </c>
      <c r="G57" s="7">
        <f t="shared" si="5"/>
        <v>0.28561684325405851</v>
      </c>
      <c r="H57" s="7">
        <f t="shared" si="6"/>
        <v>7.430312400527489E-2</v>
      </c>
      <c r="I57" s="7">
        <f t="shared" si="7"/>
        <v>1.0185985175753717E-2</v>
      </c>
      <c r="J57" s="7">
        <f t="shared" si="8"/>
        <v>1.1732072211359192E-2</v>
      </c>
      <c r="K57" s="7">
        <f t="shared" si="9"/>
        <v>4.5336728661725251E-2</v>
      </c>
      <c r="L57" s="7">
        <f t="shared" si="10"/>
        <v>1.978081942612887E-2</v>
      </c>
      <c r="M57" s="7">
        <f t="shared" si="11"/>
        <v>1.7832222049930221E-2</v>
      </c>
      <c r="P57" s="7">
        <f t="shared" si="12"/>
        <v>0.19399988574319968</v>
      </c>
      <c r="Z57" s="7">
        <f t="shared" si="13"/>
        <v>0.20752299418106437</v>
      </c>
      <c r="AD57" s="7">
        <f t="shared" si="14"/>
        <v>2.5136496070382189E-3</v>
      </c>
      <c r="AH57" s="7">
        <f t="shared" si="15"/>
        <v>4.4241865323877222E-2</v>
      </c>
      <c r="AR57" s="7">
        <f t="shared" si="16"/>
        <v>0.11359574311806808</v>
      </c>
      <c r="BB57" s="7">
        <f t="shared" si="17"/>
        <v>0.11296733071630853</v>
      </c>
      <c r="BL57" s="7">
        <f t="shared" si="18"/>
        <v>3.7255878104316457E-2</v>
      </c>
      <c r="BU57" s="7">
        <f t="shared" si="19"/>
        <v>9.0556675453558694E-2</v>
      </c>
      <c r="CA57" s="6">
        <f t="shared" si="20"/>
        <v>0.99995919399988564</v>
      </c>
    </row>
    <row r="58" spans="1:79">
      <c r="A58" s="6" t="s">
        <v>174</v>
      </c>
      <c r="B58" s="7">
        <f t="shared" si="0"/>
        <v>0.17698270521857054</v>
      </c>
      <c r="C58" s="7">
        <f t="shared" si="1"/>
        <v>5.5245482924983443E-2</v>
      </c>
      <c r="D58" s="7">
        <f t="shared" si="2"/>
        <v>0.28152492668621704</v>
      </c>
      <c r="E58" s="7">
        <f t="shared" si="3"/>
        <v>0.13655283322296849</v>
      </c>
      <c r="F58" s="7">
        <f t="shared" si="4"/>
        <v>7.6955822533345944E-2</v>
      </c>
      <c r="G58" s="7">
        <f t="shared" si="5"/>
        <v>0.28185602119004827</v>
      </c>
      <c r="H58" s="7">
        <f t="shared" si="6"/>
        <v>7.7759909185507514E-2</v>
      </c>
      <c r="I58" s="7">
        <f t="shared" si="7"/>
        <v>1.0878819411597768E-2</v>
      </c>
      <c r="J58" s="7">
        <f t="shared" si="8"/>
        <v>1.3291079368082491E-2</v>
      </c>
      <c r="K58" s="7">
        <f t="shared" si="9"/>
        <v>4.5359947024879388E-2</v>
      </c>
      <c r="L58" s="7">
        <f t="shared" si="10"/>
        <v>2.0764355311701826E-2</v>
      </c>
      <c r="M58" s="7">
        <f t="shared" si="11"/>
        <v>2.1907281220177804E-2</v>
      </c>
      <c r="P58" s="7">
        <f t="shared" si="12"/>
        <v>0.18453347620084046</v>
      </c>
      <c r="Z58" s="7">
        <f t="shared" si="13"/>
        <v>0.20675886085486112</v>
      </c>
      <c r="AD58" s="7">
        <f t="shared" si="14"/>
        <v>2.6452811866932309E-3</v>
      </c>
      <c r="AH58" s="7">
        <f t="shared" si="15"/>
        <v>4.2508664133000723E-2</v>
      </c>
      <c r="AR58" s="7">
        <f t="shared" si="16"/>
        <v>0.11267558472433827</v>
      </c>
      <c r="BB58" s="7">
        <f t="shared" si="17"/>
        <v>0.11884511711229051</v>
      </c>
      <c r="BL58" s="7">
        <f t="shared" si="18"/>
        <v>3.7092534614676285E-2</v>
      </c>
      <c r="BU58" s="7">
        <f t="shared" si="19"/>
        <v>9.6042123591555187E-2</v>
      </c>
      <c r="CA58" s="6">
        <f t="shared" si="20"/>
        <v>0.9999916288570041</v>
      </c>
    </row>
    <row r="59" spans="1:79">
      <c r="A59" s="6" t="s">
        <v>175</v>
      </c>
      <c r="B59" s="7">
        <f t="shared" si="0"/>
        <v>0.1517747971395754</v>
      </c>
      <c r="C59" s="7">
        <f t="shared" si="1"/>
        <v>5.9139456820262434E-2</v>
      </c>
      <c r="D59" s="7">
        <f t="shared" si="2"/>
        <v>0.32401586817210865</v>
      </c>
      <c r="E59" s="7">
        <f t="shared" si="3"/>
        <v>0.12639609398840404</v>
      </c>
      <c r="F59" s="7">
        <f t="shared" si="4"/>
        <v>8.2453463533719865E-2</v>
      </c>
      <c r="G59" s="7">
        <f t="shared" si="5"/>
        <v>0.22282575526396095</v>
      </c>
      <c r="H59" s="7">
        <f t="shared" si="6"/>
        <v>7.5129691791272504E-2</v>
      </c>
      <c r="I59" s="7">
        <f t="shared" si="7"/>
        <v>1.0863594751296918E-2</v>
      </c>
      <c r="J59" s="7">
        <f t="shared" si="8"/>
        <v>1.7149832163564235E-2</v>
      </c>
      <c r="K59" s="7">
        <f t="shared" si="9"/>
        <v>5.2975282270369239E-2</v>
      </c>
      <c r="L59" s="7">
        <f t="shared" si="10"/>
        <v>2.923405553860238E-2</v>
      </c>
      <c r="M59" s="7">
        <f t="shared" si="11"/>
        <v>2.4324724887917301E-2</v>
      </c>
      <c r="P59" s="7">
        <f t="shared" si="12"/>
        <v>0.18713179443476971</v>
      </c>
      <c r="Z59" s="7">
        <f t="shared" si="13"/>
        <v>0.19774723035310682</v>
      </c>
      <c r="AD59" s="7">
        <f t="shared" si="14"/>
        <v>3.0197487865426657E-3</v>
      </c>
      <c r="AH59" s="7">
        <f t="shared" si="15"/>
        <v>4.8102930823668899E-2</v>
      </c>
      <c r="AR59" s="7">
        <f t="shared" si="16"/>
        <v>0.10532994923857868</v>
      </c>
      <c r="BB59" s="7">
        <f t="shared" si="17"/>
        <v>0.1153340249731372</v>
      </c>
      <c r="BL59" s="7">
        <f t="shared" si="18"/>
        <v>3.9673570713994591E-2</v>
      </c>
      <c r="BU59" s="7">
        <f t="shared" si="19"/>
        <v>0.12752417651635853</v>
      </c>
      <c r="CA59" s="6">
        <f t="shared" si="20"/>
        <v>0.99996294786764961</v>
      </c>
    </row>
    <row r="60" spans="1:79">
      <c r="A60" s="6" t="s">
        <v>176</v>
      </c>
      <c r="B60" s="7">
        <f t="shared" si="0"/>
        <v>0.173537228397001</v>
      </c>
      <c r="C60" s="7">
        <f t="shared" si="1"/>
        <v>4.0561698796359721E-2</v>
      </c>
      <c r="D60" s="7">
        <f t="shared" si="2"/>
        <v>0.32057931304432918</v>
      </c>
      <c r="E60" s="7">
        <f t="shared" si="3"/>
        <v>0.11630296506507486</v>
      </c>
      <c r="F60" s="7">
        <f t="shared" si="4"/>
        <v>6.0230942362266365E-2</v>
      </c>
      <c r="G60" s="7">
        <f t="shared" si="5"/>
        <v>0.30296506507486054</v>
      </c>
      <c r="H60" s="7">
        <f t="shared" si="6"/>
        <v>6.2873079557686659E-2</v>
      </c>
      <c r="I60" s="7">
        <f t="shared" si="7"/>
        <v>9.7856933163714653E-3</v>
      </c>
      <c r="J60" s="7">
        <f t="shared" si="8"/>
        <v>1.3993541442411194E-2</v>
      </c>
      <c r="K60" s="7">
        <f t="shared" si="9"/>
        <v>4.9760250513748897E-2</v>
      </c>
      <c r="L60" s="7">
        <f t="shared" si="10"/>
        <v>2.2800665427145515E-2</v>
      </c>
      <c r="M60" s="7">
        <f t="shared" si="11"/>
        <v>2.4997240454093891E-2</v>
      </c>
      <c r="P60" s="7">
        <f t="shared" si="12"/>
        <v>0.19580039567642837</v>
      </c>
      <c r="Z60" s="7">
        <f t="shared" si="13"/>
        <v>0.20240632403012576</v>
      </c>
      <c r="AD60" s="7">
        <f t="shared" si="14"/>
        <v>3.0991823253207441E-3</v>
      </c>
      <c r="AH60" s="7">
        <f t="shared" si="15"/>
        <v>4.6895298582867041E-2</v>
      </c>
      <c r="AR60" s="7">
        <f t="shared" si="16"/>
        <v>0.10200130760021398</v>
      </c>
      <c r="BB60" s="7">
        <f t="shared" si="17"/>
        <v>0.10165318027052041</v>
      </c>
      <c r="BL60" s="7">
        <f t="shared" si="18"/>
        <v>3.7393969755376871E-2</v>
      </c>
      <c r="BU60" s="7">
        <f t="shared" si="19"/>
        <v>0.11222436381853226</v>
      </c>
      <c r="CA60" s="6">
        <f t="shared" si="20"/>
        <v>1.0000084909104803</v>
      </c>
    </row>
    <row r="61" spans="1:79">
      <c r="A61" s="6" t="s">
        <v>177</v>
      </c>
      <c r="B61" s="7">
        <f t="shared" si="0"/>
        <v>0.13473540408398044</v>
      </c>
      <c r="C61" s="7">
        <f t="shared" si="1"/>
        <v>4.3598911361331982E-2</v>
      </c>
      <c r="D61" s="7">
        <f t="shared" si="2"/>
        <v>0.36608143444153901</v>
      </c>
      <c r="E61" s="7">
        <f t="shared" si="3"/>
        <v>0.13015635839692619</v>
      </c>
      <c r="F61" s="7">
        <f t="shared" si="4"/>
        <v>6.5211590799935965E-2</v>
      </c>
      <c r="G61" s="7">
        <f t="shared" si="5"/>
        <v>0.23512460643577565</v>
      </c>
      <c r="H61" s="7">
        <f t="shared" si="6"/>
        <v>6.8787021719408717E-2</v>
      </c>
      <c r="I61" s="7">
        <f t="shared" si="7"/>
        <v>1.1313303804898873E-2</v>
      </c>
      <c r="J61" s="7">
        <f t="shared" si="8"/>
        <v>1.3074336944340679E-2</v>
      </c>
      <c r="K61" s="7">
        <f t="shared" si="9"/>
        <v>4.301190031485138E-2</v>
      </c>
      <c r="L61" s="7">
        <f t="shared" si="10"/>
        <v>2.3587171140402371E-2</v>
      </c>
      <c r="M61" s="7">
        <f t="shared" si="11"/>
        <v>2.1304285303422491E-2</v>
      </c>
      <c r="P61" s="7">
        <f t="shared" si="12"/>
        <v>0.21662352602818521</v>
      </c>
      <c r="Z61" s="7">
        <f t="shared" si="13"/>
        <v>0.25575208513085995</v>
      </c>
      <c r="AD61" s="7">
        <f t="shared" si="14"/>
        <v>2.1067011791774518E-3</v>
      </c>
      <c r="AH61" s="7">
        <f t="shared" si="15"/>
        <v>4.6455277538107562E-2</v>
      </c>
      <c r="AR61" s="7">
        <f t="shared" si="16"/>
        <v>9.3018406672418757E-2</v>
      </c>
      <c r="BB61" s="7">
        <f t="shared" si="17"/>
        <v>9.451394880644233E-2</v>
      </c>
      <c r="BL61" s="7">
        <f t="shared" si="18"/>
        <v>3.1924072476272651E-2</v>
      </c>
      <c r="BU61" s="7">
        <f t="shared" si="19"/>
        <v>0.10354472246189243</v>
      </c>
      <c r="CA61" s="6">
        <f t="shared" si="20"/>
        <v>0.99997842968075923</v>
      </c>
    </row>
    <row r="62" spans="1:79">
      <c r="A62" s="6" t="s">
        <v>178</v>
      </c>
      <c r="B62" s="7">
        <f t="shared" si="0"/>
        <v>0.12253821304037178</v>
      </c>
      <c r="C62" s="7">
        <f t="shared" si="1"/>
        <v>4.3905113126681952E-2</v>
      </c>
      <c r="D62" s="7">
        <f t="shared" si="2"/>
        <v>0.35303498455098176</v>
      </c>
      <c r="E62" s="7">
        <f t="shared" si="3"/>
        <v>0.12080135552676169</v>
      </c>
      <c r="F62" s="7">
        <f t="shared" si="4"/>
        <v>6.0899033190471442E-2</v>
      </c>
      <c r="G62" s="7">
        <f t="shared" si="5"/>
        <v>0.25879597328814913</v>
      </c>
      <c r="H62" s="7">
        <f t="shared" si="6"/>
        <v>7.2411043556264335E-2</v>
      </c>
      <c r="I62" s="7">
        <f t="shared" si="7"/>
        <v>1.3854280873118708E-2</v>
      </c>
      <c r="J62" s="7">
        <f t="shared" si="8"/>
        <v>1.0814312767866043E-2</v>
      </c>
      <c r="K62" s="7">
        <f t="shared" si="9"/>
        <v>4.355626432771853E-2</v>
      </c>
      <c r="L62" s="7">
        <f t="shared" si="10"/>
        <v>2.1877803249277385E-2</v>
      </c>
      <c r="M62" s="7">
        <f t="shared" si="11"/>
        <v>1.8375235873541246E-2</v>
      </c>
      <c r="P62" s="7">
        <f t="shared" si="12"/>
        <v>0.23933607323224612</v>
      </c>
      <c r="Z62" s="7">
        <f t="shared" si="13"/>
        <v>0.2402215531929186</v>
      </c>
      <c r="AD62" s="7">
        <f t="shared" si="14"/>
        <v>1.7587464046460218E-3</v>
      </c>
      <c r="AH62" s="7">
        <f t="shared" si="15"/>
        <v>4.2173273161407732E-2</v>
      </c>
      <c r="AR62" s="7">
        <f t="shared" si="16"/>
        <v>0.10556753158720757</v>
      </c>
      <c r="BB62" s="7">
        <f t="shared" si="17"/>
        <v>7.9375645026350666E-2</v>
      </c>
      <c r="BL62" s="7">
        <f t="shared" si="18"/>
        <v>2.9330760352482093E-2</v>
      </c>
      <c r="BU62" s="7">
        <f t="shared" si="19"/>
        <v>0.12135960867892497</v>
      </c>
      <c r="CA62" s="6">
        <f t="shared" si="20"/>
        <v>1.0000366405500967</v>
      </c>
    </row>
    <row r="63" spans="1:79">
      <c r="A63" s="6" t="s">
        <v>179</v>
      </c>
      <c r="B63" s="7">
        <f t="shared" si="0"/>
        <v>0.1035062297340634</v>
      </c>
      <c r="C63" s="7">
        <f t="shared" si="1"/>
        <v>5.3244592346089852E-2</v>
      </c>
      <c r="D63" s="7">
        <f t="shared" si="2"/>
        <v>0.38005622812553791</v>
      </c>
      <c r="E63" s="7">
        <f t="shared" si="3"/>
        <v>0.13970967927018188</v>
      </c>
      <c r="F63" s="7">
        <f t="shared" si="4"/>
        <v>6.3686958517413503E-2</v>
      </c>
      <c r="G63" s="7">
        <f t="shared" si="5"/>
        <v>0.19289689597796775</v>
      </c>
      <c r="H63" s="7">
        <f t="shared" si="6"/>
        <v>7.3727695220609332E-2</v>
      </c>
      <c r="I63" s="7">
        <f t="shared" si="7"/>
        <v>1.2794767341786677E-2</v>
      </c>
      <c r="J63" s="7">
        <f t="shared" si="8"/>
        <v>1.468816340581789E-2</v>
      </c>
      <c r="K63" s="7">
        <f t="shared" si="9"/>
        <v>4.3662860749325835E-2</v>
      </c>
      <c r="L63" s="7">
        <f t="shared" si="10"/>
        <v>2.5474783406965403E-2</v>
      </c>
      <c r="M63" s="7">
        <f t="shared" si="11"/>
        <v>1.9283075790148825E-2</v>
      </c>
      <c r="P63" s="7">
        <f t="shared" si="12"/>
        <v>0.2497832361360208</v>
      </c>
      <c r="Z63" s="7">
        <f t="shared" si="13"/>
        <v>0.22726354922618269</v>
      </c>
      <c r="AD63" s="7">
        <f t="shared" si="14"/>
        <v>2.1557611677930468E-3</v>
      </c>
      <c r="AH63" s="7">
        <f t="shared" si="15"/>
        <v>4.6927891867494922E-2</v>
      </c>
      <c r="AR63" s="7">
        <f t="shared" si="16"/>
        <v>0.11034171486940719</v>
      </c>
      <c r="BB63" s="7">
        <f t="shared" si="17"/>
        <v>8.1770455976150042E-2</v>
      </c>
      <c r="BL63" s="7">
        <f t="shared" si="18"/>
        <v>3.006782036511349E-2</v>
      </c>
      <c r="BU63" s="7">
        <f t="shared" si="19"/>
        <v>0.12891808107562386</v>
      </c>
      <c r="CA63" s="6">
        <f t="shared" si="20"/>
        <v>1.0000178162079982</v>
      </c>
    </row>
    <row r="64" spans="1:79">
      <c r="A64" s="6" t="s">
        <v>180</v>
      </c>
      <c r="B64" s="7">
        <f t="shared" si="0"/>
        <v>9.8106062309695471E-2</v>
      </c>
      <c r="C64" s="7">
        <f t="shared" si="1"/>
        <v>5.1299683674872781E-2</v>
      </c>
      <c r="D64" s="7">
        <f t="shared" si="2"/>
        <v>0.32994086095447667</v>
      </c>
      <c r="E64" s="7">
        <f t="shared" si="3"/>
        <v>0.12171640764681611</v>
      </c>
      <c r="F64" s="7">
        <f t="shared" si="4"/>
        <v>5.0703708797506075E-2</v>
      </c>
      <c r="G64" s="7">
        <f t="shared" si="5"/>
        <v>0.27955806170632191</v>
      </c>
      <c r="H64" s="7">
        <f t="shared" si="6"/>
        <v>6.4502819419612153E-2</v>
      </c>
      <c r="I64" s="7">
        <f t="shared" si="7"/>
        <v>1.0956768899280246E-2</v>
      </c>
      <c r="J64" s="7">
        <f t="shared" si="8"/>
        <v>1.2332095539357263E-2</v>
      </c>
      <c r="K64" s="7">
        <f t="shared" si="9"/>
        <v>5.1299683674872781E-2</v>
      </c>
      <c r="L64" s="7">
        <f t="shared" si="10"/>
        <v>2.7827442350891671E-2</v>
      </c>
      <c r="M64" s="7">
        <f t="shared" si="11"/>
        <v>1.2480828996901156E-2</v>
      </c>
      <c r="P64" s="7">
        <f t="shared" si="12"/>
        <v>0.25303025532852691</v>
      </c>
      <c r="Z64" s="7">
        <f t="shared" si="13"/>
        <v>0.31980156606293936</v>
      </c>
      <c r="AD64" s="7">
        <f t="shared" si="14"/>
        <v>2.57262493197386E-3</v>
      </c>
      <c r="AH64" s="7">
        <f t="shared" si="15"/>
        <v>3.8076648031627094E-2</v>
      </c>
      <c r="AR64" s="7">
        <f t="shared" si="16"/>
        <v>8.103318776114167E-2</v>
      </c>
      <c r="BB64" s="7">
        <f t="shared" si="17"/>
        <v>6.8754750585811888E-2</v>
      </c>
      <c r="BL64" s="7">
        <f t="shared" si="18"/>
        <v>2.4134100323377154E-2</v>
      </c>
      <c r="BU64" s="7">
        <f t="shared" si="19"/>
        <v>0.10200547807197054</v>
      </c>
      <c r="CA64" s="6">
        <f t="shared" si="20"/>
        <v>0.99999550240396518</v>
      </c>
    </row>
    <row r="65" spans="1:79">
      <c r="A65" s="6" t="s">
        <v>181</v>
      </c>
      <c r="B65" s="7">
        <f t="shared" si="0"/>
        <v>0.11001444880848206</v>
      </c>
      <c r="C65" s="7">
        <f t="shared" si="1"/>
        <v>5.322789493155753E-2</v>
      </c>
      <c r="D65" s="7">
        <f t="shared" si="2"/>
        <v>0.30683499815020349</v>
      </c>
      <c r="E65" s="7">
        <f t="shared" si="3"/>
        <v>9.8825379208287087E-2</v>
      </c>
      <c r="F65" s="7">
        <f t="shared" si="4"/>
        <v>4.7817240103588607E-2</v>
      </c>
      <c r="G65" s="7">
        <f t="shared" si="5"/>
        <v>0.29980577136514985</v>
      </c>
      <c r="H65" s="7">
        <f t="shared" si="6"/>
        <v>7.8107658157602664E-2</v>
      </c>
      <c r="I65" s="7">
        <f t="shared" si="7"/>
        <v>1.2578616352201259E-2</v>
      </c>
      <c r="J65" s="7">
        <f t="shared" si="8"/>
        <v>1.4058453570107288E-2</v>
      </c>
      <c r="K65" s="7">
        <f t="shared" si="9"/>
        <v>5.8407325194228636E-2</v>
      </c>
      <c r="L65" s="7">
        <f t="shared" si="10"/>
        <v>3.029041805401406E-2</v>
      </c>
      <c r="M65" s="7">
        <f t="shared" si="11"/>
        <v>1.317690632695008E-2</v>
      </c>
      <c r="P65" s="7">
        <f t="shared" si="12"/>
        <v>0.26112660005291111</v>
      </c>
      <c r="Z65" s="7">
        <f t="shared" si="13"/>
        <v>0.29424184456338143</v>
      </c>
      <c r="AD65" s="7">
        <f t="shared" si="14"/>
        <v>2.2639858360976005E-3</v>
      </c>
      <c r="AH65" s="7">
        <f t="shared" si="15"/>
        <v>4.1168928956633224E-2</v>
      </c>
      <c r="AR65" s="7">
        <f t="shared" si="16"/>
        <v>6.9807077881112761E-2</v>
      </c>
      <c r="BB65" s="7">
        <f t="shared" si="17"/>
        <v>6.0552717800525041E-2</v>
      </c>
      <c r="BL65" s="7">
        <f t="shared" si="18"/>
        <v>2.5784000488410428E-2</v>
      </c>
      <c r="BU65" s="7">
        <f t="shared" si="19"/>
        <v>0.12186348928549624</v>
      </c>
      <c r="CA65" s="6">
        <f t="shared" si="20"/>
        <v>1</v>
      </c>
    </row>
    <row r="66" spans="1:79">
      <c r="A66" s="6" t="s">
        <v>182</v>
      </c>
      <c r="B66" s="7">
        <f t="shared" si="0"/>
        <v>9.031205790354889E-2</v>
      </c>
      <c r="C66" s="7">
        <f t="shared" si="1"/>
        <v>5.4850299401197608E-2</v>
      </c>
      <c r="D66" s="7">
        <f t="shared" si="2"/>
        <v>0.32138922155688621</v>
      </c>
      <c r="E66" s="7">
        <f t="shared" si="3"/>
        <v>0.10347305389221557</v>
      </c>
      <c r="F66" s="7">
        <f t="shared" si="4"/>
        <v>4.8814371257485029E-2</v>
      </c>
      <c r="G66" s="7">
        <f t="shared" si="5"/>
        <v>0.28081437125748504</v>
      </c>
      <c r="H66" s="7">
        <f t="shared" si="6"/>
        <v>7.4491017964071857E-2</v>
      </c>
      <c r="I66" s="7">
        <f t="shared" si="7"/>
        <v>1.61437125748503E-2</v>
      </c>
      <c r="J66" s="7">
        <f t="shared" si="8"/>
        <v>1.3652694610778443E-2</v>
      </c>
      <c r="K66" s="7">
        <f t="shared" si="9"/>
        <v>4.8383233532934132E-2</v>
      </c>
      <c r="L66" s="7">
        <f t="shared" si="10"/>
        <v>3.8227544910179642E-2</v>
      </c>
      <c r="M66" s="7">
        <f t="shared" si="11"/>
        <v>1.046538290149388E-2</v>
      </c>
      <c r="P66" s="7">
        <f t="shared" si="12"/>
        <v>0.32838113202649444</v>
      </c>
      <c r="Z66" s="7">
        <f t="shared" si="13"/>
        <v>0.28808573047853492</v>
      </c>
      <c r="AD66" s="7">
        <f t="shared" si="14"/>
        <v>2.0376996058716896E-3</v>
      </c>
      <c r="AH66" s="7">
        <f t="shared" si="15"/>
        <v>3.4961041433225322E-2</v>
      </c>
      <c r="AR66" s="7">
        <f t="shared" si="16"/>
        <v>6.5998105069156321E-2</v>
      </c>
      <c r="BB66" s="7">
        <f t="shared" si="17"/>
        <v>5.2902315882375844E-2</v>
      </c>
      <c r="BL66" s="7">
        <f t="shared" si="18"/>
        <v>2.1073534565182593E-2</v>
      </c>
      <c r="BU66" s="7">
        <f t="shared" si="19"/>
        <v>0.10579165278637034</v>
      </c>
      <c r="CA66" s="6">
        <f t="shared" si="20"/>
        <v>1.0000086526522542</v>
      </c>
    </row>
    <row r="67" spans="1:79">
      <c r="A67" s="6" t="s">
        <v>183</v>
      </c>
      <c r="B67" s="7">
        <f t="shared" si="0"/>
        <v>9.2427502034795966E-2</v>
      </c>
      <c r="C67" s="7">
        <f t="shared" si="1"/>
        <v>4.4319497271374235E-2</v>
      </c>
      <c r="D67" s="7">
        <f t="shared" si="2"/>
        <v>0.29477426823218122</v>
      </c>
      <c r="E67" s="7">
        <f t="shared" si="3"/>
        <v>8.9796593352075404E-2</v>
      </c>
      <c r="F67" s="7">
        <f t="shared" si="4"/>
        <v>4.3947411939804865E-2</v>
      </c>
      <c r="G67" s="7">
        <f t="shared" si="5"/>
        <v>0.35100049611377543</v>
      </c>
      <c r="H67" s="7">
        <f t="shared" si="6"/>
        <v>6.9125186042665779E-2</v>
      </c>
      <c r="I67" s="7">
        <f t="shared" si="7"/>
        <v>1.3643128824210352E-2</v>
      </c>
      <c r="J67" s="7">
        <f t="shared" si="8"/>
        <v>1.215478749793286E-2</v>
      </c>
      <c r="K67" s="7">
        <f t="shared" si="9"/>
        <v>4.4484868529849515E-2</v>
      </c>
      <c r="L67" s="7">
        <f t="shared" si="10"/>
        <v>3.6795105010749132E-2</v>
      </c>
      <c r="M67" s="7">
        <f t="shared" si="11"/>
        <v>8.4448809118942893E-3</v>
      </c>
      <c r="P67" s="7">
        <f t="shared" si="12"/>
        <v>0.36600725266243023</v>
      </c>
      <c r="Z67" s="7">
        <f t="shared" si="13"/>
        <v>0.28045411296270112</v>
      </c>
      <c r="AD67" s="7">
        <f t="shared" si="14"/>
        <v>2.2965490624653703E-3</v>
      </c>
      <c r="AH67" s="7">
        <f t="shared" si="15"/>
        <v>3.0164656071716527E-2</v>
      </c>
      <c r="AR67" s="7">
        <f t="shared" si="16"/>
        <v>6.1066806268317939E-2</v>
      </c>
      <c r="BB67" s="7">
        <f t="shared" si="17"/>
        <v>4.8093787853892095E-2</v>
      </c>
      <c r="BL67" s="7">
        <f t="shared" si="18"/>
        <v>1.9801526192505074E-2</v>
      </c>
      <c r="BU67" s="7">
        <f t="shared" si="19"/>
        <v>9.1273495683939818E-2</v>
      </c>
      <c r="CA67" s="6">
        <f t="shared" si="20"/>
        <v>1.0000305697046583</v>
      </c>
    </row>
    <row r="68" spans="1:79">
      <c r="A68" s="6" t="s">
        <v>184</v>
      </c>
      <c r="B68" s="7">
        <f t="shared" si="0"/>
        <v>0.10197417547598578</v>
      </c>
      <c r="C68" s="7">
        <f t="shared" si="1"/>
        <v>4.1521532615579483E-2</v>
      </c>
      <c r="D68" s="7">
        <f t="shared" si="2"/>
        <v>0.28503008233058896</v>
      </c>
      <c r="E68" s="7">
        <f t="shared" si="3"/>
        <v>8.5892970234325516E-2</v>
      </c>
      <c r="F68" s="7">
        <f t="shared" si="4"/>
        <v>3.7721659278024067E-2</v>
      </c>
      <c r="G68" s="7">
        <f t="shared" si="5"/>
        <v>0.35770265991133626</v>
      </c>
      <c r="H68" s="7">
        <f t="shared" si="6"/>
        <v>8.2409753008233055E-2</v>
      </c>
      <c r="I68" s="7">
        <f t="shared" si="7"/>
        <v>1.1676694110196327E-2</v>
      </c>
      <c r="J68" s="7">
        <f t="shared" si="8"/>
        <v>1.0014249525015832E-2</v>
      </c>
      <c r="K68" s="7">
        <f t="shared" si="9"/>
        <v>5.1535782140595315E-2</v>
      </c>
      <c r="L68" s="7">
        <f t="shared" si="10"/>
        <v>3.6177960734642176E-2</v>
      </c>
      <c r="M68" s="7">
        <f t="shared" si="11"/>
        <v>8.6862106406080351E-3</v>
      </c>
      <c r="P68" s="7">
        <f t="shared" si="12"/>
        <v>0.34806598613919731</v>
      </c>
      <c r="Z68" s="7">
        <f t="shared" si="13"/>
        <v>0.28393252848649236</v>
      </c>
      <c r="AD68" s="7">
        <f t="shared" si="14"/>
        <v>2.0504623631175099E-3</v>
      </c>
      <c r="AH68" s="7">
        <f t="shared" si="15"/>
        <v>3.3990046377583766E-2</v>
      </c>
      <c r="AR68" s="7">
        <f t="shared" si="16"/>
        <v>5.579840887349697E-2</v>
      </c>
      <c r="BB68" s="7">
        <f t="shared" si="17"/>
        <v>5.3695474048331172E-2</v>
      </c>
      <c r="BL68" s="7">
        <f t="shared" si="18"/>
        <v>1.986688140012674E-2</v>
      </c>
      <c r="BU68" s="7">
        <f t="shared" si="19"/>
        <v>9.191964447888791E-2</v>
      </c>
      <c r="CA68" s="6">
        <f t="shared" si="20"/>
        <v>0.99997981828382743</v>
      </c>
    </row>
    <row r="69" spans="1:79">
      <c r="A69" s="6" t="s">
        <v>185</v>
      </c>
      <c r="B69" s="7">
        <f t="shared" si="0"/>
        <v>0.10350132463982775</v>
      </c>
      <c r="C69" s="7">
        <f t="shared" si="1"/>
        <v>3.8210452550437063E-2</v>
      </c>
      <c r="D69" s="7">
        <f t="shared" si="2"/>
        <v>0.31907203186663224</v>
      </c>
      <c r="E69" s="7">
        <f t="shared" si="3"/>
        <v>8.5014568657101761E-2</v>
      </c>
      <c r="F69" s="7">
        <f t="shared" si="4"/>
        <v>3.7767860435953232E-2</v>
      </c>
      <c r="G69" s="7">
        <f t="shared" si="5"/>
        <v>0.33485781728322206</v>
      </c>
      <c r="H69" s="7">
        <f t="shared" si="6"/>
        <v>8.1879541179507992E-2</v>
      </c>
      <c r="I69" s="7">
        <f t="shared" si="7"/>
        <v>1.0585328071404861E-2</v>
      </c>
      <c r="J69" s="7">
        <f t="shared" si="8"/>
        <v>9.441965108988308E-3</v>
      </c>
      <c r="K69" s="7">
        <f t="shared" si="9"/>
        <v>4.2931435104931213E-2</v>
      </c>
      <c r="L69" s="7">
        <f t="shared" si="10"/>
        <v>4.0312765094235238E-2</v>
      </c>
      <c r="M69" s="7">
        <f t="shared" si="11"/>
        <v>8.024187083425588E-3</v>
      </c>
      <c r="P69" s="7">
        <f t="shared" si="12"/>
        <v>0.38845540124752825</v>
      </c>
      <c r="Z69" s="7">
        <f t="shared" si="13"/>
        <v>0.25772452072469632</v>
      </c>
      <c r="AD69" s="7">
        <f t="shared" si="14"/>
        <v>2.4584093633330533E-3</v>
      </c>
      <c r="AH69" s="7">
        <f t="shared" si="15"/>
        <v>2.9737591522305103E-2</v>
      </c>
      <c r="AR69" s="7">
        <f t="shared" si="16"/>
        <v>5.5260766993182116E-2</v>
      </c>
      <c r="BB69" s="7">
        <f t="shared" si="17"/>
        <v>5.1973980561769446E-2</v>
      </c>
      <c r="BL69" s="7">
        <f t="shared" si="18"/>
        <v>1.9228273234640669E-2</v>
      </c>
      <c r="BU69" s="7">
        <f t="shared" si="19"/>
        <v>8.3631727223448027E-2</v>
      </c>
      <c r="CA69" s="6">
        <f t="shared" si="20"/>
        <v>0.99999618259415657</v>
      </c>
    </row>
    <row r="70" spans="1:79">
      <c r="A70" s="6" t="s">
        <v>186</v>
      </c>
      <c r="B70" s="7">
        <f t="shared" si="0"/>
        <v>0.11696242897380069</v>
      </c>
      <c r="C70" s="7">
        <f t="shared" si="1"/>
        <v>5.1988554158762822E-2</v>
      </c>
      <c r="D70" s="7">
        <f t="shared" si="2"/>
        <v>0.37211844516606113</v>
      </c>
      <c r="E70" s="7">
        <f t="shared" si="3"/>
        <v>8.230717294151689E-2</v>
      </c>
      <c r="F70" s="7">
        <f t="shared" si="4"/>
        <v>3.8902999710638847E-2</v>
      </c>
      <c r="G70" s="7">
        <f t="shared" si="5"/>
        <v>0.28855737388676334</v>
      </c>
      <c r="H70" s="7">
        <f t="shared" si="6"/>
        <v>7.5973378773751724E-2</v>
      </c>
      <c r="I70" s="7">
        <f t="shared" si="7"/>
        <v>7.8449024209883284E-3</v>
      </c>
      <c r="J70" s="7">
        <f t="shared" si="8"/>
        <v>9.516766871362891E-3</v>
      </c>
      <c r="K70" s="7">
        <f t="shared" si="9"/>
        <v>3.7359740217985403E-2</v>
      </c>
      <c r="L70" s="7">
        <f t="shared" si="10"/>
        <v>3.5527119570459439E-2</v>
      </c>
      <c r="M70" s="7">
        <f t="shared" si="11"/>
        <v>8.0888076623684291E-3</v>
      </c>
      <c r="P70" s="7">
        <f t="shared" si="12"/>
        <v>0.36640681701093925</v>
      </c>
      <c r="Z70" s="7">
        <f t="shared" si="13"/>
        <v>0.26515570296664825</v>
      </c>
      <c r="AD70" s="7">
        <f t="shared" si="14"/>
        <v>2.4367956137678953E-3</v>
      </c>
      <c r="AH70" s="7">
        <f t="shared" si="15"/>
        <v>2.7609495981919578E-2</v>
      </c>
      <c r="AR70" s="7">
        <f t="shared" si="16"/>
        <v>5.7783644137588699E-2</v>
      </c>
      <c r="BB70" s="7">
        <f t="shared" si="17"/>
        <v>5.5313004140296253E-2</v>
      </c>
      <c r="BL70" s="7">
        <f t="shared" si="18"/>
        <v>2.0265264757091339E-2</v>
      </c>
      <c r="BU70" s="7">
        <f t="shared" si="19"/>
        <v>7.9989320216754478E-2</v>
      </c>
      <c r="CA70" s="6">
        <f t="shared" si="20"/>
        <v>1.0000112814611748</v>
      </c>
    </row>
    <row r="71" spans="1:79">
      <c r="A71" s="6" t="s">
        <v>187</v>
      </c>
      <c r="B71" s="7">
        <f t="shared" si="0"/>
        <v>0.14282108704274216</v>
      </c>
      <c r="C71" s="7">
        <f t="shared" si="1"/>
        <v>5.3211781206171108E-2</v>
      </c>
      <c r="D71" s="7">
        <f t="shared" si="2"/>
        <v>0.36852734922861152</v>
      </c>
      <c r="E71" s="7">
        <f t="shared" si="3"/>
        <v>6.6984572230014028E-2</v>
      </c>
      <c r="F71" s="7">
        <f t="shared" si="4"/>
        <v>3.9158485273492284E-2</v>
      </c>
      <c r="G71" s="7">
        <f t="shared" si="5"/>
        <v>0.26196353436185132</v>
      </c>
      <c r="H71" s="7">
        <f t="shared" si="6"/>
        <v>0.10922861150070126</v>
      </c>
      <c r="I71" s="7">
        <f t="shared" si="7"/>
        <v>7.8821879382889194E-3</v>
      </c>
      <c r="J71" s="7">
        <f t="shared" si="8"/>
        <v>9.2005610098176722E-3</v>
      </c>
      <c r="K71" s="7">
        <f t="shared" si="9"/>
        <v>3.388499298737728E-2</v>
      </c>
      <c r="L71" s="7">
        <f t="shared" si="10"/>
        <v>4.9901823281907433E-2</v>
      </c>
      <c r="M71" s="7">
        <f t="shared" si="11"/>
        <v>1.010364043539399E-2</v>
      </c>
      <c r="P71" s="7">
        <f t="shared" si="12"/>
        <v>0.32666167226867188</v>
      </c>
      <c r="Z71" s="7">
        <f t="shared" si="13"/>
        <v>0.24937803720158805</v>
      </c>
      <c r="AD71" s="7">
        <f t="shared" si="14"/>
        <v>2.6240620480503822E-3</v>
      </c>
      <c r="AH71" s="7">
        <f t="shared" si="15"/>
        <v>2.9381482534964126E-2</v>
      </c>
      <c r="AR71" s="7">
        <f t="shared" si="16"/>
        <v>5.8947250343531786E-2</v>
      </c>
      <c r="BB71" s="7">
        <f t="shared" si="17"/>
        <v>6.4251461262033627E-2</v>
      </c>
      <c r="BL71" s="7">
        <f t="shared" si="18"/>
        <v>2.5247082483684746E-2</v>
      </c>
      <c r="BU71" s="7">
        <f t="shared" si="19"/>
        <v>9.0592236782539373E-2</v>
      </c>
      <c r="CA71" s="6">
        <f t="shared" si="20"/>
        <v>1.0000080124032003</v>
      </c>
    </row>
    <row r="72" spans="1:79">
      <c r="A72" s="6" t="s">
        <v>188</v>
      </c>
      <c r="B72" s="7">
        <f t="shared" si="0"/>
        <v>0.12620855886005672</v>
      </c>
      <c r="C72" s="7">
        <f t="shared" si="1"/>
        <v>5.7447656417645078E-2</v>
      </c>
      <c r="D72" s="7">
        <f t="shared" si="2"/>
        <v>0.33990374298764597</v>
      </c>
      <c r="E72" s="7">
        <f t="shared" si="3"/>
        <v>6.7686459642561536E-2</v>
      </c>
      <c r="F72" s="7">
        <f t="shared" si="4"/>
        <v>4.2273382177125167E-2</v>
      </c>
      <c r="G72" s="7">
        <f t="shared" si="5"/>
        <v>0.23236565402654732</v>
      </c>
      <c r="H72" s="7">
        <f t="shared" si="6"/>
        <v>0.12731062812298827</v>
      </c>
      <c r="I72" s="7">
        <f t="shared" si="7"/>
        <v>9.7789767327794985E-3</v>
      </c>
      <c r="J72" s="7">
        <f t="shared" si="8"/>
        <v>1.1127801109714602E-2</v>
      </c>
      <c r="K72" s="7">
        <f t="shared" si="9"/>
        <v>3.5989086784586614E-2</v>
      </c>
      <c r="L72" s="7">
        <f t="shared" si="10"/>
        <v>7.5963336501026948E-2</v>
      </c>
      <c r="M72" s="7">
        <f t="shared" si="11"/>
        <v>1.036487934723313E-2</v>
      </c>
      <c r="P72" s="7">
        <f t="shared" si="12"/>
        <v>0.32352429111421488</v>
      </c>
      <c r="Z72" s="7">
        <f t="shared" si="13"/>
        <v>0.26193470009943165</v>
      </c>
      <c r="AD72" s="7">
        <f t="shared" si="14"/>
        <v>2.6115317504226813E-3</v>
      </c>
      <c r="AH72" s="7">
        <f t="shared" si="15"/>
        <v>3.2371386897461593E-2</v>
      </c>
      <c r="AR72" s="7">
        <f t="shared" si="16"/>
        <v>5.1866955031357728E-2</v>
      </c>
      <c r="BB72" s="7">
        <f t="shared" si="17"/>
        <v>5.9531317101857474E-2</v>
      </c>
      <c r="BL72" s="7">
        <f t="shared" si="18"/>
        <v>2.5372481806328805E-2</v>
      </c>
      <c r="BU72" s="7">
        <f t="shared" si="19"/>
        <v>0.10621002905570881</v>
      </c>
      <c r="CA72" s="6">
        <f t="shared" si="20"/>
        <v>0.99999613106407348</v>
      </c>
    </row>
    <row r="73" spans="1:79">
      <c r="A73" s="6" t="s">
        <v>189</v>
      </c>
      <c r="B73" s="7">
        <f t="shared" si="0"/>
        <v>0.12144663396762397</v>
      </c>
      <c r="C73" s="7">
        <f t="shared" si="1"/>
        <v>4.4212482238496012E-2</v>
      </c>
      <c r="D73" s="7">
        <f t="shared" si="2"/>
        <v>0.32336867417204068</v>
      </c>
      <c r="E73" s="7">
        <f t="shared" si="3"/>
        <v>6.4078041315990819E-2</v>
      </c>
      <c r="F73" s="7">
        <f t="shared" si="4"/>
        <v>3.891135643239698E-2</v>
      </c>
      <c r="G73" s="7">
        <f t="shared" si="5"/>
        <v>0.25510984807082743</v>
      </c>
      <c r="H73" s="7">
        <f t="shared" si="6"/>
        <v>0.13933216744999455</v>
      </c>
      <c r="I73" s="7">
        <f t="shared" si="7"/>
        <v>9.0173789485189643E-3</v>
      </c>
      <c r="J73" s="7">
        <f t="shared" si="8"/>
        <v>1.0083069187889386E-2</v>
      </c>
      <c r="K73" s="7">
        <f t="shared" si="9"/>
        <v>3.3610230626297956E-2</v>
      </c>
      <c r="L73" s="7">
        <f t="shared" si="10"/>
        <v>8.2276751557547267E-2</v>
      </c>
      <c r="M73" s="7">
        <f t="shared" si="11"/>
        <v>1.0058606065030829E-2</v>
      </c>
      <c r="P73" s="7">
        <f t="shared" si="12"/>
        <v>0.33010878294517049</v>
      </c>
      <c r="Z73" s="7">
        <f t="shared" si="13"/>
        <v>0.30248495025453481</v>
      </c>
      <c r="AD73" s="7">
        <f t="shared" si="14"/>
        <v>2.256632175592532E-3</v>
      </c>
      <c r="AH73" s="7">
        <f t="shared" si="15"/>
        <v>2.8682458667126844E-2</v>
      </c>
      <c r="AR73" s="7">
        <f t="shared" si="16"/>
        <v>4.8945688173256251E-2</v>
      </c>
      <c r="BB73" s="7">
        <f t="shared" si="17"/>
        <v>4.8577326156358062E-2</v>
      </c>
      <c r="BL73" s="7">
        <f t="shared" si="18"/>
        <v>2.2755480629467632E-2</v>
      </c>
      <c r="BU73" s="7">
        <f t="shared" si="19"/>
        <v>8.4700033849482631E-2</v>
      </c>
      <c r="CA73" s="6">
        <f t="shared" si="20"/>
        <v>1.000016592883644</v>
      </c>
    </row>
    <row r="74" spans="1:79">
      <c r="A74" s="6" t="s">
        <v>190</v>
      </c>
      <c r="B74" s="7">
        <f t="shared" si="0"/>
        <v>0.10234899815736402</v>
      </c>
      <c r="C74" s="7">
        <f t="shared" si="1"/>
        <v>5.1742224490374529E-2</v>
      </c>
      <c r="D74" s="7">
        <f t="shared" si="2"/>
        <v>0.38572765161180572</v>
      </c>
      <c r="E74" s="7">
        <f t="shared" si="3"/>
        <v>7.0341073403079019E-2</v>
      </c>
      <c r="F74" s="7">
        <f t="shared" si="4"/>
        <v>4.1648946726772704E-2</v>
      </c>
      <c r="G74" s="7">
        <f t="shared" si="5"/>
        <v>0.20770604746108701</v>
      </c>
      <c r="H74" s="7">
        <f t="shared" si="6"/>
        <v>0.10113124096283066</v>
      </c>
      <c r="I74" s="7">
        <f t="shared" si="7"/>
        <v>8.5055711491026625E-3</v>
      </c>
      <c r="J74" s="7">
        <f t="shared" si="8"/>
        <v>1.1142298205324487E-2</v>
      </c>
      <c r="K74" s="7">
        <f t="shared" si="9"/>
        <v>3.8530237305435061E-2</v>
      </c>
      <c r="L74" s="7">
        <f t="shared" si="10"/>
        <v>8.352470868418814E-2</v>
      </c>
      <c r="M74" s="7">
        <f t="shared" si="11"/>
        <v>9.7993412939076947E-3</v>
      </c>
      <c r="P74" s="7">
        <f t="shared" si="12"/>
        <v>0.31014030149587218</v>
      </c>
      <c r="Z74" s="7">
        <f t="shared" si="13"/>
        <v>0.35479883348084096</v>
      </c>
      <c r="AD74" s="7">
        <f t="shared" si="14"/>
        <v>1.9238860757657095E-3</v>
      </c>
      <c r="AH74" s="7">
        <f t="shared" si="15"/>
        <v>3.0497801894868188E-2</v>
      </c>
      <c r="AR74" s="7">
        <f t="shared" si="16"/>
        <v>4.942036765666033E-2</v>
      </c>
      <c r="BB74" s="7">
        <f t="shared" si="17"/>
        <v>4.4548264004758933E-2</v>
      </c>
      <c r="BL74" s="7">
        <f t="shared" si="18"/>
        <v>2.1148237888658359E-2</v>
      </c>
      <c r="BU74" s="7">
        <f t="shared" si="19"/>
        <v>7.5373968051303628E-2</v>
      </c>
      <c r="CA74" s="6">
        <f t="shared" si="20"/>
        <v>1</v>
      </c>
    </row>
    <row r="75" spans="1:79">
      <c r="A75" s="6" t="s">
        <v>191</v>
      </c>
      <c r="B75" s="7">
        <f t="shared" si="0"/>
        <v>9.6540600695931345E-2</v>
      </c>
      <c r="C75" s="7">
        <f t="shared" si="1"/>
        <v>5.6468963319078858E-2</v>
      </c>
      <c r="D75" s="7">
        <f t="shared" si="2"/>
        <v>0.43724932933145633</v>
      </c>
      <c r="E75" s="7">
        <f t="shared" si="3"/>
        <v>6.6084092538978456E-2</v>
      </c>
      <c r="F75" s="7">
        <f t="shared" si="4"/>
        <v>4.0611968445377032E-2</v>
      </c>
      <c r="G75" s="7">
        <f t="shared" si="5"/>
        <v>0.15647161943212304</v>
      </c>
      <c r="H75" s="7">
        <f t="shared" si="6"/>
        <v>0.1092193683763181</v>
      </c>
      <c r="I75" s="7">
        <f t="shared" si="7"/>
        <v>7.1183829583787083E-3</v>
      </c>
      <c r="J75" s="7">
        <f t="shared" si="8"/>
        <v>1.1288480437727429E-2</v>
      </c>
      <c r="K75" s="7">
        <f t="shared" si="9"/>
        <v>3.6494993226911736E-2</v>
      </c>
      <c r="L75" s="7">
        <f t="shared" si="10"/>
        <v>7.9072485324975433E-2</v>
      </c>
      <c r="M75" s="7">
        <f t="shared" si="11"/>
        <v>9.185062862036868E-3</v>
      </c>
      <c r="P75" s="7">
        <f t="shared" si="12"/>
        <v>0.34979909277631477</v>
      </c>
      <c r="Z75" s="7">
        <f t="shared" si="13"/>
        <v>0.32383116100527976</v>
      </c>
      <c r="AD75" s="7">
        <f t="shared" si="14"/>
        <v>1.6590551847397695E-3</v>
      </c>
      <c r="AH75" s="7">
        <f t="shared" si="15"/>
        <v>3.0696367258917744E-2</v>
      </c>
      <c r="AR75" s="7">
        <f t="shared" si="16"/>
        <v>4.5045784281798347E-2</v>
      </c>
      <c r="BB75" s="7">
        <f t="shared" si="17"/>
        <v>4.3571353476194993E-2</v>
      </c>
      <c r="BL75" s="7">
        <f t="shared" si="18"/>
        <v>2.1047179221551818E-2</v>
      </c>
      <c r="BU75" s="7">
        <f t="shared" si="19"/>
        <v>7.8621779009746623E-2</v>
      </c>
      <c r="CA75" s="6">
        <f t="shared" si="20"/>
        <v>0.99999743577251221</v>
      </c>
    </row>
    <row r="76" spans="1:79">
      <c r="A76" s="6" t="s">
        <v>192</v>
      </c>
      <c r="B76" s="7">
        <f t="shared" si="0"/>
        <v>9.8222359453915886E-2</v>
      </c>
      <c r="C76" s="7">
        <f t="shared" si="1"/>
        <v>5.4704165263276074E-2</v>
      </c>
      <c r="D76" s="7">
        <f t="shared" si="2"/>
        <v>0.41273717300999213</v>
      </c>
      <c r="E76" s="7">
        <f t="shared" si="3"/>
        <v>7.1404513304142811E-2</v>
      </c>
      <c r="F76" s="7">
        <f t="shared" si="4"/>
        <v>3.449534074323566E-2</v>
      </c>
      <c r="G76" s="7">
        <f t="shared" si="5"/>
        <v>0.18075670820702819</v>
      </c>
      <c r="H76" s="7">
        <f t="shared" si="6"/>
        <v>0.11583585943639833</v>
      </c>
      <c r="I76" s="7">
        <f t="shared" si="7"/>
        <v>7.9431907488492198E-3</v>
      </c>
      <c r="J76" s="7">
        <f t="shared" si="8"/>
        <v>1.2546311889525093E-2</v>
      </c>
      <c r="K76" s="7">
        <f t="shared" si="9"/>
        <v>3.6768833501740206E-2</v>
      </c>
      <c r="L76" s="7">
        <f t="shared" si="10"/>
        <v>7.272370046031211E-2</v>
      </c>
      <c r="M76" s="7">
        <f t="shared" si="11"/>
        <v>9.050859045896649E-3</v>
      </c>
      <c r="P76" s="7">
        <f t="shared" si="12"/>
        <v>0.41895855847908076</v>
      </c>
      <c r="Z76" s="7">
        <f t="shared" si="13"/>
        <v>0.24486943384574666</v>
      </c>
      <c r="AD76" s="7">
        <f t="shared" si="14"/>
        <v>2.0979907809708653E-3</v>
      </c>
      <c r="AH76" s="7">
        <f t="shared" si="15"/>
        <v>3.0579387309499127E-2</v>
      </c>
      <c r="AR76" s="7">
        <f t="shared" si="16"/>
        <v>4.0548289627489471E-2</v>
      </c>
      <c r="BB76" s="7">
        <f t="shared" si="17"/>
        <v>4.0465583026399944E-2</v>
      </c>
      <c r="BL76" s="7">
        <f t="shared" si="18"/>
        <v>2.0334796321210383E-2</v>
      </c>
      <c r="BU76" s="7">
        <f t="shared" si="19"/>
        <v>9.4858957676275335E-2</v>
      </c>
      <c r="CA76" s="6">
        <f t="shared" si="20"/>
        <v>0.99998621556648515</v>
      </c>
    </row>
    <row r="77" spans="1:79">
      <c r="A77" s="6" t="s">
        <v>193</v>
      </c>
      <c r="B77" s="7">
        <f t="shared" si="0"/>
        <v>9.5030643781320395E-2</v>
      </c>
      <c r="C77" s="7">
        <f t="shared" si="1"/>
        <v>3.780431786862655E-2</v>
      </c>
      <c r="D77" s="7">
        <f t="shared" si="2"/>
        <v>0.33994028479559024</v>
      </c>
      <c r="E77" s="7">
        <f t="shared" si="3"/>
        <v>6.768488745980708E-2</v>
      </c>
      <c r="F77" s="7">
        <f t="shared" si="4"/>
        <v>2.7721635277905374E-2</v>
      </c>
      <c r="G77" s="7">
        <f t="shared" si="5"/>
        <v>0.32395498392282956</v>
      </c>
      <c r="H77" s="7">
        <f t="shared" si="6"/>
        <v>0.10362884703720716</v>
      </c>
      <c r="I77" s="7">
        <f t="shared" si="7"/>
        <v>7.3036288470372072E-3</v>
      </c>
      <c r="J77" s="7">
        <f t="shared" si="8"/>
        <v>1.0932475884244373E-2</v>
      </c>
      <c r="K77" s="7">
        <f t="shared" si="9"/>
        <v>3.2705558107487369E-2</v>
      </c>
      <c r="L77" s="7">
        <f t="shared" si="10"/>
        <v>4.8346348185576482E-2</v>
      </c>
      <c r="M77" s="7">
        <f t="shared" si="11"/>
        <v>5.506713694539994E-3</v>
      </c>
      <c r="P77" s="7">
        <f t="shared" si="12"/>
        <v>0.43254657680152259</v>
      </c>
      <c r="Z77" s="7">
        <f t="shared" si="13"/>
        <v>0.27587042307625148</v>
      </c>
      <c r="AD77" s="7">
        <f t="shared" si="14"/>
        <v>2.3681269752579841E-3</v>
      </c>
      <c r="AH77" s="7">
        <f t="shared" si="15"/>
        <v>2.1939550557873968E-2</v>
      </c>
      <c r="AR77" s="7">
        <f t="shared" si="16"/>
        <v>3.6456059785930049E-2</v>
      </c>
      <c r="BB77" s="7">
        <f t="shared" si="17"/>
        <v>3.2145413909308376E-2</v>
      </c>
      <c r="BL77" s="7">
        <f t="shared" si="18"/>
        <v>1.7539417855459132E-2</v>
      </c>
      <c r="BU77" s="7">
        <f t="shared" si="19"/>
        <v>8.061016919557891E-2</v>
      </c>
      <c r="CA77" s="6">
        <f t="shared" si="20"/>
        <v>1.0000130956330429</v>
      </c>
    </row>
    <row r="78" spans="1:79">
      <c r="A78" s="6" t="s">
        <v>194</v>
      </c>
      <c r="B78" s="7">
        <f t="shared" si="0"/>
        <v>8.9451306273311271E-2</v>
      </c>
      <c r="C78" s="7">
        <f t="shared" si="1"/>
        <v>2.8575731335416587E-2</v>
      </c>
      <c r="D78" s="7">
        <f t="shared" si="2"/>
        <v>0.31248823462972025</v>
      </c>
      <c r="E78" s="7">
        <f t="shared" si="3"/>
        <v>6.3721245435036336E-2</v>
      </c>
      <c r="F78" s="7">
        <f t="shared" si="4"/>
        <v>2.2683633899326081E-2</v>
      </c>
      <c r="G78" s="7">
        <f t="shared" si="5"/>
        <v>0.3891419750762396</v>
      </c>
      <c r="H78" s="7">
        <f t="shared" si="6"/>
        <v>9.4631226233952037E-2</v>
      </c>
      <c r="I78" s="7">
        <f t="shared" si="7"/>
        <v>6.042694175671097E-3</v>
      </c>
      <c r="J78" s="7">
        <f t="shared" si="8"/>
        <v>9.7323142953955055E-3</v>
      </c>
      <c r="K78" s="7">
        <f t="shared" si="9"/>
        <v>3.2359474417378867E-2</v>
      </c>
      <c r="L78" s="7">
        <f t="shared" si="10"/>
        <v>4.0661119686758784E-2</v>
      </c>
      <c r="M78" s="7">
        <f t="shared" si="11"/>
        <v>4.3309506369292681E-3</v>
      </c>
      <c r="P78" s="7">
        <f t="shared" si="12"/>
        <v>0.31706869406346561</v>
      </c>
      <c r="Z78" s="7">
        <f t="shared" si="13"/>
        <v>0.42321739789346063</v>
      </c>
      <c r="AD78" s="7">
        <f t="shared" si="14"/>
        <v>2.8322935347259055E-3</v>
      </c>
      <c r="AH78" s="7">
        <f t="shared" si="15"/>
        <v>2.1174846135064367E-2</v>
      </c>
      <c r="AR78" s="7">
        <f t="shared" si="16"/>
        <v>3.2719557475183757E-2</v>
      </c>
      <c r="BB78" s="7">
        <f t="shared" si="17"/>
        <v>2.7811034494371615E-2</v>
      </c>
      <c r="BL78" s="7">
        <f t="shared" si="18"/>
        <v>1.5284618558089802E-2</v>
      </c>
      <c r="BU78" s="7">
        <f t="shared" si="19"/>
        <v>6.610088151347529E-2</v>
      </c>
      <c r="CA78" s="6">
        <f t="shared" si="20"/>
        <v>0.99999158057807747</v>
      </c>
    </row>
    <row r="79" spans="1:79">
      <c r="A79" s="6" t="s">
        <v>195</v>
      </c>
      <c r="B79" s="7">
        <f t="shared" si="0"/>
        <v>9.800706379794602E-2</v>
      </c>
      <c r="C79" s="7">
        <f t="shared" si="1"/>
        <v>2.2575754808307001E-2</v>
      </c>
      <c r="D79" s="7">
        <f t="shared" si="2"/>
        <v>0.32508356317010356</v>
      </c>
      <c r="E79" s="7">
        <f t="shared" si="3"/>
        <v>5.4795521379385925E-2</v>
      </c>
      <c r="F79" s="7">
        <f t="shared" si="4"/>
        <v>2.4584923925551151E-2</v>
      </c>
      <c r="G79" s="7">
        <f t="shared" si="5"/>
        <v>0.37677400500465763</v>
      </c>
      <c r="H79" s="7">
        <f t="shared" si="6"/>
        <v>0.10760013881532082</v>
      </c>
      <c r="I79" s="7">
        <f t="shared" si="7"/>
        <v>5.4247566165592067E-3</v>
      </c>
      <c r="J79" s="7">
        <f t="shared" si="8"/>
        <v>9.2969734607024779E-3</v>
      </c>
      <c r="K79" s="7">
        <f t="shared" si="9"/>
        <v>3.1726606878664451E-2</v>
      </c>
      <c r="L79" s="7">
        <f t="shared" si="10"/>
        <v>4.2265612157299674E-2</v>
      </c>
      <c r="M79" s="7">
        <f t="shared" si="11"/>
        <v>4.561215703614065E-3</v>
      </c>
      <c r="P79" s="7">
        <f t="shared" si="12"/>
        <v>0.36332374427834158</v>
      </c>
      <c r="Z79" s="7">
        <f t="shared" si="13"/>
        <v>0.35005540409184727</v>
      </c>
      <c r="AD79" s="7">
        <f t="shared" si="14"/>
        <v>2.8802967296369824E-3</v>
      </c>
      <c r="AH79" s="7">
        <f t="shared" si="15"/>
        <v>2.0557692755221322E-2</v>
      </c>
      <c r="AR79" s="7">
        <f t="shared" si="16"/>
        <v>3.4651276442251751E-2</v>
      </c>
      <c r="BB79" s="7">
        <f t="shared" si="17"/>
        <v>3.3303319054174281E-2</v>
      </c>
      <c r="BL79" s="7">
        <f t="shared" si="18"/>
        <v>1.8826650531753975E-2</v>
      </c>
      <c r="BU79" s="7">
        <f t="shared" si="19"/>
        <v>7.3836916847319217E-2</v>
      </c>
      <c r="CA79" s="6">
        <f t="shared" si="20"/>
        <v>1.0000035802321063</v>
      </c>
    </row>
    <row r="80" spans="1:79">
      <c r="A80" s="6" t="s">
        <v>275</v>
      </c>
      <c r="B80" s="7">
        <f t="shared" si="0"/>
        <v>0.10180030394491144</v>
      </c>
      <c r="C80" s="7">
        <f t="shared" si="1"/>
        <v>2.1131302401456806E-2</v>
      </c>
      <c r="D80" s="7">
        <f t="shared" si="2"/>
        <v>0.40553511134716796</v>
      </c>
      <c r="E80" s="7">
        <f t="shared" si="3"/>
        <v>6.5195948252968622E-2</v>
      </c>
      <c r="F80" s="7">
        <f t="shared" si="4"/>
        <v>2.3274782806631512E-2</v>
      </c>
      <c r="G80" s="7">
        <f t="shared" si="5"/>
        <v>0.26089760613073332</v>
      </c>
      <c r="H80" s="7">
        <f t="shared" si="6"/>
        <v>0.13519101635115141</v>
      </c>
      <c r="I80" s="7">
        <f t="shared" si="7"/>
        <v>5.6716870897985504E-3</v>
      </c>
      <c r="J80" s="7">
        <f t="shared" si="8"/>
        <v>1.0413900375583292E-2</v>
      </c>
      <c r="K80" s="7">
        <f t="shared" si="9"/>
        <v>2.9932850259873287E-2</v>
      </c>
      <c r="L80" s="7">
        <f t="shared" si="10"/>
        <v>4.2812701544064649E-2</v>
      </c>
      <c r="M80" s="7">
        <f t="shared" si="11"/>
        <v>6.1542085942644402E-3</v>
      </c>
      <c r="P80" s="7">
        <f t="shared" si="12"/>
        <v>0.34673085427058048</v>
      </c>
      <c r="Z80" s="7">
        <f t="shared" si="13"/>
        <v>0.33103926373496928</v>
      </c>
      <c r="AD80" s="7">
        <f t="shared" si="14"/>
        <v>2.7034490216411096E-3</v>
      </c>
      <c r="AH80" s="7">
        <f t="shared" si="15"/>
        <v>2.3730489304962566E-2</v>
      </c>
      <c r="AR80" s="7">
        <f t="shared" si="16"/>
        <v>3.9700148882799692E-2</v>
      </c>
      <c r="BB80" s="7">
        <f t="shared" si="17"/>
        <v>3.9680838532645112E-2</v>
      </c>
      <c r="BL80" s="7">
        <f t="shared" si="18"/>
        <v>2.1241385170037288E-2</v>
      </c>
      <c r="BU80" s="7">
        <f t="shared" si="19"/>
        <v>8.7215196473157647E-2</v>
      </c>
      <c r="CA80" s="6">
        <f t="shared" si="20"/>
        <v>0.99999613792996911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7C62-FA9D-4699-A277-75E6CF466D85}">
  <sheetPr>
    <tabColor rgb="FFFF0000"/>
  </sheetPr>
  <dimension ref="A1:CA81"/>
  <sheetViews>
    <sheetView zoomScale="85" zoomScaleNormal="85" workbookViewId="0">
      <pane xSplit="1" ySplit="1" topLeftCell="B41" activePane="bottomRight" state="frozen"/>
      <selection pane="topRight" activeCell="B1" sqref="B1"/>
      <selection pane="bottomLeft" activeCell="A2" sqref="A2"/>
      <selection pane="bottomRight" activeCell="G49" sqref="G49"/>
    </sheetView>
  </sheetViews>
  <sheetFormatPr defaultRowHeight="15"/>
  <cols>
    <col min="1" max="1" width="9.140625" style="6"/>
    <col min="2" max="2" width="12.140625" style="6" bestFit="1" customWidth="1"/>
    <col min="3" max="3" width="10.140625" style="6" bestFit="1" customWidth="1"/>
    <col min="4" max="8" width="11.140625" style="6" bestFit="1" customWidth="1"/>
    <col min="9" max="9" width="10.140625" style="6" bestFit="1" customWidth="1"/>
    <col min="10" max="16" width="11.140625" style="6" bestFit="1" customWidth="1"/>
    <col min="17" max="17" width="9.28515625" style="6" bestFit="1" customWidth="1"/>
    <col min="18" max="19" width="10.140625" style="6" bestFit="1" customWidth="1"/>
    <col min="20" max="20" width="11.140625" style="6" bestFit="1" customWidth="1"/>
    <col min="21" max="23" width="10.140625" style="6" bestFit="1" customWidth="1"/>
    <col min="24" max="25" width="11.140625" style="6" bestFit="1" customWidth="1"/>
    <col min="26" max="26" width="12.140625" style="6" bestFit="1" customWidth="1"/>
    <col min="27" max="27" width="10.140625" style="6" bestFit="1" customWidth="1"/>
    <col min="28" max="28" width="12.140625" style="6" bestFit="1" customWidth="1"/>
    <col min="29" max="30" width="11.140625" style="6" bestFit="1" customWidth="1"/>
    <col min="31" max="32" width="10.140625" style="6" bestFit="1" customWidth="1"/>
    <col min="33" max="33" width="9.28515625" style="6" bestFit="1" customWidth="1"/>
    <col min="34" max="34" width="12.140625" style="6" bestFit="1" customWidth="1"/>
    <col min="35" max="37" width="11.140625" style="6" bestFit="1" customWidth="1"/>
    <col min="38" max="38" width="12.140625" style="6" bestFit="1" customWidth="1"/>
    <col min="39" max="43" width="11.140625" style="6" bestFit="1" customWidth="1"/>
    <col min="44" max="44" width="12.140625" style="6" bestFit="1" customWidth="1"/>
    <col min="45" max="45" width="10.140625" style="6" bestFit="1" customWidth="1"/>
    <col min="46" max="52" width="11.140625" style="6" bestFit="1" customWidth="1"/>
    <col min="53" max="53" width="12.140625" style="6" bestFit="1" customWidth="1"/>
    <col min="54" max="54" width="13.28515625" style="6" bestFit="1" customWidth="1"/>
    <col min="55" max="55" width="11.140625" style="6" bestFit="1" customWidth="1"/>
    <col min="56" max="56" width="12.140625" style="6" bestFit="1" customWidth="1"/>
    <col min="57" max="57" width="11.140625" style="6" bestFit="1" customWidth="1"/>
    <col min="58" max="64" width="12.140625" style="6" bestFit="1" customWidth="1"/>
    <col min="65" max="67" width="11.140625" style="6" bestFit="1" customWidth="1"/>
    <col min="68" max="68" width="12.140625" style="6" bestFit="1" customWidth="1"/>
    <col min="69" max="69" width="11.140625" style="6" bestFit="1" customWidth="1"/>
    <col min="70" max="70" width="12.140625" style="6" bestFit="1" customWidth="1"/>
    <col min="71" max="71" width="11.140625" style="6" bestFit="1" customWidth="1"/>
    <col min="72" max="73" width="12.140625" style="6" bestFit="1" customWidth="1"/>
    <col min="74" max="74" width="10.140625" style="6" bestFit="1" customWidth="1"/>
    <col min="75" max="76" width="9.28515625" style="6" bestFit="1" customWidth="1"/>
    <col min="77" max="77" width="11.140625" style="6" bestFit="1" customWidth="1"/>
    <col min="78" max="78" width="12.140625" style="6" bestFit="1" customWidth="1"/>
    <col min="79" max="79" width="13.28515625" style="6" bestFit="1" customWidth="1"/>
  </cols>
  <sheetData>
    <row r="1" spans="1:79">
      <c r="A1" s="8" t="s">
        <v>196</v>
      </c>
      <c r="B1" s="8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8" t="s">
        <v>12</v>
      </c>
      <c r="N1" s="6" t="s">
        <v>13</v>
      </c>
      <c r="O1" s="6" t="s">
        <v>14</v>
      </c>
      <c r="P1" s="8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8" t="s">
        <v>25</v>
      </c>
      <c r="AA1" s="6" t="s">
        <v>26</v>
      </c>
      <c r="AB1" s="6" t="s">
        <v>27</v>
      </c>
      <c r="AC1" s="6" t="s">
        <v>28</v>
      </c>
      <c r="AD1" s="8" t="s">
        <v>29</v>
      </c>
      <c r="AE1" s="6" t="s">
        <v>30</v>
      </c>
      <c r="AF1" s="6" t="s">
        <v>31</v>
      </c>
      <c r="AG1" s="6" t="s">
        <v>32</v>
      </c>
      <c r="AH1" s="8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8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8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8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8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8" t="s">
        <v>78</v>
      </c>
    </row>
    <row r="2" spans="1:79">
      <c r="A2" s="6" t="s">
        <v>79</v>
      </c>
      <c r="B2" s="6" t="s">
        <v>80</v>
      </c>
      <c r="C2" s="6" t="s">
        <v>80</v>
      </c>
      <c r="D2" s="6" t="s">
        <v>80</v>
      </c>
      <c r="E2" s="6" t="s">
        <v>80</v>
      </c>
      <c r="F2" s="6" t="s">
        <v>80</v>
      </c>
      <c r="G2" s="6" t="s">
        <v>80</v>
      </c>
      <c r="H2" s="6" t="s">
        <v>80</v>
      </c>
      <c r="I2" s="6" t="s">
        <v>80</v>
      </c>
      <c r="J2" s="6" t="s">
        <v>80</v>
      </c>
      <c r="K2" s="6" t="s">
        <v>80</v>
      </c>
      <c r="L2" s="6" t="s">
        <v>80</v>
      </c>
      <c r="M2" s="6" t="s">
        <v>80</v>
      </c>
      <c r="N2" s="6" t="s">
        <v>80</v>
      </c>
      <c r="O2" s="6" t="s">
        <v>80</v>
      </c>
      <c r="P2" s="6" t="s">
        <v>80</v>
      </c>
      <c r="Q2" s="6" t="s">
        <v>80</v>
      </c>
      <c r="R2" s="6" t="s">
        <v>80</v>
      </c>
      <c r="S2" s="6" t="s">
        <v>80</v>
      </c>
      <c r="T2" s="6" t="s">
        <v>80</v>
      </c>
      <c r="U2" s="6" t="s">
        <v>80</v>
      </c>
      <c r="V2" s="6" t="s">
        <v>80</v>
      </c>
      <c r="W2" s="6" t="s">
        <v>80</v>
      </c>
      <c r="X2" s="6" t="s">
        <v>80</v>
      </c>
      <c r="Y2" s="6" t="s">
        <v>80</v>
      </c>
      <c r="Z2" s="6" t="s">
        <v>80</v>
      </c>
      <c r="AA2" s="6" t="s">
        <v>80</v>
      </c>
      <c r="AB2" s="6" t="s">
        <v>80</v>
      </c>
      <c r="AC2" s="6" t="s">
        <v>80</v>
      </c>
      <c r="AD2" s="6" t="s">
        <v>80</v>
      </c>
      <c r="AE2" s="6" t="s">
        <v>80</v>
      </c>
      <c r="AF2" s="6" t="s">
        <v>80</v>
      </c>
      <c r="AG2" s="6" t="s">
        <v>80</v>
      </c>
      <c r="AH2" s="6" t="s">
        <v>80</v>
      </c>
      <c r="AI2" s="6" t="s">
        <v>80</v>
      </c>
      <c r="AJ2" s="6" t="s">
        <v>80</v>
      </c>
      <c r="AK2" s="6" t="s">
        <v>80</v>
      </c>
      <c r="AL2" s="6" t="s">
        <v>80</v>
      </c>
      <c r="AM2" s="6" t="s">
        <v>80</v>
      </c>
      <c r="AN2" s="6" t="s">
        <v>80</v>
      </c>
      <c r="AO2" s="6" t="s">
        <v>80</v>
      </c>
      <c r="AP2" s="6" t="s">
        <v>80</v>
      </c>
      <c r="AQ2" s="6" t="s">
        <v>80</v>
      </c>
      <c r="AR2" s="6" t="s">
        <v>80</v>
      </c>
      <c r="AS2" s="6" t="s">
        <v>80</v>
      </c>
      <c r="AT2" s="6" t="s">
        <v>80</v>
      </c>
      <c r="AU2" s="6" t="s">
        <v>80</v>
      </c>
      <c r="AV2" s="6" t="s">
        <v>80</v>
      </c>
      <c r="AW2" s="6" t="s">
        <v>80</v>
      </c>
      <c r="AX2" s="6" t="s">
        <v>80</v>
      </c>
      <c r="AY2" s="6" t="s">
        <v>80</v>
      </c>
      <c r="AZ2" s="6" t="s">
        <v>80</v>
      </c>
      <c r="BA2" s="6" t="s">
        <v>80</v>
      </c>
      <c r="BB2" s="6" t="s">
        <v>80</v>
      </c>
      <c r="BC2" s="6" t="s">
        <v>80</v>
      </c>
      <c r="BD2" s="6" t="s">
        <v>80</v>
      </c>
      <c r="BE2" s="6" t="s">
        <v>80</v>
      </c>
      <c r="BF2" s="6" t="s">
        <v>80</v>
      </c>
      <c r="BG2" s="6" t="s">
        <v>80</v>
      </c>
      <c r="BH2" s="6" t="s">
        <v>80</v>
      </c>
      <c r="BI2" s="6" t="s">
        <v>80</v>
      </c>
      <c r="BJ2" s="6" t="s">
        <v>80</v>
      </c>
      <c r="BK2" s="6" t="s">
        <v>80</v>
      </c>
      <c r="BL2" s="6" t="s">
        <v>80</v>
      </c>
      <c r="BM2" s="6" t="s">
        <v>80</v>
      </c>
      <c r="BN2" s="6" t="s">
        <v>80</v>
      </c>
      <c r="BO2" s="6" t="s">
        <v>80</v>
      </c>
      <c r="BP2" s="6" t="s">
        <v>80</v>
      </c>
      <c r="BQ2" s="6" t="s">
        <v>80</v>
      </c>
      <c r="BR2" s="6" t="s">
        <v>80</v>
      </c>
      <c r="BS2" s="6" t="s">
        <v>80</v>
      </c>
      <c r="BT2" s="6" t="s">
        <v>80</v>
      </c>
      <c r="BU2" s="6" t="s">
        <v>80</v>
      </c>
      <c r="BV2" s="6" t="s">
        <v>80</v>
      </c>
      <c r="BW2" s="6" t="s">
        <v>80</v>
      </c>
      <c r="BX2" s="6" t="s">
        <v>80</v>
      </c>
      <c r="BY2" s="6" t="s">
        <v>80</v>
      </c>
      <c r="BZ2" s="6" t="s">
        <v>80</v>
      </c>
      <c r="CA2" s="6" t="s">
        <v>80</v>
      </c>
    </row>
    <row r="3" spans="1:79">
      <c r="A3" s="6" t="s">
        <v>81</v>
      </c>
      <c r="B3" s="6" t="s">
        <v>197</v>
      </c>
      <c r="C3" s="6" t="s">
        <v>198</v>
      </c>
      <c r="D3" s="6" t="s">
        <v>199</v>
      </c>
      <c r="E3" s="6" t="s">
        <v>200</v>
      </c>
      <c r="F3" s="6" t="s">
        <v>201</v>
      </c>
      <c r="G3" s="6" t="s">
        <v>202</v>
      </c>
      <c r="H3" s="6" t="s">
        <v>203</v>
      </c>
      <c r="I3" s="6" t="s">
        <v>204</v>
      </c>
      <c r="J3" s="6" t="s">
        <v>205</v>
      </c>
      <c r="K3" s="6" t="s">
        <v>206</v>
      </c>
      <c r="L3" s="6" t="s">
        <v>207</v>
      </c>
      <c r="M3" s="6" t="s">
        <v>208</v>
      </c>
      <c r="N3" s="6" t="s">
        <v>209</v>
      </c>
      <c r="O3" s="6" t="s">
        <v>210</v>
      </c>
      <c r="P3" s="6" t="s">
        <v>211</v>
      </c>
      <c r="Q3" s="6" t="s">
        <v>212</v>
      </c>
      <c r="R3" s="6" t="s">
        <v>213</v>
      </c>
      <c r="S3" s="6" t="s">
        <v>214</v>
      </c>
      <c r="T3" s="6" t="s">
        <v>215</v>
      </c>
      <c r="U3" s="6" t="s">
        <v>216</v>
      </c>
      <c r="V3" s="6" t="s">
        <v>217</v>
      </c>
      <c r="W3" s="6" t="s">
        <v>218</v>
      </c>
      <c r="X3" s="6" t="s">
        <v>219</v>
      </c>
      <c r="Y3" s="6" t="s">
        <v>220</v>
      </c>
      <c r="Z3" s="6" t="s">
        <v>221</v>
      </c>
      <c r="AA3" s="6" t="s">
        <v>222</v>
      </c>
      <c r="AB3" s="6" t="s">
        <v>223</v>
      </c>
      <c r="AC3" s="6" t="s">
        <v>224</v>
      </c>
      <c r="AD3" s="6" t="s">
        <v>225</v>
      </c>
      <c r="AE3" s="6" t="s">
        <v>226</v>
      </c>
      <c r="AF3" s="6" t="s">
        <v>227</v>
      </c>
      <c r="AG3" s="6" t="s">
        <v>228</v>
      </c>
      <c r="AH3" s="6" t="s">
        <v>229</v>
      </c>
      <c r="AI3" s="6" t="s">
        <v>230</v>
      </c>
      <c r="AJ3" s="6" t="s">
        <v>231</v>
      </c>
      <c r="AK3" s="6" t="s">
        <v>232</v>
      </c>
      <c r="AL3" s="6" t="s">
        <v>233</v>
      </c>
      <c r="AM3" s="6" t="s">
        <v>234</v>
      </c>
      <c r="AN3" s="6" t="s">
        <v>235</v>
      </c>
      <c r="AO3" s="6" t="s">
        <v>236</v>
      </c>
      <c r="AP3" s="6" t="s">
        <v>237</v>
      </c>
      <c r="AQ3" s="6" t="s">
        <v>238</v>
      </c>
      <c r="AR3" s="6" t="s">
        <v>239</v>
      </c>
      <c r="AS3" s="6" t="s">
        <v>240</v>
      </c>
      <c r="AT3" s="6" t="s">
        <v>241</v>
      </c>
      <c r="AU3" s="6" t="s">
        <v>242</v>
      </c>
      <c r="AV3" s="6" t="s">
        <v>243</v>
      </c>
      <c r="AW3" s="6" t="s">
        <v>244</v>
      </c>
      <c r="AX3" s="6" t="s">
        <v>245</v>
      </c>
      <c r="AY3" s="6" t="s">
        <v>246</v>
      </c>
      <c r="AZ3" s="6" t="s">
        <v>247</v>
      </c>
      <c r="BA3" s="6" t="s">
        <v>248</v>
      </c>
      <c r="BB3" s="6" t="s">
        <v>249</v>
      </c>
      <c r="BC3" s="6" t="s">
        <v>250</v>
      </c>
      <c r="BD3" s="6" t="s">
        <v>251</v>
      </c>
      <c r="BE3" s="6" t="s">
        <v>252</v>
      </c>
      <c r="BF3" s="6" t="s">
        <v>253</v>
      </c>
      <c r="BG3" s="6" t="s">
        <v>254</v>
      </c>
      <c r="BH3" s="6" t="s">
        <v>255</v>
      </c>
      <c r="BI3" s="6" t="s">
        <v>256</v>
      </c>
      <c r="BJ3" s="6" t="s">
        <v>257</v>
      </c>
      <c r="BK3" s="6" t="s">
        <v>258</v>
      </c>
      <c r="BL3" s="6" t="s">
        <v>259</v>
      </c>
      <c r="BM3" s="6" t="s">
        <v>260</v>
      </c>
      <c r="BN3" s="6" t="s">
        <v>261</v>
      </c>
      <c r="BO3" s="6" t="s">
        <v>262</v>
      </c>
      <c r="BP3" s="6" t="s">
        <v>263</v>
      </c>
      <c r="BQ3" s="6" t="s">
        <v>264</v>
      </c>
      <c r="BR3" s="6" t="s">
        <v>265</v>
      </c>
      <c r="BS3" s="6" t="s">
        <v>266</v>
      </c>
      <c r="BT3" s="6" t="s">
        <v>267</v>
      </c>
      <c r="BU3" s="6" t="s">
        <v>268</v>
      </c>
      <c r="BV3" s="6" t="s">
        <v>269</v>
      </c>
      <c r="BW3" s="6" t="s">
        <v>270</v>
      </c>
      <c r="BX3" s="6" t="s">
        <v>271</v>
      </c>
      <c r="BY3" s="6" t="s">
        <v>272</v>
      </c>
      <c r="BZ3" s="6" t="s">
        <v>273</v>
      </c>
      <c r="CA3" s="6" t="s">
        <v>274</v>
      </c>
    </row>
    <row r="4" spans="1:79">
      <c r="A4" s="6" t="s">
        <v>160</v>
      </c>
      <c r="B4" s="6">
        <v>1688</v>
      </c>
      <c r="C4" s="6">
        <v>154</v>
      </c>
      <c r="D4" s="6">
        <v>25</v>
      </c>
      <c r="E4" s="6">
        <v>90</v>
      </c>
      <c r="F4" s="6">
        <v>406</v>
      </c>
      <c r="G4" s="6">
        <v>69</v>
      </c>
      <c r="H4" s="6">
        <v>312</v>
      </c>
      <c r="I4" s="6">
        <v>37</v>
      </c>
      <c r="J4" s="6">
        <v>359</v>
      </c>
      <c r="K4" s="6">
        <v>60</v>
      </c>
      <c r="L4" s="6">
        <v>177</v>
      </c>
      <c r="M4" s="6">
        <v>367</v>
      </c>
      <c r="N4" s="6">
        <v>264</v>
      </c>
      <c r="O4" s="6">
        <v>103</v>
      </c>
      <c r="P4" s="6">
        <v>1515</v>
      </c>
      <c r="Q4" s="6">
        <v>13</v>
      </c>
      <c r="R4" s="6">
        <v>43</v>
      </c>
      <c r="S4" s="6">
        <v>111</v>
      </c>
      <c r="T4" s="6">
        <v>483</v>
      </c>
      <c r="U4" s="6">
        <v>232</v>
      </c>
      <c r="V4" s="6">
        <v>185</v>
      </c>
      <c r="W4" s="6">
        <v>266</v>
      </c>
      <c r="X4" s="6">
        <v>81</v>
      </c>
      <c r="Y4" s="6">
        <v>104</v>
      </c>
      <c r="Z4" s="6">
        <v>1703</v>
      </c>
      <c r="AA4" s="6">
        <v>3</v>
      </c>
      <c r="AB4" s="6">
        <v>1693</v>
      </c>
      <c r="AC4" s="6">
        <v>3</v>
      </c>
      <c r="AD4" s="6">
        <v>111</v>
      </c>
      <c r="AE4" s="6">
        <v>0</v>
      </c>
      <c r="AF4" s="6">
        <v>94</v>
      </c>
      <c r="AG4" s="6">
        <v>11</v>
      </c>
      <c r="AH4" s="6">
        <v>4638</v>
      </c>
      <c r="AI4" s="6">
        <v>1172</v>
      </c>
      <c r="AJ4" s="6">
        <v>594</v>
      </c>
      <c r="AK4" s="6">
        <v>200</v>
      </c>
      <c r="AL4" s="6">
        <v>687</v>
      </c>
      <c r="AM4" s="6">
        <v>270</v>
      </c>
      <c r="AN4" s="6">
        <v>171</v>
      </c>
      <c r="AO4" s="6">
        <v>597</v>
      </c>
      <c r="AP4" s="6">
        <v>421</v>
      </c>
      <c r="AQ4" s="6">
        <v>532</v>
      </c>
      <c r="AR4" s="6">
        <v>7269</v>
      </c>
      <c r="AS4" s="6">
        <v>150</v>
      </c>
      <c r="AT4" s="6">
        <v>621</v>
      </c>
      <c r="AU4" s="6">
        <v>214</v>
      </c>
      <c r="AV4" s="6">
        <v>1212</v>
      </c>
      <c r="AW4" s="6">
        <v>1911</v>
      </c>
      <c r="AX4" s="6">
        <v>885</v>
      </c>
      <c r="AY4" s="6">
        <v>892</v>
      </c>
      <c r="AZ4" s="6">
        <v>297</v>
      </c>
      <c r="BA4" s="6">
        <v>1089</v>
      </c>
      <c r="BB4" s="6">
        <v>17885</v>
      </c>
      <c r="BC4" s="6">
        <v>1123</v>
      </c>
      <c r="BD4" s="6">
        <v>2131</v>
      </c>
      <c r="BE4" s="6">
        <v>354</v>
      </c>
      <c r="BF4" s="6">
        <v>2326</v>
      </c>
      <c r="BG4" s="6">
        <v>2899</v>
      </c>
      <c r="BH4" s="6">
        <v>1543</v>
      </c>
      <c r="BI4" s="6">
        <v>2213</v>
      </c>
      <c r="BJ4" s="6">
        <v>3852</v>
      </c>
      <c r="BK4" s="6">
        <v>1441</v>
      </c>
      <c r="BL4" s="6">
        <v>5957</v>
      </c>
      <c r="BM4" s="6">
        <v>116</v>
      </c>
      <c r="BN4" s="6">
        <v>251</v>
      </c>
      <c r="BO4" s="6">
        <v>175</v>
      </c>
      <c r="BP4" s="6">
        <v>700</v>
      </c>
      <c r="BQ4" s="6">
        <v>304</v>
      </c>
      <c r="BR4" s="6">
        <v>993</v>
      </c>
      <c r="BS4" s="6">
        <v>763</v>
      </c>
      <c r="BT4" s="6">
        <v>2657</v>
      </c>
      <c r="BU4" s="6">
        <v>1288</v>
      </c>
      <c r="BV4" s="6">
        <v>935</v>
      </c>
      <c r="BW4" s="6">
        <v>17</v>
      </c>
      <c r="BX4" s="6">
        <v>0</v>
      </c>
      <c r="BY4" s="6">
        <v>104</v>
      </c>
      <c r="BZ4" s="6">
        <v>229</v>
      </c>
      <c r="CA4" s="6">
        <v>42417</v>
      </c>
    </row>
    <row r="5" spans="1:79">
      <c r="A5" s="6" t="s">
        <v>161</v>
      </c>
      <c r="B5" s="6">
        <v>1929</v>
      </c>
      <c r="C5" s="6">
        <v>151</v>
      </c>
      <c r="D5" s="6">
        <v>30</v>
      </c>
      <c r="E5" s="6">
        <v>96</v>
      </c>
      <c r="F5" s="6">
        <v>441</v>
      </c>
      <c r="G5" s="6">
        <v>86</v>
      </c>
      <c r="H5" s="6">
        <v>418</v>
      </c>
      <c r="I5" s="6">
        <v>49</v>
      </c>
      <c r="J5" s="6">
        <v>357</v>
      </c>
      <c r="K5" s="6">
        <v>67</v>
      </c>
      <c r="L5" s="6">
        <v>233</v>
      </c>
      <c r="M5" s="6">
        <v>391</v>
      </c>
      <c r="N5" s="6">
        <v>298</v>
      </c>
      <c r="O5" s="6">
        <v>88</v>
      </c>
      <c r="P5" s="6">
        <v>1604</v>
      </c>
      <c r="Q5" s="6">
        <v>10</v>
      </c>
      <c r="R5" s="6">
        <v>33</v>
      </c>
      <c r="S5" s="6">
        <v>103</v>
      </c>
      <c r="T5" s="6">
        <v>571</v>
      </c>
      <c r="U5" s="6">
        <v>239</v>
      </c>
      <c r="V5" s="6">
        <v>159</v>
      </c>
      <c r="W5" s="6">
        <v>256</v>
      </c>
      <c r="X5" s="6">
        <v>118</v>
      </c>
      <c r="Y5" s="6">
        <v>119</v>
      </c>
      <c r="Z5" s="6">
        <v>2644</v>
      </c>
      <c r="AA5" s="6">
        <v>23</v>
      </c>
      <c r="AB5" s="6">
        <v>2612</v>
      </c>
      <c r="AC5" s="6">
        <v>8</v>
      </c>
      <c r="AD5" s="6">
        <v>121</v>
      </c>
      <c r="AE5" s="6">
        <v>1</v>
      </c>
      <c r="AF5" s="6">
        <v>107</v>
      </c>
      <c r="AG5" s="6">
        <v>12</v>
      </c>
      <c r="AH5" s="6">
        <v>5189</v>
      </c>
      <c r="AI5" s="6">
        <v>1123</v>
      </c>
      <c r="AJ5" s="6">
        <v>760</v>
      </c>
      <c r="AK5" s="6">
        <v>233</v>
      </c>
      <c r="AL5" s="6">
        <v>739</v>
      </c>
      <c r="AM5" s="6">
        <v>327</v>
      </c>
      <c r="AN5" s="6">
        <v>227</v>
      </c>
      <c r="AO5" s="6">
        <v>699</v>
      </c>
      <c r="AP5" s="6">
        <v>483</v>
      </c>
      <c r="AQ5" s="6">
        <v>597</v>
      </c>
      <c r="AR5" s="6">
        <v>8580</v>
      </c>
      <c r="AS5" s="6">
        <v>146</v>
      </c>
      <c r="AT5" s="6">
        <v>734</v>
      </c>
      <c r="AU5" s="6">
        <v>243</v>
      </c>
      <c r="AV5" s="6">
        <v>1342</v>
      </c>
      <c r="AW5" s="6">
        <v>2045</v>
      </c>
      <c r="AX5" s="6">
        <v>1078</v>
      </c>
      <c r="AY5" s="6">
        <v>1218</v>
      </c>
      <c r="AZ5" s="6">
        <v>414</v>
      </c>
      <c r="BA5" s="6">
        <v>1359</v>
      </c>
      <c r="BB5" s="6">
        <v>23453</v>
      </c>
      <c r="BC5" s="6">
        <v>1240</v>
      </c>
      <c r="BD5" s="6">
        <v>2752</v>
      </c>
      <c r="BE5" s="6">
        <v>388</v>
      </c>
      <c r="BF5" s="6">
        <v>2891</v>
      </c>
      <c r="BG5" s="6">
        <v>3531</v>
      </c>
      <c r="BH5" s="6">
        <v>1880</v>
      </c>
      <c r="BI5" s="6">
        <v>2621</v>
      </c>
      <c r="BJ5" s="6">
        <v>5397</v>
      </c>
      <c r="BK5" s="6">
        <v>2756</v>
      </c>
      <c r="BL5" s="6">
        <v>6814</v>
      </c>
      <c r="BM5" s="6">
        <v>140</v>
      </c>
      <c r="BN5" s="6">
        <v>339</v>
      </c>
      <c r="BO5" s="6">
        <v>215</v>
      </c>
      <c r="BP5" s="6">
        <v>848</v>
      </c>
      <c r="BQ5" s="6">
        <v>342</v>
      </c>
      <c r="BR5" s="6">
        <v>1138</v>
      </c>
      <c r="BS5" s="6">
        <v>806</v>
      </c>
      <c r="BT5" s="6">
        <v>2985</v>
      </c>
      <c r="BU5" s="6">
        <v>998</v>
      </c>
      <c r="BV5" s="6">
        <v>651</v>
      </c>
      <c r="BW5" s="6">
        <v>25</v>
      </c>
      <c r="BX5" s="6">
        <v>3</v>
      </c>
      <c r="BY5" s="6">
        <v>189</v>
      </c>
      <c r="BZ5" s="6">
        <v>127</v>
      </c>
      <c r="CA5" s="6">
        <v>51727</v>
      </c>
    </row>
    <row r="6" spans="1:79">
      <c r="A6" s="6" t="s">
        <v>162</v>
      </c>
      <c r="B6" s="6">
        <v>1914</v>
      </c>
      <c r="C6" s="6">
        <v>121</v>
      </c>
      <c r="D6" s="6">
        <v>28</v>
      </c>
      <c r="E6" s="6">
        <v>115</v>
      </c>
      <c r="F6" s="6">
        <v>438</v>
      </c>
      <c r="G6" s="6">
        <v>101</v>
      </c>
      <c r="H6" s="6">
        <v>388</v>
      </c>
      <c r="I6" s="6">
        <v>61</v>
      </c>
      <c r="J6" s="6">
        <v>316</v>
      </c>
      <c r="K6" s="6">
        <v>69</v>
      </c>
      <c r="L6" s="6">
        <v>278</v>
      </c>
      <c r="M6" s="6">
        <v>403</v>
      </c>
      <c r="N6" s="6">
        <v>301</v>
      </c>
      <c r="O6" s="6">
        <v>102</v>
      </c>
      <c r="P6" s="6">
        <v>1403</v>
      </c>
      <c r="Q6" s="6">
        <v>14</v>
      </c>
      <c r="R6" s="6">
        <v>53</v>
      </c>
      <c r="S6" s="6">
        <v>83</v>
      </c>
      <c r="T6" s="6">
        <v>456</v>
      </c>
      <c r="U6" s="6">
        <v>207</v>
      </c>
      <c r="V6" s="6">
        <v>141</v>
      </c>
      <c r="W6" s="6">
        <v>186</v>
      </c>
      <c r="X6" s="6">
        <v>148</v>
      </c>
      <c r="Y6" s="6">
        <v>117</v>
      </c>
      <c r="Z6" s="6">
        <v>2811</v>
      </c>
      <c r="AA6" s="6">
        <v>3</v>
      </c>
      <c r="AB6" s="6">
        <v>2787</v>
      </c>
      <c r="AC6" s="6">
        <v>16</v>
      </c>
      <c r="AD6" s="6">
        <v>125</v>
      </c>
      <c r="AE6" s="6">
        <v>0</v>
      </c>
      <c r="AF6" s="6">
        <v>110</v>
      </c>
      <c r="AG6" s="6">
        <v>12</v>
      </c>
      <c r="AH6" s="6">
        <v>5130</v>
      </c>
      <c r="AI6" s="6">
        <v>984</v>
      </c>
      <c r="AJ6" s="6">
        <v>695</v>
      </c>
      <c r="AK6" s="6">
        <v>229</v>
      </c>
      <c r="AL6" s="6">
        <v>904</v>
      </c>
      <c r="AM6" s="6">
        <v>339</v>
      </c>
      <c r="AN6" s="6">
        <v>261</v>
      </c>
      <c r="AO6" s="6">
        <v>613</v>
      </c>
      <c r="AP6" s="6">
        <v>459</v>
      </c>
      <c r="AQ6" s="6">
        <v>645</v>
      </c>
      <c r="AR6" s="6">
        <v>7632</v>
      </c>
      <c r="AS6" s="6">
        <v>128</v>
      </c>
      <c r="AT6" s="6">
        <v>703</v>
      </c>
      <c r="AU6" s="6">
        <v>221</v>
      </c>
      <c r="AV6" s="6">
        <v>1255</v>
      </c>
      <c r="AW6" s="6">
        <v>1856</v>
      </c>
      <c r="AX6" s="6">
        <v>996</v>
      </c>
      <c r="AY6" s="6">
        <v>834</v>
      </c>
      <c r="AZ6" s="6">
        <v>373</v>
      </c>
      <c r="BA6" s="6">
        <v>1261</v>
      </c>
      <c r="BB6" s="6">
        <v>22381</v>
      </c>
      <c r="BC6" s="6">
        <v>1361</v>
      </c>
      <c r="BD6" s="6">
        <v>2446</v>
      </c>
      <c r="BE6" s="6">
        <v>354</v>
      </c>
      <c r="BF6" s="6">
        <v>2789</v>
      </c>
      <c r="BG6" s="6">
        <v>3462</v>
      </c>
      <c r="BH6" s="6">
        <v>1778</v>
      </c>
      <c r="BI6" s="6">
        <v>2615</v>
      </c>
      <c r="BJ6" s="6">
        <v>4825</v>
      </c>
      <c r="BK6" s="6">
        <v>2751</v>
      </c>
      <c r="BL6" s="6">
        <v>6919</v>
      </c>
      <c r="BM6" s="6">
        <v>139</v>
      </c>
      <c r="BN6" s="6">
        <v>314</v>
      </c>
      <c r="BO6" s="6">
        <v>209</v>
      </c>
      <c r="BP6" s="6">
        <v>914</v>
      </c>
      <c r="BQ6" s="6">
        <v>359</v>
      </c>
      <c r="BR6" s="6">
        <v>1155</v>
      </c>
      <c r="BS6" s="6">
        <v>786</v>
      </c>
      <c r="BT6" s="6">
        <v>3042</v>
      </c>
      <c r="BU6" s="6">
        <v>1090</v>
      </c>
      <c r="BV6" s="6">
        <v>493</v>
      </c>
      <c r="BW6" s="6">
        <v>28</v>
      </c>
      <c r="BX6" s="6">
        <v>7</v>
      </c>
      <c r="BY6" s="6">
        <v>427</v>
      </c>
      <c r="BZ6" s="6">
        <v>137</v>
      </c>
      <c r="CA6" s="6">
        <v>49808</v>
      </c>
    </row>
    <row r="7" spans="1:79">
      <c r="A7" s="6" t="s">
        <v>163</v>
      </c>
      <c r="B7" s="6">
        <v>2001</v>
      </c>
      <c r="C7" s="6">
        <v>62</v>
      </c>
      <c r="D7" s="6">
        <v>40</v>
      </c>
      <c r="E7" s="6">
        <v>133</v>
      </c>
      <c r="F7" s="6">
        <v>453</v>
      </c>
      <c r="G7" s="6">
        <v>108</v>
      </c>
      <c r="H7" s="6">
        <v>433</v>
      </c>
      <c r="I7" s="6">
        <v>57</v>
      </c>
      <c r="J7" s="6">
        <v>310</v>
      </c>
      <c r="K7" s="6">
        <v>85</v>
      </c>
      <c r="L7" s="6">
        <v>328</v>
      </c>
      <c r="M7" s="6">
        <v>387</v>
      </c>
      <c r="N7" s="6">
        <v>286</v>
      </c>
      <c r="O7" s="6">
        <v>102</v>
      </c>
      <c r="P7" s="6">
        <v>1198</v>
      </c>
      <c r="Q7" s="6">
        <v>9</v>
      </c>
      <c r="R7" s="6">
        <v>58</v>
      </c>
      <c r="S7" s="6">
        <v>79</v>
      </c>
      <c r="T7" s="6">
        <v>437</v>
      </c>
      <c r="U7" s="6">
        <v>130</v>
      </c>
      <c r="V7" s="6">
        <v>134</v>
      </c>
      <c r="W7" s="6">
        <v>123</v>
      </c>
      <c r="X7" s="6">
        <v>115</v>
      </c>
      <c r="Y7" s="6">
        <v>110</v>
      </c>
      <c r="Z7" s="6">
        <v>2953</v>
      </c>
      <c r="AA7" s="6">
        <v>4</v>
      </c>
      <c r="AB7" s="6">
        <v>2938</v>
      </c>
      <c r="AC7" s="6">
        <v>7</v>
      </c>
      <c r="AD7" s="6">
        <v>139</v>
      </c>
      <c r="AE7" s="6">
        <v>0</v>
      </c>
      <c r="AF7" s="6">
        <v>124</v>
      </c>
      <c r="AG7" s="6">
        <v>13</v>
      </c>
      <c r="AH7" s="6">
        <v>5253</v>
      </c>
      <c r="AI7" s="6">
        <v>1044</v>
      </c>
      <c r="AJ7" s="6">
        <v>718</v>
      </c>
      <c r="AK7" s="6">
        <v>245</v>
      </c>
      <c r="AL7" s="6">
        <v>937</v>
      </c>
      <c r="AM7" s="6">
        <v>350</v>
      </c>
      <c r="AN7" s="6">
        <v>284</v>
      </c>
      <c r="AO7" s="6">
        <v>602</v>
      </c>
      <c r="AP7" s="6">
        <v>454</v>
      </c>
      <c r="AQ7" s="6">
        <v>618</v>
      </c>
      <c r="AR7" s="6">
        <v>7580</v>
      </c>
      <c r="AS7" s="6">
        <v>118</v>
      </c>
      <c r="AT7" s="6">
        <v>704</v>
      </c>
      <c r="AU7" s="6">
        <v>225</v>
      </c>
      <c r="AV7" s="6">
        <v>1209</v>
      </c>
      <c r="AW7" s="6">
        <v>1907</v>
      </c>
      <c r="AX7" s="6">
        <v>925</v>
      </c>
      <c r="AY7" s="6">
        <v>895</v>
      </c>
      <c r="AZ7" s="6">
        <v>371</v>
      </c>
      <c r="BA7" s="6">
        <v>1221</v>
      </c>
      <c r="BB7" s="6">
        <v>21885</v>
      </c>
      <c r="BC7" s="6">
        <v>1311</v>
      </c>
      <c r="BD7" s="6">
        <v>2023</v>
      </c>
      <c r="BE7" s="6">
        <v>315</v>
      </c>
      <c r="BF7" s="6">
        <v>2764</v>
      </c>
      <c r="BG7" s="6">
        <v>3406</v>
      </c>
      <c r="BH7" s="6">
        <v>1823</v>
      </c>
      <c r="BI7" s="6">
        <v>2645</v>
      </c>
      <c r="BJ7" s="6">
        <v>4280</v>
      </c>
      <c r="BK7" s="6">
        <v>3319</v>
      </c>
      <c r="BL7" s="6">
        <v>7284</v>
      </c>
      <c r="BM7" s="6">
        <v>154</v>
      </c>
      <c r="BN7" s="6">
        <v>301</v>
      </c>
      <c r="BO7" s="6">
        <v>221</v>
      </c>
      <c r="BP7" s="6">
        <v>1027</v>
      </c>
      <c r="BQ7" s="6">
        <v>384</v>
      </c>
      <c r="BR7" s="6">
        <v>1241</v>
      </c>
      <c r="BS7" s="6">
        <v>793</v>
      </c>
      <c r="BT7" s="6">
        <v>3160</v>
      </c>
      <c r="BU7" s="6">
        <v>997</v>
      </c>
      <c r="BV7" s="6">
        <v>28</v>
      </c>
      <c r="BW7" s="6">
        <v>11</v>
      </c>
      <c r="BX7" s="6">
        <v>0</v>
      </c>
      <c r="BY7" s="6">
        <v>866</v>
      </c>
      <c r="BZ7" s="6">
        <v>93</v>
      </c>
      <c r="CA7" s="6">
        <v>49671</v>
      </c>
    </row>
    <row r="8" spans="1:79">
      <c r="A8" s="6" t="s">
        <v>164</v>
      </c>
      <c r="B8" s="6">
        <v>2144</v>
      </c>
      <c r="C8" s="6">
        <v>59</v>
      </c>
      <c r="D8" s="6">
        <v>39</v>
      </c>
      <c r="E8" s="6">
        <v>152</v>
      </c>
      <c r="F8" s="6">
        <v>483</v>
      </c>
      <c r="G8" s="6">
        <v>131</v>
      </c>
      <c r="H8" s="6">
        <v>475</v>
      </c>
      <c r="I8" s="6">
        <v>73</v>
      </c>
      <c r="J8" s="6">
        <v>328</v>
      </c>
      <c r="K8" s="6">
        <v>70</v>
      </c>
      <c r="L8" s="6">
        <v>338</v>
      </c>
      <c r="M8" s="6">
        <v>414</v>
      </c>
      <c r="N8" s="6">
        <v>303</v>
      </c>
      <c r="O8" s="6">
        <v>107</v>
      </c>
      <c r="P8" s="6">
        <v>1424</v>
      </c>
      <c r="Q8" s="6">
        <v>0</v>
      </c>
      <c r="R8" s="6">
        <v>58</v>
      </c>
      <c r="S8" s="6">
        <v>93</v>
      </c>
      <c r="T8" s="6">
        <v>516</v>
      </c>
      <c r="U8" s="6">
        <v>153</v>
      </c>
      <c r="V8" s="6">
        <v>142</v>
      </c>
      <c r="W8" s="6">
        <v>154</v>
      </c>
      <c r="X8" s="6">
        <v>170</v>
      </c>
      <c r="Y8" s="6">
        <v>133</v>
      </c>
      <c r="Z8" s="6">
        <v>3244</v>
      </c>
      <c r="AA8" s="6">
        <v>5</v>
      </c>
      <c r="AB8" s="6">
        <v>3222</v>
      </c>
      <c r="AC8" s="6">
        <v>15</v>
      </c>
      <c r="AD8" s="6">
        <v>176</v>
      </c>
      <c r="AE8" s="6">
        <v>0</v>
      </c>
      <c r="AF8" s="6">
        <v>156</v>
      </c>
      <c r="AG8" s="6">
        <v>18</v>
      </c>
      <c r="AH8" s="6">
        <v>6223</v>
      </c>
      <c r="AI8" s="6">
        <v>1284</v>
      </c>
      <c r="AJ8" s="6">
        <v>700</v>
      </c>
      <c r="AK8" s="6">
        <v>305</v>
      </c>
      <c r="AL8" s="6">
        <v>1275</v>
      </c>
      <c r="AM8" s="6">
        <v>438</v>
      </c>
      <c r="AN8" s="6">
        <v>310</v>
      </c>
      <c r="AO8" s="6">
        <v>650</v>
      </c>
      <c r="AP8" s="6">
        <v>531</v>
      </c>
      <c r="AQ8" s="6">
        <v>727</v>
      </c>
      <c r="AR8" s="6">
        <v>8438</v>
      </c>
      <c r="AS8" s="6">
        <v>132</v>
      </c>
      <c r="AT8" s="6">
        <v>781</v>
      </c>
      <c r="AU8" s="6">
        <v>245</v>
      </c>
      <c r="AV8" s="6">
        <v>1387</v>
      </c>
      <c r="AW8" s="6">
        <v>2090</v>
      </c>
      <c r="AX8" s="6">
        <v>1024</v>
      </c>
      <c r="AY8" s="6">
        <v>856</v>
      </c>
      <c r="AZ8" s="6">
        <v>440</v>
      </c>
      <c r="BA8" s="6">
        <v>1478</v>
      </c>
      <c r="BB8" s="6">
        <v>23736</v>
      </c>
      <c r="BC8" s="6">
        <v>1345</v>
      </c>
      <c r="BD8" s="6">
        <v>2350</v>
      </c>
      <c r="BE8" s="6">
        <v>314</v>
      </c>
      <c r="BF8" s="6">
        <v>2892</v>
      </c>
      <c r="BG8" s="6">
        <v>3949</v>
      </c>
      <c r="BH8" s="6">
        <v>2188</v>
      </c>
      <c r="BI8" s="6">
        <v>3093</v>
      </c>
      <c r="BJ8" s="6">
        <v>5576</v>
      </c>
      <c r="BK8" s="6">
        <v>2025</v>
      </c>
      <c r="BL8" s="6">
        <v>8512</v>
      </c>
      <c r="BM8" s="6">
        <v>166</v>
      </c>
      <c r="BN8" s="6">
        <v>342</v>
      </c>
      <c r="BO8" s="6">
        <v>273</v>
      </c>
      <c r="BP8" s="6">
        <v>1208</v>
      </c>
      <c r="BQ8" s="6">
        <v>481</v>
      </c>
      <c r="BR8" s="6">
        <v>1444</v>
      </c>
      <c r="BS8" s="6">
        <v>931</v>
      </c>
      <c r="BT8" s="6">
        <v>3670</v>
      </c>
      <c r="BU8" s="6">
        <v>1199</v>
      </c>
      <c r="BV8" s="6">
        <v>27</v>
      </c>
      <c r="BW8" s="6">
        <v>1</v>
      </c>
      <c r="BX8" s="6">
        <v>0</v>
      </c>
      <c r="BY8" s="6">
        <v>1104</v>
      </c>
      <c r="BZ8" s="6">
        <v>66</v>
      </c>
      <c r="CA8" s="6">
        <v>55508</v>
      </c>
    </row>
    <row r="9" spans="1:79">
      <c r="A9" s="6" t="s">
        <v>165</v>
      </c>
      <c r="B9" s="6">
        <v>2386</v>
      </c>
      <c r="C9" s="6">
        <v>65</v>
      </c>
      <c r="D9" s="6">
        <v>39</v>
      </c>
      <c r="E9" s="6">
        <v>159</v>
      </c>
      <c r="F9" s="6">
        <v>538</v>
      </c>
      <c r="G9" s="6">
        <v>139</v>
      </c>
      <c r="H9" s="6">
        <v>501</v>
      </c>
      <c r="I9" s="6">
        <v>73</v>
      </c>
      <c r="J9" s="6">
        <v>358</v>
      </c>
      <c r="K9" s="6">
        <v>87</v>
      </c>
      <c r="L9" s="6">
        <v>422</v>
      </c>
      <c r="M9" s="6">
        <v>454</v>
      </c>
      <c r="N9" s="6">
        <v>318</v>
      </c>
      <c r="O9" s="6">
        <v>133</v>
      </c>
      <c r="P9" s="6">
        <v>1547</v>
      </c>
      <c r="Q9" s="6">
        <v>4</v>
      </c>
      <c r="R9" s="6">
        <v>65</v>
      </c>
      <c r="S9" s="6">
        <v>111</v>
      </c>
      <c r="T9" s="6">
        <v>652</v>
      </c>
      <c r="U9" s="6">
        <v>141</v>
      </c>
      <c r="V9" s="6">
        <v>153</v>
      </c>
      <c r="W9" s="6">
        <v>139</v>
      </c>
      <c r="X9" s="6">
        <v>128</v>
      </c>
      <c r="Y9" s="6">
        <v>155</v>
      </c>
      <c r="Z9" s="6">
        <v>3822</v>
      </c>
      <c r="AA9" s="6">
        <v>16</v>
      </c>
      <c r="AB9" s="6">
        <v>3781</v>
      </c>
      <c r="AC9" s="6">
        <v>22</v>
      </c>
      <c r="AD9" s="6">
        <v>198</v>
      </c>
      <c r="AE9" s="6">
        <v>0</v>
      </c>
      <c r="AF9" s="6">
        <v>179</v>
      </c>
      <c r="AG9" s="6">
        <v>17</v>
      </c>
      <c r="AH9" s="6">
        <v>6840</v>
      </c>
      <c r="AI9" s="6">
        <v>1491</v>
      </c>
      <c r="AJ9" s="6">
        <v>582</v>
      </c>
      <c r="AK9" s="6">
        <v>335</v>
      </c>
      <c r="AL9" s="6">
        <v>1393</v>
      </c>
      <c r="AM9" s="6">
        <v>491</v>
      </c>
      <c r="AN9" s="6">
        <v>376</v>
      </c>
      <c r="AO9" s="6">
        <v>728</v>
      </c>
      <c r="AP9" s="6">
        <v>606</v>
      </c>
      <c r="AQ9" s="6">
        <v>841</v>
      </c>
      <c r="AR9" s="6">
        <v>9138</v>
      </c>
      <c r="AS9" s="6">
        <v>137</v>
      </c>
      <c r="AT9" s="6">
        <v>883</v>
      </c>
      <c r="AU9" s="6">
        <v>274</v>
      </c>
      <c r="AV9" s="6">
        <v>1485</v>
      </c>
      <c r="AW9" s="6">
        <v>2208</v>
      </c>
      <c r="AX9" s="6">
        <v>1038</v>
      </c>
      <c r="AY9" s="6">
        <v>1038</v>
      </c>
      <c r="AZ9" s="6">
        <v>476</v>
      </c>
      <c r="BA9" s="6">
        <v>1598</v>
      </c>
      <c r="BB9" s="6">
        <v>27489</v>
      </c>
      <c r="BC9" s="6">
        <v>1665</v>
      </c>
      <c r="BD9" s="6">
        <v>2717</v>
      </c>
      <c r="BE9" s="6">
        <v>324</v>
      </c>
      <c r="BF9" s="6">
        <v>3425</v>
      </c>
      <c r="BG9" s="6">
        <v>4576</v>
      </c>
      <c r="BH9" s="6">
        <v>2488</v>
      </c>
      <c r="BI9" s="6">
        <v>3752</v>
      </c>
      <c r="BJ9" s="6">
        <v>6695</v>
      </c>
      <c r="BK9" s="6">
        <v>1844</v>
      </c>
      <c r="BL9" s="6">
        <v>9417</v>
      </c>
      <c r="BM9" s="6">
        <v>182</v>
      </c>
      <c r="BN9" s="6">
        <v>369</v>
      </c>
      <c r="BO9" s="6">
        <v>272</v>
      </c>
      <c r="BP9" s="6">
        <v>1454</v>
      </c>
      <c r="BQ9" s="6">
        <v>515</v>
      </c>
      <c r="BR9" s="6">
        <v>1648</v>
      </c>
      <c r="BS9" s="6">
        <v>1024</v>
      </c>
      <c r="BT9" s="6">
        <v>3957</v>
      </c>
      <c r="BU9" s="6">
        <v>1108</v>
      </c>
      <c r="BV9" s="6">
        <v>37</v>
      </c>
      <c r="BW9" s="6">
        <v>1</v>
      </c>
      <c r="BX9" s="6">
        <v>0</v>
      </c>
      <c r="BY9" s="6">
        <v>1003</v>
      </c>
      <c r="BZ9" s="6">
        <v>68</v>
      </c>
      <c r="CA9" s="6">
        <v>62403</v>
      </c>
    </row>
    <row r="10" spans="1:79">
      <c r="A10" s="6" t="s">
        <v>166</v>
      </c>
      <c r="B10" s="6">
        <v>2580</v>
      </c>
      <c r="C10" s="6">
        <v>81</v>
      </c>
      <c r="D10" s="6">
        <v>42</v>
      </c>
      <c r="E10" s="6">
        <v>161</v>
      </c>
      <c r="F10" s="6">
        <v>582</v>
      </c>
      <c r="G10" s="6">
        <v>148</v>
      </c>
      <c r="H10" s="6">
        <v>504</v>
      </c>
      <c r="I10" s="6">
        <v>75</v>
      </c>
      <c r="J10" s="6">
        <v>437</v>
      </c>
      <c r="K10" s="6">
        <v>107</v>
      </c>
      <c r="L10" s="6">
        <v>446</v>
      </c>
      <c r="M10" s="6">
        <v>500</v>
      </c>
      <c r="N10" s="6">
        <v>338</v>
      </c>
      <c r="O10" s="6">
        <v>163</v>
      </c>
      <c r="P10" s="6">
        <v>1650</v>
      </c>
      <c r="Q10" s="6">
        <v>4</v>
      </c>
      <c r="R10" s="6">
        <v>105</v>
      </c>
      <c r="S10" s="6">
        <v>128</v>
      </c>
      <c r="T10" s="6">
        <v>605</v>
      </c>
      <c r="U10" s="6">
        <v>131</v>
      </c>
      <c r="V10" s="6">
        <v>174</v>
      </c>
      <c r="W10" s="6">
        <v>163</v>
      </c>
      <c r="X10" s="6">
        <v>169</v>
      </c>
      <c r="Y10" s="6">
        <v>171</v>
      </c>
      <c r="Z10" s="6">
        <v>3264</v>
      </c>
      <c r="AA10" s="6">
        <v>26</v>
      </c>
      <c r="AB10" s="6">
        <v>3212</v>
      </c>
      <c r="AC10" s="6">
        <v>26</v>
      </c>
      <c r="AD10" s="6">
        <v>211</v>
      </c>
      <c r="AE10" s="6">
        <v>2</v>
      </c>
      <c r="AF10" s="6">
        <v>187</v>
      </c>
      <c r="AG10" s="6">
        <v>20</v>
      </c>
      <c r="AH10" s="6">
        <v>7355</v>
      </c>
      <c r="AI10" s="6">
        <v>1706</v>
      </c>
      <c r="AJ10" s="6">
        <v>462</v>
      </c>
      <c r="AK10" s="6">
        <v>355</v>
      </c>
      <c r="AL10" s="6">
        <v>1504</v>
      </c>
      <c r="AM10" s="6">
        <v>547</v>
      </c>
      <c r="AN10" s="6">
        <v>443</v>
      </c>
      <c r="AO10" s="6">
        <v>804</v>
      </c>
      <c r="AP10" s="6">
        <v>666</v>
      </c>
      <c r="AQ10" s="6">
        <v>872</v>
      </c>
      <c r="AR10" s="6">
        <v>10017</v>
      </c>
      <c r="AS10" s="6">
        <v>156</v>
      </c>
      <c r="AT10" s="6">
        <v>998</v>
      </c>
      <c r="AU10" s="6">
        <v>305</v>
      </c>
      <c r="AV10" s="6">
        <v>1639</v>
      </c>
      <c r="AW10" s="6">
        <v>2368</v>
      </c>
      <c r="AX10" s="6">
        <v>1144</v>
      </c>
      <c r="AY10" s="6">
        <v>1101</v>
      </c>
      <c r="AZ10" s="6">
        <v>588</v>
      </c>
      <c r="BA10" s="6">
        <v>1720</v>
      </c>
      <c r="BB10" s="6">
        <v>31429</v>
      </c>
      <c r="BC10" s="6">
        <v>1759</v>
      </c>
      <c r="BD10" s="6">
        <v>3341</v>
      </c>
      <c r="BE10" s="6">
        <v>436</v>
      </c>
      <c r="BF10" s="6">
        <v>3912</v>
      </c>
      <c r="BG10" s="6">
        <v>5201</v>
      </c>
      <c r="BH10" s="6">
        <v>2874</v>
      </c>
      <c r="BI10" s="6">
        <v>4375</v>
      </c>
      <c r="BJ10" s="6">
        <v>7963</v>
      </c>
      <c r="BK10" s="6">
        <v>1566</v>
      </c>
      <c r="BL10" s="6">
        <v>10230</v>
      </c>
      <c r="BM10" s="6">
        <v>206</v>
      </c>
      <c r="BN10" s="6">
        <v>425</v>
      </c>
      <c r="BO10" s="6">
        <v>314</v>
      </c>
      <c r="BP10" s="6">
        <v>1547</v>
      </c>
      <c r="BQ10" s="6">
        <v>557</v>
      </c>
      <c r="BR10" s="6">
        <v>1762</v>
      </c>
      <c r="BS10" s="6">
        <v>1140</v>
      </c>
      <c r="BT10" s="6">
        <v>4278</v>
      </c>
      <c r="BU10" s="6">
        <v>864</v>
      </c>
      <c r="BV10" s="6">
        <v>25</v>
      </c>
      <c r="BW10" s="6">
        <v>1</v>
      </c>
      <c r="BX10" s="6">
        <v>0</v>
      </c>
      <c r="BY10" s="6">
        <v>773</v>
      </c>
      <c r="BZ10" s="6">
        <v>62</v>
      </c>
      <c r="CA10" s="6">
        <v>68099</v>
      </c>
    </row>
    <row r="11" spans="1:79">
      <c r="A11" s="6" t="s">
        <v>167</v>
      </c>
      <c r="B11" s="6">
        <v>2944</v>
      </c>
      <c r="C11" s="6">
        <v>106</v>
      </c>
      <c r="D11" s="6">
        <v>51</v>
      </c>
      <c r="E11" s="6">
        <v>185</v>
      </c>
      <c r="F11" s="6">
        <v>598</v>
      </c>
      <c r="G11" s="6">
        <v>218</v>
      </c>
      <c r="H11" s="6">
        <v>575</v>
      </c>
      <c r="I11" s="6">
        <v>88</v>
      </c>
      <c r="J11" s="6">
        <v>525</v>
      </c>
      <c r="K11" s="6">
        <v>104</v>
      </c>
      <c r="L11" s="6">
        <v>497</v>
      </c>
      <c r="M11" s="6">
        <v>503</v>
      </c>
      <c r="N11" s="6">
        <v>341</v>
      </c>
      <c r="O11" s="6">
        <v>163</v>
      </c>
      <c r="P11" s="6">
        <v>1751</v>
      </c>
      <c r="Q11" s="6">
        <v>1</v>
      </c>
      <c r="R11" s="6">
        <v>131</v>
      </c>
      <c r="S11" s="6">
        <v>166</v>
      </c>
      <c r="T11" s="6">
        <v>522</v>
      </c>
      <c r="U11" s="6">
        <v>205</v>
      </c>
      <c r="V11" s="6">
        <v>182</v>
      </c>
      <c r="W11" s="6">
        <v>157</v>
      </c>
      <c r="X11" s="6">
        <v>182</v>
      </c>
      <c r="Y11" s="6">
        <v>200</v>
      </c>
      <c r="Z11" s="6">
        <v>3887</v>
      </c>
      <c r="AA11" s="6">
        <v>14</v>
      </c>
      <c r="AB11" s="6">
        <v>3823</v>
      </c>
      <c r="AC11" s="6">
        <v>50</v>
      </c>
      <c r="AD11" s="6">
        <v>251</v>
      </c>
      <c r="AE11" s="6">
        <v>2</v>
      </c>
      <c r="AF11" s="6">
        <v>226</v>
      </c>
      <c r="AG11" s="6">
        <v>23</v>
      </c>
      <c r="AH11" s="6">
        <v>8598</v>
      </c>
      <c r="AI11" s="6">
        <v>1862</v>
      </c>
      <c r="AJ11" s="6">
        <v>797</v>
      </c>
      <c r="AK11" s="6">
        <v>370</v>
      </c>
      <c r="AL11" s="6">
        <v>1691</v>
      </c>
      <c r="AM11" s="6">
        <v>598</v>
      </c>
      <c r="AN11" s="6">
        <v>584</v>
      </c>
      <c r="AO11" s="6">
        <v>980</v>
      </c>
      <c r="AP11" s="6">
        <v>774</v>
      </c>
      <c r="AQ11" s="6">
        <v>943</v>
      </c>
      <c r="AR11" s="6">
        <v>11349</v>
      </c>
      <c r="AS11" s="6">
        <v>168</v>
      </c>
      <c r="AT11" s="6">
        <v>1084</v>
      </c>
      <c r="AU11" s="6">
        <v>327</v>
      </c>
      <c r="AV11" s="6">
        <v>2048</v>
      </c>
      <c r="AW11" s="6">
        <v>2416</v>
      </c>
      <c r="AX11" s="6">
        <v>1211</v>
      </c>
      <c r="AY11" s="6">
        <v>1459</v>
      </c>
      <c r="AZ11" s="6">
        <v>689</v>
      </c>
      <c r="BA11" s="6">
        <v>1951</v>
      </c>
      <c r="BB11" s="6">
        <v>36394</v>
      </c>
      <c r="BC11" s="6">
        <v>1845</v>
      </c>
      <c r="BD11" s="6">
        <v>3914</v>
      </c>
      <c r="BE11" s="6">
        <v>558</v>
      </c>
      <c r="BF11" s="6">
        <v>4379</v>
      </c>
      <c r="BG11" s="6">
        <v>5969</v>
      </c>
      <c r="BH11" s="6">
        <v>3684</v>
      </c>
      <c r="BI11" s="6">
        <v>5298</v>
      </c>
      <c r="BJ11" s="6">
        <v>8433</v>
      </c>
      <c r="BK11" s="6">
        <v>2313</v>
      </c>
      <c r="BL11" s="6">
        <v>10963</v>
      </c>
      <c r="BM11" s="6">
        <v>218</v>
      </c>
      <c r="BN11" s="6">
        <v>457</v>
      </c>
      <c r="BO11" s="6">
        <v>359</v>
      </c>
      <c r="BP11" s="6">
        <v>1703</v>
      </c>
      <c r="BQ11" s="6">
        <v>568</v>
      </c>
      <c r="BR11" s="6">
        <v>1887</v>
      </c>
      <c r="BS11" s="6">
        <v>1230</v>
      </c>
      <c r="BT11" s="6">
        <v>4541</v>
      </c>
      <c r="BU11" s="6">
        <v>828</v>
      </c>
      <c r="BV11" s="6">
        <v>27</v>
      </c>
      <c r="BW11" s="6">
        <v>1</v>
      </c>
      <c r="BX11" s="6">
        <v>0</v>
      </c>
      <c r="BY11" s="6">
        <v>731</v>
      </c>
      <c r="BZ11" s="6">
        <v>68</v>
      </c>
      <c r="CA11" s="6">
        <v>77469</v>
      </c>
    </row>
    <row r="12" spans="1:79">
      <c r="A12" s="6" t="s">
        <v>168</v>
      </c>
      <c r="B12" s="6">
        <v>2918</v>
      </c>
      <c r="C12" s="6">
        <v>92</v>
      </c>
      <c r="D12" s="6">
        <v>56</v>
      </c>
      <c r="E12" s="6">
        <v>201</v>
      </c>
      <c r="F12" s="6">
        <v>605</v>
      </c>
      <c r="G12" s="6">
        <v>165</v>
      </c>
      <c r="H12" s="6">
        <v>597</v>
      </c>
      <c r="I12" s="6">
        <v>87</v>
      </c>
      <c r="J12" s="6">
        <v>484</v>
      </c>
      <c r="K12" s="6">
        <v>105</v>
      </c>
      <c r="L12" s="6">
        <v>527</v>
      </c>
      <c r="M12" s="6">
        <v>511</v>
      </c>
      <c r="N12" s="6">
        <v>341</v>
      </c>
      <c r="O12" s="6">
        <v>170</v>
      </c>
      <c r="P12" s="6">
        <v>1512</v>
      </c>
      <c r="Q12" s="6">
        <v>0</v>
      </c>
      <c r="R12" s="6">
        <v>100</v>
      </c>
      <c r="S12" s="6">
        <v>144</v>
      </c>
      <c r="T12" s="6">
        <v>419</v>
      </c>
      <c r="U12" s="6">
        <v>155</v>
      </c>
      <c r="V12" s="6">
        <v>166</v>
      </c>
      <c r="W12" s="6">
        <v>131</v>
      </c>
      <c r="X12" s="6">
        <v>171</v>
      </c>
      <c r="Y12" s="6">
        <v>217</v>
      </c>
      <c r="Z12" s="6">
        <v>4900</v>
      </c>
      <c r="AA12" s="6">
        <v>15</v>
      </c>
      <c r="AB12" s="6">
        <v>4800</v>
      </c>
      <c r="AC12" s="6">
        <v>83</v>
      </c>
      <c r="AD12" s="6">
        <v>267</v>
      </c>
      <c r="AE12" s="6">
        <v>4</v>
      </c>
      <c r="AF12" s="6">
        <v>236</v>
      </c>
      <c r="AG12" s="6">
        <v>23</v>
      </c>
      <c r="AH12" s="6">
        <v>9076</v>
      </c>
      <c r="AI12" s="6">
        <v>2007</v>
      </c>
      <c r="AJ12" s="6">
        <v>795</v>
      </c>
      <c r="AK12" s="6">
        <v>404</v>
      </c>
      <c r="AL12" s="6">
        <v>1937</v>
      </c>
      <c r="AM12" s="6">
        <v>623</v>
      </c>
      <c r="AN12" s="6">
        <v>746</v>
      </c>
      <c r="AO12" s="6">
        <v>869</v>
      </c>
      <c r="AP12" s="6">
        <v>719</v>
      </c>
      <c r="AQ12" s="6">
        <v>978</v>
      </c>
      <c r="AR12" s="6">
        <v>10611</v>
      </c>
      <c r="AS12" s="6">
        <v>159</v>
      </c>
      <c r="AT12" s="6">
        <v>1119</v>
      </c>
      <c r="AU12" s="6">
        <v>319</v>
      </c>
      <c r="AV12" s="6">
        <v>1770</v>
      </c>
      <c r="AW12" s="6">
        <v>2319</v>
      </c>
      <c r="AX12" s="6">
        <v>1208</v>
      </c>
      <c r="AY12" s="6">
        <v>1264</v>
      </c>
      <c r="AZ12" s="6">
        <v>601</v>
      </c>
      <c r="BA12" s="6">
        <v>1851</v>
      </c>
      <c r="BB12" s="6">
        <v>36809</v>
      </c>
      <c r="BC12" s="6">
        <v>2037</v>
      </c>
      <c r="BD12" s="6">
        <v>4107</v>
      </c>
      <c r="BE12" s="6">
        <v>606</v>
      </c>
      <c r="BF12" s="6">
        <v>4567</v>
      </c>
      <c r="BG12" s="6">
        <v>5882</v>
      </c>
      <c r="BH12" s="6">
        <v>3724</v>
      </c>
      <c r="BI12" s="6">
        <v>5100</v>
      </c>
      <c r="BJ12" s="6">
        <v>8243</v>
      </c>
      <c r="BK12" s="6">
        <v>2547</v>
      </c>
      <c r="BL12" s="6">
        <v>11054</v>
      </c>
      <c r="BM12" s="6">
        <v>225</v>
      </c>
      <c r="BN12" s="6">
        <v>495</v>
      </c>
      <c r="BO12" s="6">
        <v>343</v>
      </c>
      <c r="BP12" s="6">
        <v>1802</v>
      </c>
      <c r="BQ12" s="6">
        <v>610</v>
      </c>
      <c r="BR12" s="6">
        <v>1892</v>
      </c>
      <c r="BS12" s="6">
        <v>1241</v>
      </c>
      <c r="BT12" s="6">
        <v>4447</v>
      </c>
      <c r="BU12" s="6">
        <v>752</v>
      </c>
      <c r="BV12" s="6">
        <v>31</v>
      </c>
      <c r="BW12" s="6">
        <v>9</v>
      </c>
      <c r="BX12" s="6">
        <v>0</v>
      </c>
      <c r="BY12" s="6">
        <v>643</v>
      </c>
      <c r="BZ12" s="6">
        <v>68</v>
      </c>
      <c r="CA12" s="6">
        <v>78410</v>
      </c>
    </row>
    <row r="13" spans="1:79">
      <c r="A13" s="6" t="s">
        <v>169</v>
      </c>
      <c r="B13" s="6">
        <v>3189</v>
      </c>
      <c r="C13" s="6">
        <v>120</v>
      </c>
      <c r="D13" s="6">
        <v>69</v>
      </c>
      <c r="E13" s="6">
        <v>193</v>
      </c>
      <c r="F13" s="6">
        <v>631</v>
      </c>
      <c r="G13" s="6">
        <v>204</v>
      </c>
      <c r="H13" s="6">
        <v>590</v>
      </c>
      <c r="I13" s="6">
        <v>90</v>
      </c>
      <c r="J13" s="6">
        <v>582</v>
      </c>
      <c r="K13" s="6">
        <v>134</v>
      </c>
      <c r="L13" s="6">
        <v>579</v>
      </c>
      <c r="M13" s="6">
        <v>543</v>
      </c>
      <c r="N13" s="6">
        <v>401</v>
      </c>
      <c r="O13" s="6">
        <v>143</v>
      </c>
      <c r="P13" s="6">
        <v>1558</v>
      </c>
      <c r="Q13" s="6">
        <v>1</v>
      </c>
      <c r="R13" s="6">
        <v>91</v>
      </c>
      <c r="S13" s="6">
        <v>130</v>
      </c>
      <c r="T13" s="6">
        <v>462</v>
      </c>
      <c r="U13" s="6">
        <v>124</v>
      </c>
      <c r="V13" s="6">
        <v>149</v>
      </c>
      <c r="W13" s="6">
        <v>165</v>
      </c>
      <c r="X13" s="6">
        <v>199</v>
      </c>
      <c r="Y13" s="6">
        <v>241</v>
      </c>
      <c r="Z13" s="6">
        <v>5026</v>
      </c>
      <c r="AA13" s="6">
        <v>13</v>
      </c>
      <c r="AB13" s="6">
        <v>4916</v>
      </c>
      <c r="AC13" s="6">
        <v>94</v>
      </c>
      <c r="AD13" s="6">
        <v>270</v>
      </c>
      <c r="AE13" s="6">
        <v>9</v>
      </c>
      <c r="AF13" s="6">
        <v>240</v>
      </c>
      <c r="AG13" s="6">
        <v>21</v>
      </c>
      <c r="AH13" s="6">
        <v>9397</v>
      </c>
      <c r="AI13" s="6">
        <v>2070</v>
      </c>
      <c r="AJ13" s="6">
        <v>634</v>
      </c>
      <c r="AK13" s="6">
        <v>425</v>
      </c>
      <c r="AL13" s="6">
        <v>2215</v>
      </c>
      <c r="AM13" s="6">
        <v>676</v>
      </c>
      <c r="AN13" s="6">
        <v>661</v>
      </c>
      <c r="AO13" s="6">
        <v>926</v>
      </c>
      <c r="AP13" s="6">
        <v>754</v>
      </c>
      <c r="AQ13" s="6">
        <v>1039</v>
      </c>
      <c r="AR13" s="6">
        <v>11529</v>
      </c>
      <c r="AS13" s="6">
        <v>159</v>
      </c>
      <c r="AT13" s="6">
        <v>1143</v>
      </c>
      <c r="AU13" s="6">
        <v>368</v>
      </c>
      <c r="AV13" s="6">
        <v>1833</v>
      </c>
      <c r="AW13" s="6">
        <v>2385</v>
      </c>
      <c r="AX13" s="6">
        <v>1336</v>
      </c>
      <c r="AY13" s="6">
        <v>1466</v>
      </c>
      <c r="AZ13" s="6">
        <v>692</v>
      </c>
      <c r="BA13" s="6">
        <v>2151</v>
      </c>
      <c r="BB13" s="6">
        <v>38698</v>
      </c>
      <c r="BC13" s="6">
        <v>1952</v>
      </c>
      <c r="BD13" s="6">
        <v>4032</v>
      </c>
      <c r="BE13" s="6">
        <v>596</v>
      </c>
      <c r="BF13" s="6">
        <v>5040</v>
      </c>
      <c r="BG13" s="6">
        <v>6496</v>
      </c>
      <c r="BH13" s="6">
        <v>3764</v>
      </c>
      <c r="BI13" s="6">
        <v>5085</v>
      </c>
      <c r="BJ13" s="6">
        <v>9590</v>
      </c>
      <c r="BK13" s="6">
        <v>2139</v>
      </c>
      <c r="BL13" s="6">
        <v>12287</v>
      </c>
      <c r="BM13" s="6">
        <v>258</v>
      </c>
      <c r="BN13" s="6">
        <v>613</v>
      </c>
      <c r="BO13" s="6">
        <v>358</v>
      </c>
      <c r="BP13" s="6">
        <v>2049</v>
      </c>
      <c r="BQ13" s="6">
        <v>658</v>
      </c>
      <c r="BR13" s="6">
        <v>2138</v>
      </c>
      <c r="BS13" s="6">
        <v>1315</v>
      </c>
      <c r="BT13" s="6">
        <v>4897</v>
      </c>
      <c r="BU13" s="6">
        <v>918</v>
      </c>
      <c r="BV13" s="6">
        <v>37</v>
      </c>
      <c r="BW13" s="6">
        <v>9</v>
      </c>
      <c r="BX13" s="6">
        <v>0</v>
      </c>
      <c r="BY13" s="6">
        <v>796</v>
      </c>
      <c r="BZ13" s="6">
        <v>75</v>
      </c>
      <c r="CA13" s="6">
        <v>83420</v>
      </c>
    </row>
    <row r="14" spans="1:79">
      <c r="A14" s="6" t="s">
        <v>170</v>
      </c>
      <c r="B14" s="6">
        <v>3663</v>
      </c>
      <c r="C14" s="6">
        <v>120</v>
      </c>
      <c r="D14" s="6">
        <v>59</v>
      </c>
      <c r="E14" s="6">
        <v>239</v>
      </c>
      <c r="F14" s="6">
        <v>729</v>
      </c>
      <c r="G14" s="6">
        <v>230</v>
      </c>
      <c r="H14" s="6">
        <v>666</v>
      </c>
      <c r="I14" s="6">
        <v>104</v>
      </c>
      <c r="J14" s="6">
        <v>678</v>
      </c>
      <c r="K14" s="6">
        <v>155</v>
      </c>
      <c r="L14" s="6">
        <v>683</v>
      </c>
      <c r="M14" s="6">
        <v>589</v>
      </c>
      <c r="N14" s="6">
        <v>434</v>
      </c>
      <c r="O14" s="6">
        <v>155</v>
      </c>
      <c r="P14" s="6">
        <v>1624</v>
      </c>
      <c r="Q14" s="6">
        <v>0</v>
      </c>
      <c r="R14" s="6">
        <v>64</v>
      </c>
      <c r="S14" s="6">
        <v>118</v>
      </c>
      <c r="T14" s="6">
        <v>480</v>
      </c>
      <c r="U14" s="6">
        <v>173</v>
      </c>
      <c r="V14" s="6">
        <v>139</v>
      </c>
      <c r="W14" s="6">
        <v>191</v>
      </c>
      <c r="X14" s="6">
        <v>200</v>
      </c>
      <c r="Y14" s="6">
        <v>259</v>
      </c>
      <c r="Z14" s="6">
        <v>4324</v>
      </c>
      <c r="AA14" s="6">
        <v>28</v>
      </c>
      <c r="AB14" s="6">
        <v>4223</v>
      </c>
      <c r="AC14" s="6">
        <v>72</v>
      </c>
      <c r="AD14" s="6">
        <v>270</v>
      </c>
      <c r="AE14" s="6">
        <v>6</v>
      </c>
      <c r="AF14" s="6">
        <v>238</v>
      </c>
      <c r="AG14" s="6">
        <v>24</v>
      </c>
      <c r="AH14" s="6">
        <v>11034</v>
      </c>
      <c r="AI14" s="6">
        <v>2265</v>
      </c>
      <c r="AJ14" s="6">
        <v>779</v>
      </c>
      <c r="AK14" s="6">
        <v>472</v>
      </c>
      <c r="AL14" s="6">
        <v>2843</v>
      </c>
      <c r="AM14" s="6">
        <v>825</v>
      </c>
      <c r="AN14" s="6">
        <v>775</v>
      </c>
      <c r="AO14" s="6">
        <v>1010</v>
      </c>
      <c r="AP14" s="6">
        <v>871</v>
      </c>
      <c r="AQ14" s="6">
        <v>1197</v>
      </c>
      <c r="AR14" s="6">
        <v>13020</v>
      </c>
      <c r="AS14" s="6">
        <v>137</v>
      </c>
      <c r="AT14" s="6">
        <v>1318</v>
      </c>
      <c r="AU14" s="6">
        <v>419</v>
      </c>
      <c r="AV14" s="6">
        <v>2092</v>
      </c>
      <c r="AW14" s="6">
        <v>2600</v>
      </c>
      <c r="AX14" s="6">
        <v>1555</v>
      </c>
      <c r="AY14" s="6">
        <v>1609</v>
      </c>
      <c r="AZ14" s="6">
        <v>874</v>
      </c>
      <c r="BA14" s="6">
        <v>2415</v>
      </c>
      <c r="BB14" s="6">
        <v>44331</v>
      </c>
      <c r="BC14" s="6">
        <v>2163</v>
      </c>
      <c r="BD14" s="6">
        <v>4455</v>
      </c>
      <c r="BE14" s="6">
        <v>531</v>
      </c>
      <c r="BF14" s="6">
        <v>5855</v>
      </c>
      <c r="BG14" s="6">
        <v>7089</v>
      </c>
      <c r="BH14" s="6">
        <v>4140</v>
      </c>
      <c r="BI14" s="6">
        <v>5716</v>
      </c>
      <c r="BJ14" s="6">
        <v>11724</v>
      </c>
      <c r="BK14" s="6">
        <v>2660</v>
      </c>
      <c r="BL14" s="6">
        <v>14555</v>
      </c>
      <c r="BM14" s="6">
        <v>309</v>
      </c>
      <c r="BN14" s="6">
        <v>751</v>
      </c>
      <c r="BO14" s="6">
        <v>360</v>
      </c>
      <c r="BP14" s="6">
        <v>2419</v>
      </c>
      <c r="BQ14" s="6">
        <v>780</v>
      </c>
      <c r="BR14" s="6">
        <v>2457</v>
      </c>
      <c r="BS14" s="6">
        <v>1421</v>
      </c>
      <c r="BT14" s="6">
        <v>6058</v>
      </c>
      <c r="BU14" s="6">
        <v>3369</v>
      </c>
      <c r="BV14" s="6">
        <v>43</v>
      </c>
      <c r="BW14" s="6">
        <v>4</v>
      </c>
      <c r="BX14" s="6">
        <v>0</v>
      </c>
      <c r="BY14" s="6">
        <v>3174</v>
      </c>
      <c r="BZ14" s="6">
        <v>148</v>
      </c>
      <c r="CA14" s="6">
        <v>96773</v>
      </c>
    </row>
    <row r="15" spans="1:79">
      <c r="A15" s="6" t="s">
        <v>171</v>
      </c>
      <c r="B15" s="6">
        <v>3841</v>
      </c>
      <c r="C15" s="6">
        <v>125</v>
      </c>
      <c r="D15" s="6">
        <v>98</v>
      </c>
      <c r="E15" s="6">
        <v>274</v>
      </c>
      <c r="F15" s="6">
        <v>779</v>
      </c>
      <c r="G15" s="6">
        <v>253</v>
      </c>
      <c r="H15" s="6">
        <v>742</v>
      </c>
      <c r="I15" s="6">
        <v>106</v>
      </c>
      <c r="J15" s="6">
        <v>630</v>
      </c>
      <c r="K15" s="6">
        <v>144</v>
      </c>
      <c r="L15" s="6">
        <v>693</v>
      </c>
      <c r="M15" s="6">
        <v>672</v>
      </c>
      <c r="N15" s="6">
        <v>496</v>
      </c>
      <c r="O15" s="6">
        <v>176</v>
      </c>
      <c r="P15" s="6">
        <v>1624</v>
      </c>
      <c r="Q15" s="6">
        <v>0</v>
      </c>
      <c r="R15" s="6">
        <v>68</v>
      </c>
      <c r="S15" s="6">
        <v>104</v>
      </c>
      <c r="T15" s="6">
        <v>486</v>
      </c>
      <c r="U15" s="6">
        <v>203</v>
      </c>
      <c r="V15" s="6">
        <v>139</v>
      </c>
      <c r="W15" s="6">
        <v>157</v>
      </c>
      <c r="X15" s="6">
        <v>182</v>
      </c>
      <c r="Y15" s="6">
        <v>282</v>
      </c>
      <c r="Z15" s="6">
        <v>5909</v>
      </c>
      <c r="AA15" s="6">
        <v>26</v>
      </c>
      <c r="AB15" s="6">
        <v>5797</v>
      </c>
      <c r="AC15" s="6">
        <v>86</v>
      </c>
      <c r="AD15" s="6">
        <v>287</v>
      </c>
      <c r="AE15" s="6">
        <v>6</v>
      </c>
      <c r="AF15" s="6">
        <v>244</v>
      </c>
      <c r="AG15" s="6">
        <v>34</v>
      </c>
      <c r="AH15" s="6">
        <v>11768</v>
      </c>
      <c r="AI15" s="6">
        <v>2557</v>
      </c>
      <c r="AJ15" s="6">
        <v>660</v>
      </c>
      <c r="AK15" s="6">
        <v>500</v>
      </c>
      <c r="AL15" s="6">
        <v>3212</v>
      </c>
      <c r="AM15" s="6">
        <v>884</v>
      </c>
      <c r="AN15" s="6">
        <v>746</v>
      </c>
      <c r="AO15" s="6">
        <v>1041</v>
      </c>
      <c r="AP15" s="6">
        <v>901</v>
      </c>
      <c r="AQ15" s="6">
        <v>1261</v>
      </c>
      <c r="AR15" s="6">
        <v>12926</v>
      </c>
      <c r="AS15" s="6">
        <v>159</v>
      </c>
      <c r="AT15" s="6">
        <v>1231</v>
      </c>
      <c r="AU15" s="6">
        <v>510</v>
      </c>
      <c r="AV15" s="6">
        <v>2186</v>
      </c>
      <c r="AW15" s="6">
        <v>2579</v>
      </c>
      <c r="AX15" s="6">
        <v>1678</v>
      </c>
      <c r="AY15" s="6">
        <v>1413</v>
      </c>
      <c r="AZ15" s="6">
        <v>794</v>
      </c>
      <c r="BA15" s="6">
        <v>2384</v>
      </c>
      <c r="BB15" s="6">
        <v>47802</v>
      </c>
      <c r="BC15" s="6">
        <v>2363</v>
      </c>
      <c r="BD15" s="6">
        <v>4063</v>
      </c>
      <c r="BE15" s="6">
        <v>436</v>
      </c>
      <c r="BF15" s="6">
        <v>5355</v>
      </c>
      <c r="BG15" s="6">
        <v>7199</v>
      </c>
      <c r="BH15" s="6">
        <v>5907</v>
      </c>
      <c r="BI15" s="6">
        <v>5897</v>
      </c>
      <c r="BJ15" s="6">
        <v>12373</v>
      </c>
      <c r="BK15" s="6">
        <v>4208</v>
      </c>
      <c r="BL15" s="6">
        <v>14516</v>
      </c>
      <c r="BM15" s="6">
        <v>325</v>
      </c>
      <c r="BN15" s="6">
        <v>893</v>
      </c>
      <c r="BO15" s="6">
        <v>382</v>
      </c>
      <c r="BP15" s="6">
        <v>2573</v>
      </c>
      <c r="BQ15" s="6">
        <v>782</v>
      </c>
      <c r="BR15" s="6">
        <v>2494</v>
      </c>
      <c r="BS15" s="6">
        <v>1447</v>
      </c>
      <c r="BT15" s="6">
        <v>5617</v>
      </c>
      <c r="BU15" s="6">
        <v>2168</v>
      </c>
      <c r="BV15" s="6">
        <v>37</v>
      </c>
      <c r="BW15" s="6">
        <v>7</v>
      </c>
      <c r="BX15" s="6">
        <v>5</v>
      </c>
      <c r="BY15" s="6">
        <v>2005</v>
      </c>
      <c r="BZ15" s="6">
        <v>112</v>
      </c>
      <c r="CA15" s="6">
        <v>101517</v>
      </c>
    </row>
    <row r="16" spans="1:79">
      <c r="A16" s="6" t="s">
        <v>172</v>
      </c>
      <c r="B16" s="6">
        <v>4082</v>
      </c>
      <c r="C16" s="6">
        <v>97</v>
      </c>
      <c r="D16" s="6">
        <v>162</v>
      </c>
      <c r="E16" s="6">
        <v>277</v>
      </c>
      <c r="F16" s="6">
        <v>803</v>
      </c>
      <c r="G16" s="6">
        <v>296</v>
      </c>
      <c r="H16" s="6">
        <v>744</v>
      </c>
      <c r="I16" s="6">
        <v>118</v>
      </c>
      <c r="J16" s="6">
        <v>602</v>
      </c>
      <c r="K16" s="6">
        <v>152</v>
      </c>
      <c r="L16" s="6">
        <v>827</v>
      </c>
      <c r="M16" s="6">
        <v>797</v>
      </c>
      <c r="N16" s="6">
        <v>611</v>
      </c>
      <c r="O16" s="6">
        <v>186</v>
      </c>
      <c r="P16" s="6">
        <v>2043</v>
      </c>
      <c r="Q16" s="6">
        <v>0</v>
      </c>
      <c r="R16" s="6">
        <v>91</v>
      </c>
      <c r="S16" s="6">
        <v>117</v>
      </c>
      <c r="T16" s="6">
        <v>666</v>
      </c>
      <c r="U16" s="6">
        <v>337</v>
      </c>
      <c r="V16" s="6">
        <v>146</v>
      </c>
      <c r="W16" s="6">
        <v>176</v>
      </c>
      <c r="X16" s="6">
        <v>233</v>
      </c>
      <c r="Y16" s="6">
        <v>272</v>
      </c>
      <c r="Z16" s="6">
        <v>9490</v>
      </c>
      <c r="AA16" s="6">
        <v>16</v>
      </c>
      <c r="AB16" s="6">
        <v>9315</v>
      </c>
      <c r="AC16" s="6">
        <v>162</v>
      </c>
      <c r="AD16" s="6">
        <v>283</v>
      </c>
      <c r="AE16" s="6">
        <v>9</v>
      </c>
      <c r="AF16" s="6">
        <v>237</v>
      </c>
      <c r="AG16" s="6">
        <v>35</v>
      </c>
      <c r="AH16" s="6">
        <v>13312</v>
      </c>
      <c r="AI16" s="6">
        <v>2904</v>
      </c>
      <c r="AJ16" s="6">
        <v>745</v>
      </c>
      <c r="AK16" s="6">
        <v>546</v>
      </c>
      <c r="AL16" s="6">
        <v>4002</v>
      </c>
      <c r="AM16" s="6">
        <v>954</v>
      </c>
      <c r="AN16" s="6">
        <v>729</v>
      </c>
      <c r="AO16" s="6">
        <v>1141</v>
      </c>
      <c r="AP16" s="6">
        <v>974</v>
      </c>
      <c r="AQ16" s="6">
        <v>1318</v>
      </c>
      <c r="AR16" s="6">
        <v>14169</v>
      </c>
      <c r="AS16" s="6">
        <v>177</v>
      </c>
      <c r="AT16" s="6">
        <v>1312</v>
      </c>
      <c r="AU16" s="6">
        <v>571</v>
      </c>
      <c r="AV16" s="6">
        <v>2467</v>
      </c>
      <c r="AW16" s="6">
        <v>2662</v>
      </c>
      <c r="AX16" s="6">
        <v>1940</v>
      </c>
      <c r="AY16" s="6">
        <v>1506</v>
      </c>
      <c r="AZ16" s="6">
        <v>846</v>
      </c>
      <c r="BA16" s="6">
        <v>2684</v>
      </c>
      <c r="BB16" s="6">
        <v>54476</v>
      </c>
      <c r="BC16" s="6">
        <v>2721</v>
      </c>
      <c r="BD16" s="6">
        <v>3972</v>
      </c>
      <c r="BE16" s="6">
        <v>435</v>
      </c>
      <c r="BF16" s="6">
        <v>5576</v>
      </c>
      <c r="BG16" s="6">
        <v>8498</v>
      </c>
      <c r="BH16" s="6">
        <v>8231</v>
      </c>
      <c r="BI16" s="6">
        <v>6765</v>
      </c>
      <c r="BJ16" s="6">
        <v>14122</v>
      </c>
      <c r="BK16" s="6">
        <v>4154</v>
      </c>
      <c r="BL16" s="6">
        <v>16457</v>
      </c>
      <c r="BM16" s="6">
        <v>375</v>
      </c>
      <c r="BN16" s="6">
        <v>1110</v>
      </c>
      <c r="BO16" s="6">
        <v>454</v>
      </c>
      <c r="BP16" s="6">
        <v>3058</v>
      </c>
      <c r="BQ16" s="6">
        <v>903</v>
      </c>
      <c r="BR16" s="6">
        <v>2656</v>
      </c>
      <c r="BS16" s="6">
        <v>1597</v>
      </c>
      <c r="BT16" s="6">
        <v>6298</v>
      </c>
      <c r="BU16" s="6">
        <v>1849</v>
      </c>
      <c r="BV16" s="6">
        <v>59</v>
      </c>
      <c r="BW16" s="6">
        <v>9</v>
      </c>
      <c r="BX16" s="6">
        <v>1</v>
      </c>
      <c r="BY16" s="6">
        <v>1646</v>
      </c>
      <c r="BZ16" s="6">
        <v>134</v>
      </c>
      <c r="CA16" s="6">
        <v>116954</v>
      </c>
    </row>
    <row r="17" spans="1:79">
      <c r="A17" s="6" t="s">
        <v>173</v>
      </c>
      <c r="B17" s="6">
        <v>4461</v>
      </c>
      <c r="C17" s="6">
        <v>68</v>
      </c>
      <c r="D17" s="6">
        <v>175</v>
      </c>
      <c r="E17" s="6">
        <v>328</v>
      </c>
      <c r="F17" s="6">
        <v>905</v>
      </c>
      <c r="G17" s="6">
        <v>299</v>
      </c>
      <c r="H17" s="6">
        <v>798</v>
      </c>
      <c r="I17" s="6">
        <v>128</v>
      </c>
      <c r="J17" s="6">
        <v>604</v>
      </c>
      <c r="K17" s="6">
        <v>236</v>
      </c>
      <c r="L17" s="6">
        <v>918</v>
      </c>
      <c r="M17" s="6">
        <v>935</v>
      </c>
      <c r="N17" s="6">
        <v>719</v>
      </c>
      <c r="O17" s="6">
        <v>217</v>
      </c>
      <c r="P17" s="6">
        <v>1744</v>
      </c>
      <c r="Q17" s="6">
        <v>2</v>
      </c>
      <c r="R17" s="6">
        <v>41</v>
      </c>
      <c r="S17" s="6">
        <v>131</v>
      </c>
      <c r="T17" s="6">
        <v>435</v>
      </c>
      <c r="U17" s="6">
        <v>247</v>
      </c>
      <c r="V17" s="6">
        <v>145</v>
      </c>
      <c r="W17" s="6">
        <v>204</v>
      </c>
      <c r="X17" s="6">
        <v>266</v>
      </c>
      <c r="Y17" s="6">
        <v>269</v>
      </c>
      <c r="Z17" s="6">
        <v>9942</v>
      </c>
      <c r="AA17" s="6">
        <v>12</v>
      </c>
      <c r="AB17" s="6">
        <v>9801</v>
      </c>
      <c r="AC17" s="6">
        <v>131</v>
      </c>
      <c r="AD17" s="6">
        <v>285</v>
      </c>
      <c r="AE17" s="6">
        <v>16</v>
      </c>
      <c r="AF17" s="6">
        <v>238</v>
      </c>
      <c r="AG17" s="6">
        <v>33</v>
      </c>
      <c r="AH17" s="6">
        <v>14584</v>
      </c>
      <c r="AI17" s="6">
        <v>2694</v>
      </c>
      <c r="AJ17" s="6">
        <v>1089</v>
      </c>
      <c r="AK17" s="6">
        <v>564</v>
      </c>
      <c r="AL17" s="6">
        <v>4618</v>
      </c>
      <c r="AM17" s="6">
        <v>1170</v>
      </c>
      <c r="AN17" s="6">
        <v>832</v>
      </c>
      <c r="AO17" s="6">
        <v>1197</v>
      </c>
      <c r="AP17" s="6">
        <v>981</v>
      </c>
      <c r="AQ17" s="6">
        <v>1439</v>
      </c>
      <c r="AR17" s="6">
        <v>14186</v>
      </c>
      <c r="AS17" s="6">
        <v>198</v>
      </c>
      <c r="AT17" s="6">
        <v>1530</v>
      </c>
      <c r="AU17" s="6">
        <v>532</v>
      </c>
      <c r="AV17" s="6">
        <v>2320</v>
      </c>
      <c r="AW17" s="6">
        <v>2515</v>
      </c>
      <c r="AX17" s="6">
        <v>1884</v>
      </c>
      <c r="AY17" s="6">
        <v>1584</v>
      </c>
      <c r="AZ17" s="6">
        <v>911</v>
      </c>
      <c r="BA17" s="6">
        <v>2714</v>
      </c>
      <c r="BB17" s="6">
        <v>52218</v>
      </c>
      <c r="BC17" s="6">
        <v>3056</v>
      </c>
      <c r="BD17" s="6">
        <v>3902</v>
      </c>
      <c r="BE17" s="6">
        <v>520</v>
      </c>
      <c r="BF17" s="6">
        <v>6114</v>
      </c>
      <c r="BG17" s="6">
        <v>7830</v>
      </c>
      <c r="BH17" s="6">
        <v>7056</v>
      </c>
      <c r="BI17" s="6">
        <v>6614</v>
      </c>
      <c r="BJ17" s="6">
        <v>14209</v>
      </c>
      <c r="BK17" s="6">
        <v>2922</v>
      </c>
      <c r="BL17" s="6">
        <v>17042</v>
      </c>
      <c r="BM17" s="6">
        <v>389</v>
      </c>
      <c r="BN17" s="6">
        <v>1129</v>
      </c>
      <c r="BO17" s="6">
        <v>477</v>
      </c>
      <c r="BP17" s="6">
        <v>3168</v>
      </c>
      <c r="BQ17" s="6">
        <v>939</v>
      </c>
      <c r="BR17" s="6">
        <v>2972</v>
      </c>
      <c r="BS17" s="6">
        <v>1613</v>
      </c>
      <c r="BT17" s="6">
        <v>6354</v>
      </c>
      <c r="BU17" s="6">
        <v>2345</v>
      </c>
      <c r="BV17" s="6">
        <v>43</v>
      </c>
      <c r="BW17" s="6">
        <v>7</v>
      </c>
      <c r="BX17" s="6">
        <v>0</v>
      </c>
      <c r="BY17" s="6">
        <v>2155</v>
      </c>
      <c r="BZ17" s="6">
        <v>138</v>
      </c>
      <c r="CA17" s="6">
        <v>117745</v>
      </c>
    </row>
    <row r="18" spans="1:79">
      <c r="A18" s="6" t="s">
        <v>174</v>
      </c>
      <c r="B18" s="6">
        <v>4773</v>
      </c>
      <c r="C18" s="6">
        <v>85</v>
      </c>
      <c r="D18" s="6">
        <v>219</v>
      </c>
      <c r="E18" s="6">
        <v>296</v>
      </c>
      <c r="F18" s="6">
        <v>918</v>
      </c>
      <c r="G18" s="6">
        <v>302</v>
      </c>
      <c r="H18" s="6">
        <v>869</v>
      </c>
      <c r="I18" s="6">
        <v>151</v>
      </c>
      <c r="J18" s="6">
        <v>666</v>
      </c>
      <c r="K18" s="6">
        <v>302</v>
      </c>
      <c r="L18" s="6">
        <v>967</v>
      </c>
      <c r="M18" s="6">
        <v>968</v>
      </c>
      <c r="N18" s="6">
        <v>681</v>
      </c>
      <c r="O18" s="6">
        <v>284</v>
      </c>
      <c r="P18" s="6">
        <v>1885</v>
      </c>
      <c r="Q18" s="6">
        <v>3</v>
      </c>
      <c r="R18" s="6">
        <v>45</v>
      </c>
      <c r="S18" s="6">
        <v>122</v>
      </c>
      <c r="T18" s="6">
        <v>561</v>
      </c>
      <c r="U18" s="6">
        <v>251</v>
      </c>
      <c r="V18" s="6">
        <v>163</v>
      </c>
      <c r="W18" s="6">
        <v>206</v>
      </c>
      <c r="X18" s="6">
        <v>251</v>
      </c>
      <c r="Y18" s="6">
        <v>283</v>
      </c>
      <c r="Z18" s="6">
        <v>9305</v>
      </c>
      <c r="AA18" s="6">
        <v>22</v>
      </c>
      <c r="AB18" s="6">
        <v>9163</v>
      </c>
      <c r="AC18" s="6">
        <v>121</v>
      </c>
      <c r="AD18" s="6">
        <v>339</v>
      </c>
      <c r="AE18" s="6">
        <v>18</v>
      </c>
      <c r="AF18" s="6">
        <v>283</v>
      </c>
      <c r="AG18" s="6">
        <v>40</v>
      </c>
      <c r="AH18" s="6">
        <v>14744</v>
      </c>
      <c r="AI18" s="6">
        <v>2452</v>
      </c>
      <c r="AJ18" s="6">
        <v>708</v>
      </c>
      <c r="AK18" s="6">
        <v>543</v>
      </c>
      <c r="AL18" s="6">
        <v>5198</v>
      </c>
      <c r="AM18" s="6">
        <v>1215</v>
      </c>
      <c r="AN18" s="6">
        <v>789</v>
      </c>
      <c r="AO18" s="6">
        <v>1299</v>
      </c>
      <c r="AP18" s="6">
        <v>1028</v>
      </c>
      <c r="AQ18" s="6">
        <v>1511</v>
      </c>
      <c r="AR18" s="6">
        <v>15602</v>
      </c>
      <c r="AS18" s="6">
        <v>215</v>
      </c>
      <c r="AT18" s="6">
        <v>1710</v>
      </c>
      <c r="AU18" s="6">
        <v>663</v>
      </c>
      <c r="AV18" s="6">
        <v>2441</v>
      </c>
      <c r="AW18" s="6">
        <v>2707</v>
      </c>
      <c r="AX18" s="6">
        <v>2087</v>
      </c>
      <c r="AY18" s="6">
        <v>1837</v>
      </c>
      <c r="AZ18" s="6">
        <v>955</v>
      </c>
      <c r="BA18" s="6">
        <v>2985</v>
      </c>
      <c r="BB18" s="6">
        <v>58457</v>
      </c>
      <c r="BC18" s="6">
        <v>3097</v>
      </c>
      <c r="BD18" s="6">
        <v>4456</v>
      </c>
      <c r="BE18" s="6">
        <v>601</v>
      </c>
      <c r="BF18" s="6">
        <v>6709</v>
      </c>
      <c r="BG18" s="6">
        <v>7961</v>
      </c>
      <c r="BH18" s="6">
        <v>6795</v>
      </c>
      <c r="BI18" s="6">
        <v>6788</v>
      </c>
      <c r="BJ18" s="6">
        <v>15832</v>
      </c>
      <c r="BK18" s="6">
        <v>6217</v>
      </c>
      <c r="BL18" s="6">
        <v>18388</v>
      </c>
      <c r="BM18" s="6">
        <v>419</v>
      </c>
      <c r="BN18" s="6">
        <v>1384</v>
      </c>
      <c r="BO18" s="6">
        <v>467</v>
      </c>
      <c r="BP18" s="6">
        <v>3342</v>
      </c>
      <c r="BQ18" s="6">
        <v>1033</v>
      </c>
      <c r="BR18" s="6">
        <v>2982</v>
      </c>
      <c r="BS18" s="6">
        <v>1556</v>
      </c>
      <c r="BT18" s="6">
        <v>7205</v>
      </c>
      <c r="BU18" s="6">
        <v>3203</v>
      </c>
      <c r="BV18" s="6">
        <v>40</v>
      </c>
      <c r="BW18" s="6">
        <v>8</v>
      </c>
      <c r="BX18" s="6">
        <v>0</v>
      </c>
      <c r="BY18" s="6">
        <v>2513</v>
      </c>
      <c r="BZ18" s="6">
        <v>643</v>
      </c>
      <c r="CA18" s="6">
        <v>127665</v>
      </c>
    </row>
    <row r="19" spans="1:79">
      <c r="A19" s="6" t="s">
        <v>175</v>
      </c>
      <c r="B19" s="6">
        <v>5171</v>
      </c>
      <c r="C19" s="6">
        <v>82</v>
      </c>
      <c r="D19" s="6">
        <v>234</v>
      </c>
      <c r="E19" s="6">
        <v>319</v>
      </c>
      <c r="F19" s="6">
        <v>949</v>
      </c>
      <c r="G19" s="6">
        <v>409</v>
      </c>
      <c r="H19" s="6">
        <v>957</v>
      </c>
      <c r="I19" s="6">
        <v>192</v>
      </c>
      <c r="J19" s="6">
        <v>670</v>
      </c>
      <c r="K19" s="6">
        <v>310</v>
      </c>
      <c r="L19" s="6">
        <v>1049</v>
      </c>
      <c r="M19" s="6">
        <v>960</v>
      </c>
      <c r="N19" s="6">
        <v>705</v>
      </c>
      <c r="O19" s="6">
        <v>254</v>
      </c>
      <c r="P19" s="6">
        <v>1939</v>
      </c>
      <c r="Q19" s="6">
        <v>2</v>
      </c>
      <c r="R19" s="6">
        <v>71</v>
      </c>
      <c r="S19" s="6">
        <v>133</v>
      </c>
      <c r="T19" s="6">
        <v>598</v>
      </c>
      <c r="U19" s="6">
        <v>233</v>
      </c>
      <c r="V19" s="6">
        <v>167</v>
      </c>
      <c r="W19" s="6">
        <v>189</v>
      </c>
      <c r="X19" s="6">
        <v>270</v>
      </c>
      <c r="Y19" s="6">
        <v>274</v>
      </c>
      <c r="Z19" s="6">
        <v>10031</v>
      </c>
      <c r="AA19" s="6">
        <v>17</v>
      </c>
      <c r="AB19" s="6">
        <v>9917</v>
      </c>
      <c r="AC19" s="6">
        <v>99</v>
      </c>
      <c r="AD19" s="6">
        <v>355</v>
      </c>
      <c r="AE19" s="6">
        <v>25</v>
      </c>
      <c r="AF19" s="6">
        <v>290</v>
      </c>
      <c r="AG19" s="6">
        <v>42</v>
      </c>
      <c r="AH19" s="6">
        <v>14936</v>
      </c>
      <c r="AI19" s="6">
        <v>2371</v>
      </c>
      <c r="AJ19" s="6">
        <v>692</v>
      </c>
      <c r="AK19" s="6">
        <v>537</v>
      </c>
      <c r="AL19" s="6">
        <v>5526</v>
      </c>
      <c r="AM19" s="6">
        <v>1268</v>
      </c>
      <c r="AN19" s="6">
        <v>767</v>
      </c>
      <c r="AO19" s="6">
        <v>1279</v>
      </c>
      <c r="AP19" s="6">
        <v>1040</v>
      </c>
      <c r="AQ19" s="6">
        <v>1458</v>
      </c>
      <c r="AR19" s="6">
        <v>15809</v>
      </c>
      <c r="AS19" s="6">
        <v>174</v>
      </c>
      <c r="AT19" s="6">
        <v>1731</v>
      </c>
      <c r="AU19" s="6">
        <v>657</v>
      </c>
      <c r="AV19" s="6">
        <v>2475</v>
      </c>
      <c r="AW19" s="6">
        <v>2551</v>
      </c>
      <c r="AX19" s="6">
        <v>2054</v>
      </c>
      <c r="AY19" s="6">
        <v>1998</v>
      </c>
      <c r="AZ19" s="6">
        <v>1044</v>
      </c>
      <c r="BA19" s="6">
        <v>3120</v>
      </c>
      <c r="BB19" s="6">
        <v>59167</v>
      </c>
      <c r="BC19" s="6">
        <v>3011</v>
      </c>
      <c r="BD19" s="6">
        <v>4559</v>
      </c>
      <c r="BE19" s="6">
        <v>813</v>
      </c>
      <c r="BF19" s="6">
        <v>6956</v>
      </c>
      <c r="BG19" s="6">
        <v>7519</v>
      </c>
      <c r="BH19" s="6">
        <v>7028</v>
      </c>
      <c r="BI19" s="6">
        <v>6897</v>
      </c>
      <c r="BJ19" s="6">
        <v>17210</v>
      </c>
      <c r="BK19" s="6">
        <v>5172</v>
      </c>
      <c r="BL19" s="6">
        <v>18348</v>
      </c>
      <c r="BM19" s="6">
        <v>451</v>
      </c>
      <c r="BN19" s="6">
        <v>1515</v>
      </c>
      <c r="BO19" s="6">
        <v>469</v>
      </c>
      <c r="BP19" s="6">
        <v>3363</v>
      </c>
      <c r="BQ19" s="6">
        <v>917</v>
      </c>
      <c r="BR19" s="6">
        <v>3065</v>
      </c>
      <c r="BS19" s="6">
        <v>1378</v>
      </c>
      <c r="BT19" s="6">
        <v>7188</v>
      </c>
      <c r="BU19" s="6">
        <v>3269</v>
      </c>
      <c r="BV19" s="6">
        <v>29</v>
      </c>
      <c r="BW19" s="6">
        <v>2</v>
      </c>
      <c r="BX19" s="6">
        <v>0</v>
      </c>
      <c r="BY19" s="6">
        <v>2913</v>
      </c>
      <c r="BZ19" s="6">
        <v>321</v>
      </c>
      <c r="CA19" s="6">
        <v>129984</v>
      </c>
    </row>
    <row r="20" spans="1:79">
      <c r="A20" s="6" t="s">
        <v>176</v>
      </c>
      <c r="B20" s="6">
        <v>5271</v>
      </c>
      <c r="C20" s="6">
        <v>66</v>
      </c>
      <c r="D20" s="6">
        <v>285</v>
      </c>
      <c r="E20" s="6">
        <v>354</v>
      </c>
      <c r="F20" s="6">
        <v>920</v>
      </c>
      <c r="G20" s="6">
        <v>381</v>
      </c>
      <c r="H20" s="6">
        <v>1061</v>
      </c>
      <c r="I20" s="6">
        <v>174</v>
      </c>
      <c r="J20" s="6">
        <v>671</v>
      </c>
      <c r="K20" s="6">
        <v>267</v>
      </c>
      <c r="L20" s="6">
        <v>1091</v>
      </c>
      <c r="M20" s="6">
        <v>951</v>
      </c>
      <c r="N20" s="6">
        <v>785</v>
      </c>
      <c r="O20" s="6">
        <v>165</v>
      </c>
      <c r="P20" s="6">
        <v>1892</v>
      </c>
      <c r="Q20" s="6">
        <v>0</v>
      </c>
      <c r="R20" s="6">
        <v>64</v>
      </c>
      <c r="S20" s="6">
        <v>135</v>
      </c>
      <c r="T20" s="6">
        <v>601</v>
      </c>
      <c r="U20" s="6">
        <v>240</v>
      </c>
      <c r="V20" s="6">
        <v>155</v>
      </c>
      <c r="W20" s="6">
        <v>178</v>
      </c>
      <c r="X20" s="6">
        <v>254</v>
      </c>
      <c r="Y20" s="6">
        <v>262</v>
      </c>
      <c r="Z20" s="6">
        <v>12864</v>
      </c>
      <c r="AA20" s="6">
        <v>18</v>
      </c>
      <c r="AB20" s="6">
        <v>12700</v>
      </c>
      <c r="AC20" s="6">
        <v>147</v>
      </c>
      <c r="AD20" s="6">
        <v>380</v>
      </c>
      <c r="AE20" s="6">
        <v>18</v>
      </c>
      <c r="AF20" s="6">
        <v>323</v>
      </c>
      <c r="AG20" s="6">
        <v>43</v>
      </c>
      <c r="AH20" s="6">
        <v>16359</v>
      </c>
      <c r="AI20" s="6">
        <v>2572</v>
      </c>
      <c r="AJ20" s="6">
        <v>725</v>
      </c>
      <c r="AK20" s="6">
        <v>531</v>
      </c>
      <c r="AL20" s="6">
        <v>6525</v>
      </c>
      <c r="AM20" s="6">
        <v>1295</v>
      </c>
      <c r="AN20" s="6">
        <v>883</v>
      </c>
      <c r="AO20" s="6">
        <v>1243</v>
      </c>
      <c r="AP20" s="6">
        <v>1068</v>
      </c>
      <c r="AQ20" s="6">
        <v>1521</v>
      </c>
      <c r="AR20" s="6">
        <v>16724</v>
      </c>
      <c r="AS20" s="6">
        <v>164</v>
      </c>
      <c r="AT20" s="6">
        <v>1767</v>
      </c>
      <c r="AU20" s="6">
        <v>666</v>
      </c>
      <c r="AV20" s="6">
        <v>2508</v>
      </c>
      <c r="AW20" s="6">
        <v>2483</v>
      </c>
      <c r="AX20" s="6">
        <v>2167</v>
      </c>
      <c r="AY20" s="6">
        <v>2493</v>
      </c>
      <c r="AZ20" s="6">
        <v>965</v>
      </c>
      <c r="BA20" s="6">
        <v>3515</v>
      </c>
      <c r="BB20" s="6">
        <v>64231</v>
      </c>
      <c r="BC20" s="6">
        <v>3121</v>
      </c>
      <c r="BD20" s="6">
        <v>5517</v>
      </c>
      <c r="BE20" s="6">
        <v>645</v>
      </c>
      <c r="BF20" s="6">
        <v>7720</v>
      </c>
      <c r="BG20" s="6">
        <v>8206</v>
      </c>
      <c r="BH20" s="6">
        <v>8514</v>
      </c>
      <c r="BI20" s="6">
        <v>7517</v>
      </c>
      <c r="BJ20" s="6">
        <v>18417</v>
      </c>
      <c r="BK20" s="6">
        <v>4576</v>
      </c>
      <c r="BL20" s="6">
        <v>19867</v>
      </c>
      <c r="BM20" s="6">
        <v>494</v>
      </c>
      <c r="BN20" s="6">
        <v>1799</v>
      </c>
      <c r="BO20" s="6">
        <v>528</v>
      </c>
      <c r="BP20" s="6">
        <v>3625</v>
      </c>
      <c r="BQ20" s="6">
        <v>961</v>
      </c>
      <c r="BR20" s="6">
        <v>3478</v>
      </c>
      <c r="BS20" s="6">
        <v>1337</v>
      </c>
      <c r="BT20" s="6">
        <v>7653</v>
      </c>
      <c r="BU20" s="6">
        <v>2707</v>
      </c>
      <c r="BV20" s="6">
        <v>29</v>
      </c>
      <c r="BW20" s="6">
        <v>7</v>
      </c>
      <c r="BX20" s="6">
        <v>17</v>
      </c>
      <c r="BY20" s="6">
        <v>2453</v>
      </c>
      <c r="BZ20" s="6">
        <v>202</v>
      </c>
      <c r="CA20" s="6">
        <v>141247</v>
      </c>
    </row>
    <row r="21" spans="1:79">
      <c r="A21" s="6" t="s">
        <v>177</v>
      </c>
      <c r="B21" s="6">
        <v>5773</v>
      </c>
      <c r="C21" s="6">
        <v>94</v>
      </c>
      <c r="D21" s="6">
        <v>364</v>
      </c>
      <c r="E21" s="6">
        <v>394</v>
      </c>
      <c r="F21" s="6">
        <v>987</v>
      </c>
      <c r="G21" s="6">
        <v>425</v>
      </c>
      <c r="H21" s="6">
        <v>1126</v>
      </c>
      <c r="I21" s="6">
        <v>182</v>
      </c>
      <c r="J21" s="6">
        <v>740</v>
      </c>
      <c r="K21" s="6">
        <v>286</v>
      </c>
      <c r="L21" s="6">
        <v>1172</v>
      </c>
      <c r="M21" s="6">
        <v>1030</v>
      </c>
      <c r="N21" s="6">
        <v>850</v>
      </c>
      <c r="O21" s="6">
        <v>182</v>
      </c>
      <c r="P21" s="6">
        <v>1952</v>
      </c>
      <c r="Q21" s="6">
        <v>0</v>
      </c>
      <c r="R21" s="6">
        <v>67</v>
      </c>
      <c r="S21" s="6">
        <v>152</v>
      </c>
      <c r="T21" s="6">
        <v>581</v>
      </c>
      <c r="U21" s="6">
        <v>236</v>
      </c>
      <c r="V21" s="6">
        <v>143</v>
      </c>
      <c r="W21" s="6">
        <v>179</v>
      </c>
      <c r="X21" s="6">
        <v>333</v>
      </c>
      <c r="Y21" s="6">
        <v>260</v>
      </c>
      <c r="Z21" s="6">
        <v>17218</v>
      </c>
      <c r="AA21" s="6">
        <v>23</v>
      </c>
      <c r="AB21" s="6">
        <v>17040</v>
      </c>
      <c r="AC21" s="6">
        <v>155</v>
      </c>
      <c r="AD21" s="6">
        <v>368</v>
      </c>
      <c r="AE21" s="6">
        <v>19</v>
      </c>
      <c r="AF21" s="6">
        <v>305</v>
      </c>
      <c r="AG21" s="6">
        <v>44</v>
      </c>
      <c r="AH21" s="6">
        <v>18091</v>
      </c>
      <c r="AI21" s="6">
        <v>2892</v>
      </c>
      <c r="AJ21" s="6">
        <v>1034</v>
      </c>
      <c r="AK21" s="6">
        <v>537</v>
      </c>
      <c r="AL21" s="6">
        <v>7149</v>
      </c>
      <c r="AM21" s="6">
        <v>1430</v>
      </c>
      <c r="AN21" s="6">
        <v>1023</v>
      </c>
      <c r="AO21" s="6">
        <v>1334</v>
      </c>
      <c r="AP21" s="6">
        <v>1111</v>
      </c>
      <c r="AQ21" s="6">
        <v>1585</v>
      </c>
      <c r="AR21" s="6">
        <v>18142</v>
      </c>
      <c r="AS21" s="6">
        <v>140</v>
      </c>
      <c r="AT21" s="6">
        <v>1926</v>
      </c>
      <c r="AU21" s="6">
        <v>589</v>
      </c>
      <c r="AV21" s="6">
        <v>2564</v>
      </c>
      <c r="AW21" s="6">
        <v>2312</v>
      </c>
      <c r="AX21" s="6">
        <v>2132</v>
      </c>
      <c r="AY21" s="6">
        <v>3453</v>
      </c>
      <c r="AZ21" s="6">
        <v>1096</v>
      </c>
      <c r="BA21" s="6">
        <v>3927</v>
      </c>
      <c r="BB21" s="6">
        <v>68797</v>
      </c>
      <c r="BC21" s="6">
        <v>3503</v>
      </c>
      <c r="BD21" s="6">
        <v>6243</v>
      </c>
      <c r="BE21" s="6">
        <v>870</v>
      </c>
      <c r="BF21" s="6">
        <v>8156</v>
      </c>
      <c r="BG21" s="6">
        <v>8790</v>
      </c>
      <c r="BH21" s="6">
        <v>8528</v>
      </c>
      <c r="BI21" s="6">
        <v>7791</v>
      </c>
      <c r="BJ21" s="6">
        <v>20400</v>
      </c>
      <c r="BK21" s="6">
        <v>4514</v>
      </c>
      <c r="BL21" s="6">
        <v>21271</v>
      </c>
      <c r="BM21" s="6">
        <v>511</v>
      </c>
      <c r="BN21" s="6">
        <v>1962</v>
      </c>
      <c r="BO21" s="6">
        <v>562</v>
      </c>
      <c r="BP21" s="6">
        <v>4085</v>
      </c>
      <c r="BQ21" s="6">
        <v>1051</v>
      </c>
      <c r="BR21" s="6">
        <v>3686</v>
      </c>
      <c r="BS21" s="6">
        <v>1322</v>
      </c>
      <c r="BT21" s="6">
        <v>8091</v>
      </c>
      <c r="BU21" s="6">
        <v>2966</v>
      </c>
      <c r="BV21" s="6">
        <v>30</v>
      </c>
      <c r="BW21" s="6">
        <v>3</v>
      </c>
      <c r="BX21" s="6">
        <v>0</v>
      </c>
      <c r="BY21" s="6">
        <v>2797</v>
      </c>
      <c r="BZ21" s="6">
        <v>136</v>
      </c>
      <c r="CA21" s="6">
        <v>155612</v>
      </c>
    </row>
    <row r="22" spans="1:79">
      <c r="A22" s="6" t="s">
        <v>178</v>
      </c>
      <c r="B22" s="6">
        <v>6390</v>
      </c>
      <c r="C22" s="6">
        <v>124</v>
      </c>
      <c r="D22" s="6">
        <v>382</v>
      </c>
      <c r="E22" s="6">
        <v>440</v>
      </c>
      <c r="F22" s="6">
        <v>1132</v>
      </c>
      <c r="G22" s="6">
        <v>498</v>
      </c>
      <c r="H22" s="6">
        <v>1239</v>
      </c>
      <c r="I22" s="6">
        <v>187</v>
      </c>
      <c r="J22" s="6">
        <v>796</v>
      </c>
      <c r="K22" s="6">
        <v>357</v>
      </c>
      <c r="L22" s="6">
        <v>1240</v>
      </c>
      <c r="M22" s="6">
        <v>1277</v>
      </c>
      <c r="N22" s="6">
        <v>1047</v>
      </c>
      <c r="O22" s="6">
        <v>232</v>
      </c>
      <c r="P22" s="6">
        <v>2215</v>
      </c>
      <c r="Q22" s="6">
        <v>0</v>
      </c>
      <c r="R22" s="6">
        <v>63</v>
      </c>
      <c r="S22" s="6">
        <v>186</v>
      </c>
      <c r="T22" s="6">
        <v>549</v>
      </c>
      <c r="U22" s="6">
        <v>245</v>
      </c>
      <c r="V22" s="6">
        <v>149</v>
      </c>
      <c r="W22" s="6">
        <v>171</v>
      </c>
      <c r="X22" s="6">
        <v>561</v>
      </c>
      <c r="Y22" s="6">
        <v>292</v>
      </c>
      <c r="Z22" s="6">
        <v>23182</v>
      </c>
      <c r="AA22" s="6">
        <v>19</v>
      </c>
      <c r="AB22" s="6">
        <v>22358</v>
      </c>
      <c r="AC22" s="6">
        <v>805</v>
      </c>
      <c r="AD22" s="6">
        <v>479</v>
      </c>
      <c r="AE22" s="6">
        <v>19</v>
      </c>
      <c r="AF22" s="6">
        <v>409</v>
      </c>
      <c r="AG22" s="6">
        <v>51</v>
      </c>
      <c r="AH22" s="6">
        <v>18978</v>
      </c>
      <c r="AI22" s="6">
        <v>3200</v>
      </c>
      <c r="AJ22" s="6">
        <v>1092</v>
      </c>
      <c r="AK22" s="6">
        <v>603</v>
      </c>
      <c r="AL22" s="6">
        <v>7280</v>
      </c>
      <c r="AM22" s="6">
        <v>1551</v>
      </c>
      <c r="AN22" s="6">
        <v>778</v>
      </c>
      <c r="AO22" s="6">
        <v>1527</v>
      </c>
      <c r="AP22" s="6">
        <v>1218</v>
      </c>
      <c r="AQ22" s="6">
        <v>1730</v>
      </c>
      <c r="AR22" s="6">
        <v>19451</v>
      </c>
      <c r="AS22" s="6">
        <v>146</v>
      </c>
      <c r="AT22" s="6">
        <v>2321</v>
      </c>
      <c r="AU22" s="6">
        <v>630</v>
      </c>
      <c r="AV22" s="6">
        <v>2627</v>
      </c>
      <c r="AW22" s="6">
        <v>2437</v>
      </c>
      <c r="AX22" s="6">
        <v>2266</v>
      </c>
      <c r="AY22" s="6">
        <v>3297</v>
      </c>
      <c r="AZ22" s="6">
        <v>1481</v>
      </c>
      <c r="BA22" s="6">
        <v>4239</v>
      </c>
      <c r="BB22" s="6">
        <v>74839</v>
      </c>
      <c r="BC22" s="6">
        <v>3661</v>
      </c>
      <c r="BD22" s="6">
        <v>6831</v>
      </c>
      <c r="BE22" s="6">
        <v>726</v>
      </c>
      <c r="BF22" s="6">
        <v>9314</v>
      </c>
      <c r="BG22" s="6">
        <v>9699</v>
      </c>
      <c r="BH22" s="6">
        <v>9771</v>
      </c>
      <c r="BI22" s="6">
        <v>8427</v>
      </c>
      <c r="BJ22" s="6">
        <v>21484</v>
      </c>
      <c r="BK22" s="6">
        <v>4925</v>
      </c>
      <c r="BL22" s="6">
        <v>23218</v>
      </c>
      <c r="BM22" s="6">
        <v>591</v>
      </c>
      <c r="BN22" s="6">
        <v>2249</v>
      </c>
      <c r="BO22" s="6">
        <v>599</v>
      </c>
      <c r="BP22" s="6">
        <v>4352</v>
      </c>
      <c r="BQ22" s="6">
        <v>1163</v>
      </c>
      <c r="BR22" s="6">
        <v>4061</v>
      </c>
      <c r="BS22" s="6">
        <v>1317</v>
      </c>
      <c r="BT22" s="6">
        <v>8884</v>
      </c>
      <c r="BU22" s="6">
        <v>5994</v>
      </c>
      <c r="BV22" s="6">
        <v>41</v>
      </c>
      <c r="BW22" s="6">
        <v>1</v>
      </c>
      <c r="BX22" s="6">
        <v>0</v>
      </c>
      <c r="BY22" s="6">
        <v>5791</v>
      </c>
      <c r="BZ22" s="6">
        <v>161</v>
      </c>
      <c r="CA22" s="6">
        <v>176022</v>
      </c>
    </row>
    <row r="23" spans="1:79">
      <c r="A23" s="6" t="s">
        <v>179</v>
      </c>
      <c r="B23" s="6">
        <v>7193</v>
      </c>
      <c r="C23" s="6">
        <v>108</v>
      </c>
      <c r="D23" s="6">
        <v>475</v>
      </c>
      <c r="E23" s="6">
        <v>483</v>
      </c>
      <c r="F23" s="6">
        <v>1153</v>
      </c>
      <c r="G23" s="6">
        <v>568</v>
      </c>
      <c r="H23" s="6">
        <v>1405</v>
      </c>
      <c r="I23" s="6">
        <v>225</v>
      </c>
      <c r="J23" s="6">
        <v>907</v>
      </c>
      <c r="K23" s="6">
        <v>508</v>
      </c>
      <c r="L23" s="6">
        <v>1361</v>
      </c>
      <c r="M23" s="6">
        <v>1427</v>
      </c>
      <c r="N23" s="6">
        <v>1210</v>
      </c>
      <c r="O23" s="6">
        <v>221</v>
      </c>
      <c r="P23" s="6">
        <v>2472</v>
      </c>
      <c r="Q23" s="6">
        <v>0</v>
      </c>
      <c r="R23" s="6">
        <v>71</v>
      </c>
      <c r="S23" s="6">
        <v>167</v>
      </c>
      <c r="T23" s="6">
        <v>642</v>
      </c>
      <c r="U23" s="6">
        <v>286</v>
      </c>
      <c r="V23" s="6">
        <v>141</v>
      </c>
      <c r="W23" s="6">
        <v>179</v>
      </c>
      <c r="X23" s="6">
        <v>690</v>
      </c>
      <c r="Y23" s="6">
        <v>296</v>
      </c>
      <c r="Z23" s="6">
        <v>24442</v>
      </c>
      <c r="AA23" s="6">
        <v>19</v>
      </c>
      <c r="AB23" s="6">
        <v>23419</v>
      </c>
      <c r="AC23" s="6">
        <v>1006</v>
      </c>
      <c r="AD23" s="6">
        <v>536</v>
      </c>
      <c r="AE23" s="6">
        <v>29</v>
      </c>
      <c r="AF23" s="6">
        <v>455</v>
      </c>
      <c r="AG23" s="6">
        <v>50</v>
      </c>
      <c r="AH23" s="6">
        <v>20432</v>
      </c>
      <c r="AI23" s="6">
        <v>3388</v>
      </c>
      <c r="AJ23" s="6">
        <v>1072</v>
      </c>
      <c r="AK23" s="6">
        <v>599</v>
      </c>
      <c r="AL23" s="6">
        <v>7993</v>
      </c>
      <c r="AM23" s="6">
        <v>1609</v>
      </c>
      <c r="AN23" s="6">
        <v>924</v>
      </c>
      <c r="AO23" s="6">
        <v>1743</v>
      </c>
      <c r="AP23" s="6">
        <v>1305</v>
      </c>
      <c r="AQ23" s="6">
        <v>1799</v>
      </c>
      <c r="AR23" s="6">
        <v>21253</v>
      </c>
      <c r="AS23" s="6">
        <v>172</v>
      </c>
      <c r="AT23" s="6">
        <v>2460</v>
      </c>
      <c r="AU23" s="6">
        <v>647</v>
      </c>
      <c r="AV23" s="6">
        <v>2750</v>
      </c>
      <c r="AW23" s="6">
        <v>2473</v>
      </c>
      <c r="AX23" s="6">
        <v>2382</v>
      </c>
      <c r="AY23" s="6">
        <v>3794</v>
      </c>
      <c r="AZ23" s="6">
        <v>1880</v>
      </c>
      <c r="BA23" s="6">
        <v>4694</v>
      </c>
      <c r="BB23" s="6">
        <v>78961</v>
      </c>
      <c r="BC23" s="6">
        <v>3950</v>
      </c>
      <c r="BD23" s="6">
        <v>7087</v>
      </c>
      <c r="BE23" s="6">
        <v>809</v>
      </c>
      <c r="BF23" s="6">
        <v>9910</v>
      </c>
      <c r="BG23" s="6">
        <v>8979</v>
      </c>
      <c r="BH23" s="6">
        <v>10917</v>
      </c>
      <c r="BI23" s="6">
        <v>8909</v>
      </c>
      <c r="BJ23" s="6">
        <v>24309</v>
      </c>
      <c r="BK23" s="6">
        <v>4092</v>
      </c>
      <c r="BL23" s="6">
        <v>24491</v>
      </c>
      <c r="BM23" s="6">
        <v>662</v>
      </c>
      <c r="BN23" s="6">
        <v>2435</v>
      </c>
      <c r="BO23" s="6">
        <v>658</v>
      </c>
      <c r="BP23" s="6">
        <v>4465</v>
      </c>
      <c r="BQ23" s="6">
        <v>1170</v>
      </c>
      <c r="BR23" s="6">
        <v>4222</v>
      </c>
      <c r="BS23" s="6">
        <v>1346</v>
      </c>
      <c r="BT23" s="6">
        <v>9527</v>
      </c>
      <c r="BU23" s="6">
        <v>6580</v>
      </c>
      <c r="BV23" s="6">
        <v>38</v>
      </c>
      <c r="BW23" s="6">
        <v>3</v>
      </c>
      <c r="BX23" s="6">
        <v>0</v>
      </c>
      <c r="BY23" s="6">
        <v>6128</v>
      </c>
      <c r="BZ23" s="6">
        <v>408</v>
      </c>
      <c r="CA23" s="6">
        <v>187786</v>
      </c>
    </row>
    <row r="24" spans="1:79">
      <c r="A24" s="6" t="s">
        <v>180</v>
      </c>
      <c r="B24" s="6">
        <v>8286</v>
      </c>
      <c r="C24" s="6">
        <v>139</v>
      </c>
      <c r="D24" s="6">
        <v>491</v>
      </c>
      <c r="E24" s="6">
        <v>679</v>
      </c>
      <c r="F24" s="6">
        <v>1215</v>
      </c>
      <c r="G24" s="6">
        <v>764</v>
      </c>
      <c r="H24" s="6">
        <v>1655</v>
      </c>
      <c r="I24" s="6">
        <v>237</v>
      </c>
      <c r="J24" s="6">
        <v>1087</v>
      </c>
      <c r="K24" s="6">
        <v>566</v>
      </c>
      <c r="L24" s="6">
        <v>1449</v>
      </c>
      <c r="M24" s="6">
        <v>1658</v>
      </c>
      <c r="N24" s="6">
        <v>1470</v>
      </c>
      <c r="O24" s="6">
        <v>187</v>
      </c>
      <c r="P24" s="6">
        <v>2876</v>
      </c>
      <c r="Q24" s="6">
        <v>0</v>
      </c>
      <c r="R24" s="6">
        <v>58</v>
      </c>
      <c r="S24" s="6">
        <v>228</v>
      </c>
      <c r="T24" s="6">
        <v>662</v>
      </c>
      <c r="U24" s="6">
        <v>324</v>
      </c>
      <c r="V24" s="6">
        <v>140</v>
      </c>
      <c r="W24" s="6">
        <v>547</v>
      </c>
      <c r="X24" s="6">
        <v>580</v>
      </c>
      <c r="Y24" s="6">
        <v>337</v>
      </c>
      <c r="Z24" s="6">
        <v>35493</v>
      </c>
      <c r="AA24" s="6">
        <v>27</v>
      </c>
      <c r="AB24" s="6">
        <v>33635</v>
      </c>
      <c r="AC24" s="6">
        <v>1831</v>
      </c>
      <c r="AD24" s="6">
        <v>603</v>
      </c>
      <c r="AE24" s="6">
        <v>39</v>
      </c>
      <c r="AF24" s="6">
        <v>498</v>
      </c>
      <c r="AG24" s="6">
        <v>68</v>
      </c>
      <c r="AH24" s="6">
        <v>23851</v>
      </c>
      <c r="AI24" s="6">
        <v>3633</v>
      </c>
      <c r="AJ24" s="6">
        <v>1827</v>
      </c>
      <c r="AK24" s="6">
        <v>700</v>
      </c>
      <c r="AL24" s="6">
        <v>8337</v>
      </c>
      <c r="AM24" s="6">
        <v>1706</v>
      </c>
      <c r="AN24" s="6">
        <v>2252</v>
      </c>
      <c r="AO24" s="6">
        <v>1827</v>
      </c>
      <c r="AP24" s="6">
        <v>1413</v>
      </c>
      <c r="AQ24" s="6">
        <v>2150</v>
      </c>
      <c r="AR24" s="6">
        <v>25103</v>
      </c>
      <c r="AS24" s="6">
        <v>189</v>
      </c>
      <c r="AT24" s="6">
        <v>2712</v>
      </c>
      <c r="AU24" s="6">
        <v>711</v>
      </c>
      <c r="AV24" s="6">
        <v>2896</v>
      </c>
      <c r="AW24" s="6">
        <v>2606</v>
      </c>
      <c r="AX24" s="6">
        <v>2752</v>
      </c>
      <c r="AY24" s="6">
        <v>5404</v>
      </c>
      <c r="AZ24" s="6">
        <v>2274</v>
      </c>
      <c r="BA24" s="6">
        <v>5564</v>
      </c>
      <c r="BB24" s="6">
        <v>88025</v>
      </c>
      <c r="BC24" s="6">
        <v>5094</v>
      </c>
      <c r="BD24" s="6">
        <v>8613</v>
      </c>
      <c r="BE24" s="6">
        <v>786</v>
      </c>
      <c r="BF24" s="6">
        <v>10930</v>
      </c>
      <c r="BG24" s="6">
        <v>8946</v>
      </c>
      <c r="BH24" s="6">
        <v>11197</v>
      </c>
      <c r="BI24" s="6">
        <v>9836</v>
      </c>
      <c r="BJ24" s="6">
        <v>26458</v>
      </c>
      <c r="BK24" s="6">
        <v>6167</v>
      </c>
      <c r="BL24" s="6">
        <v>27859</v>
      </c>
      <c r="BM24" s="6">
        <v>785</v>
      </c>
      <c r="BN24" s="6">
        <v>2803</v>
      </c>
      <c r="BO24" s="6">
        <v>762</v>
      </c>
      <c r="BP24" s="6">
        <v>5049</v>
      </c>
      <c r="BQ24" s="6">
        <v>1303</v>
      </c>
      <c r="BR24" s="6">
        <v>4843</v>
      </c>
      <c r="BS24" s="6">
        <v>1426</v>
      </c>
      <c r="BT24" s="6">
        <v>10892</v>
      </c>
      <c r="BU24" s="6">
        <v>12185</v>
      </c>
      <c r="BV24" s="6">
        <v>51</v>
      </c>
      <c r="BW24" s="6">
        <v>6</v>
      </c>
      <c r="BX24" s="6">
        <v>0</v>
      </c>
      <c r="BY24" s="6">
        <v>9733</v>
      </c>
      <c r="BZ24" s="6">
        <v>2399</v>
      </c>
      <c r="CA24" s="6">
        <v>225944</v>
      </c>
    </row>
    <row r="25" spans="1:79">
      <c r="A25" s="6" t="s">
        <v>181</v>
      </c>
      <c r="B25" s="6">
        <v>8638</v>
      </c>
      <c r="C25" s="6">
        <v>101</v>
      </c>
      <c r="D25" s="6">
        <v>574</v>
      </c>
      <c r="E25" s="6">
        <v>542</v>
      </c>
      <c r="F25" s="6">
        <v>1267</v>
      </c>
      <c r="G25" s="6">
        <v>833</v>
      </c>
      <c r="H25" s="6">
        <v>1611</v>
      </c>
      <c r="I25" s="6">
        <v>285</v>
      </c>
      <c r="J25" s="6">
        <v>1209</v>
      </c>
      <c r="K25" s="6">
        <v>595</v>
      </c>
      <c r="L25" s="6">
        <v>1623</v>
      </c>
      <c r="M25" s="6">
        <v>1748</v>
      </c>
      <c r="N25" s="6">
        <v>1470</v>
      </c>
      <c r="O25" s="6">
        <v>277</v>
      </c>
      <c r="P25" s="6">
        <v>2002</v>
      </c>
      <c r="Q25" s="6">
        <v>0</v>
      </c>
      <c r="R25" s="6">
        <v>50</v>
      </c>
      <c r="S25" s="6">
        <v>129</v>
      </c>
      <c r="T25" s="6">
        <v>568</v>
      </c>
      <c r="U25" s="6">
        <v>181</v>
      </c>
      <c r="V25" s="6">
        <v>138</v>
      </c>
      <c r="W25" s="6">
        <v>154</v>
      </c>
      <c r="X25" s="6">
        <v>443</v>
      </c>
      <c r="Y25" s="6">
        <v>338</v>
      </c>
      <c r="Z25" s="6">
        <v>25411</v>
      </c>
      <c r="AA25" s="6">
        <v>25</v>
      </c>
      <c r="AB25" s="6">
        <v>23124</v>
      </c>
      <c r="AC25" s="6">
        <v>2263</v>
      </c>
      <c r="AD25" s="6">
        <v>561</v>
      </c>
      <c r="AE25" s="6">
        <v>30</v>
      </c>
      <c r="AF25" s="6">
        <v>467</v>
      </c>
      <c r="AG25" s="6">
        <v>64</v>
      </c>
      <c r="AH25" s="6">
        <v>21929</v>
      </c>
      <c r="AI25" s="6">
        <v>3199</v>
      </c>
      <c r="AJ25" s="6">
        <v>1341</v>
      </c>
      <c r="AK25" s="6">
        <v>619</v>
      </c>
      <c r="AL25" s="6">
        <v>9371</v>
      </c>
      <c r="AM25" s="6">
        <v>1841</v>
      </c>
      <c r="AN25" s="6">
        <v>941</v>
      </c>
      <c r="AO25" s="6">
        <v>1303</v>
      </c>
      <c r="AP25" s="6">
        <v>1349</v>
      </c>
      <c r="AQ25" s="6">
        <v>1965</v>
      </c>
      <c r="AR25" s="6">
        <v>21693</v>
      </c>
      <c r="AS25" s="6">
        <v>142</v>
      </c>
      <c r="AT25" s="6">
        <v>2633</v>
      </c>
      <c r="AU25" s="6">
        <v>629</v>
      </c>
      <c r="AV25" s="6">
        <v>2628</v>
      </c>
      <c r="AW25" s="6">
        <v>2431</v>
      </c>
      <c r="AX25" s="6">
        <v>2634</v>
      </c>
      <c r="AY25" s="6">
        <v>3621</v>
      </c>
      <c r="AZ25" s="6">
        <v>1804</v>
      </c>
      <c r="BA25" s="6">
        <v>5166</v>
      </c>
      <c r="BB25" s="6">
        <v>76445</v>
      </c>
      <c r="BC25" s="6">
        <v>4818</v>
      </c>
      <c r="BD25" s="6">
        <v>6918</v>
      </c>
      <c r="BE25" s="6">
        <v>635</v>
      </c>
      <c r="BF25" s="6">
        <v>12115</v>
      </c>
      <c r="BG25" s="6">
        <v>8520</v>
      </c>
      <c r="BH25" s="6">
        <v>11691</v>
      </c>
      <c r="BI25" s="6">
        <v>9569</v>
      </c>
      <c r="BJ25" s="6">
        <v>19969</v>
      </c>
      <c r="BK25" s="6">
        <v>2205</v>
      </c>
      <c r="BL25" s="6">
        <v>27390</v>
      </c>
      <c r="BM25" s="6">
        <v>787</v>
      </c>
      <c r="BN25" s="6">
        <v>2633</v>
      </c>
      <c r="BO25" s="6">
        <v>782</v>
      </c>
      <c r="BP25" s="6">
        <v>5122</v>
      </c>
      <c r="BQ25" s="6">
        <v>1315</v>
      </c>
      <c r="BR25" s="6">
        <v>4772</v>
      </c>
      <c r="BS25" s="6">
        <v>1461</v>
      </c>
      <c r="BT25" s="6">
        <v>10521</v>
      </c>
      <c r="BU25" s="6">
        <v>14745</v>
      </c>
      <c r="BV25" s="6">
        <v>51</v>
      </c>
      <c r="BW25" s="6">
        <v>4</v>
      </c>
      <c r="BX25" s="6">
        <v>0</v>
      </c>
      <c r="BY25" s="6">
        <v>9198</v>
      </c>
      <c r="BZ25" s="6">
        <v>5487</v>
      </c>
      <c r="CA25" s="6">
        <v>200564</v>
      </c>
    </row>
    <row r="26" spans="1:79">
      <c r="A26" s="6" t="s">
        <v>182</v>
      </c>
      <c r="B26" s="6">
        <v>8646</v>
      </c>
      <c r="C26" s="6">
        <v>114</v>
      </c>
      <c r="D26" s="6">
        <v>574</v>
      </c>
      <c r="E26" s="6">
        <v>670</v>
      </c>
      <c r="F26" s="6">
        <v>1271</v>
      </c>
      <c r="G26" s="6">
        <v>770</v>
      </c>
      <c r="H26" s="6">
        <v>1557</v>
      </c>
      <c r="I26" s="6">
        <v>306</v>
      </c>
      <c r="J26" s="6">
        <v>1185</v>
      </c>
      <c r="K26" s="6">
        <v>561</v>
      </c>
      <c r="L26" s="6">
        <v>1638</v>
      </c>
      <c r="M26" s="6">
        <v>1707</v>
      </c>
      <c r="N26" s="6">
        <v>1454</v>
      </c>
      <c r="O26" s="6">
        <v>252</v>
      </c>
      <c r="P26" s="6">
        <v>2330</v>
      </c>
      <c r="Q26" s="6">
        <v>0</v>
      </c>
      <c r="R26" s="6">
        <v>52</v>
      </c>
      <c r="S26" s="6">
        <v>128</v>
      </c>
      <c r="T26" s="6">
        <v>672</v>
      </c>
      <c r="U26" s="6">
        <v>188</v>
      </c>
      <c r="V26" s="6">
        <v>108</v>
      </c>
      <c r="W26" s="6">
        <v>197</v>
      </c>
      <c r="X26" s="6">
        <v>677</v>
      </c>
      <c r="Y26" s="6">
        <v>309</v>
      </c>
      <c r="Z26" s="6">
        <v>28843</v>
      </c>
      <c r="AA26" s="6">
        <v>43</v>
      </c>
      <c r="AB26" s="6">
        <v>26722</v>
      </c>
      <c r="AC26" s="6">
        <v>2078</v>
      </c>
      <c r="AD26" s="6">
        <v>527</v>
      </c>
      <c r="AE26" s="6">
        <v>37</v>
      </c>
      <c r="AF26" s="6">
        <v>432</v>
      </c>
      <c r="AG26" s="6">
        <v>56</v>
      </c>
      <c r="AH26" s="6">
        <v>22836</v>
      </c>
      <c r="AI26" s="6">
        <v>3385</v>
      </c>
      <c r="AJ26" s="6">
        <v>1101</v>
      </c>
      <c r="AK26" s="6">
        <v>628</v>
      </c>
      <c r="AL26" s="6">
        <v>9625</v>
      </c>
      <c r="AM26" s="6">
        <v>1837</v>
      </c>
      <c r="AN26" s="6">
        <v>1325</v>
      </c>
      <c r="AO26" s="6">
        <v>1461</v>
      </c>
      <c r="AP26" s="6">
        <v>1407</v>
      </c>
      <c r="AQ26" s="6">
        <v>2067</v>
      </c>
      <c r="AR26" s="6">
        <v>22878</v>
      </c>
      <c r="AS26" s="6">
        <v>141</v>
      </c>
      <c r="AT26" s="6">
        <v>2957</v>
      </c>
      <c r="AU26" s="6">
        <v>717</v>
      </c>
      <c r="AV26" s="6">
        <v>2835</v>
      </c>
      <c r="AW26" s="6">
        <v>2431</v>
      </c>
      <c r="AX26" s="6">
        <v>2546</v>
      </c>
      <c r="AY26" s="6">
        <v>3726</v>
      </c>
      <c r="AZ26" s="6">
        <v>2482</v>
      </c>
      <c r="BA26" s="6">
        <v>5047</v>
      </c>
      <c r="BB26" s="6">
        <v>82234</v>
      </c>
      <c r="BC26" s="6">
        <v>4256</v>
      </c>
      <c r="BD26" s="6">
        <v>6931</v>
      </c>
      <c r="BE26" s="6">
        <v>631</v>
      </c>
      <c r="BF26" s="6">
        <v>10491</v>
      </c>
      <c r="BG26" s="6">
        <v>9547</v>
      </c>
      <c r="BH26" s="6">
        <v>11418</v>
      </c>
      <c r="BI26" s="6">
        <v>10716</v>
      </c>
      <c r="BJ26" s="6">
        <v>26292</v>
      </c>
      <c r="BK26" s="6">
        <v>1953</v>
      </c>
      <c r="BL26" s="6">
        <v>27280</v>
      </c>
      <c r="BM26" s="6">
        <v>867</v>
      </c>
      <c r="BN26" s="6">
        <v>2629</v>
      </c>
      <c r="BO26" s="6">
        <v>760</v>
      </c>
      <c r="BP26" s="6">
        <v>5379</v>
      </c>
      <c r="BQ26" s="6">
        <v>1343</v>
      </c>
      <c r="BR26" s="6">
        <v>4771</v>
      </c>
      <c r="BS26" s="6">
        <v>1365</v>
      </c>
      <c r="BT26" s="6">
        <v>10164</v>
      </c>
      <c r="BU26" s="6">
        <v>13197</v>
      </c>
      <c r="BV26" s="6">
        <v>38</v>
      </c>
      <c r="BW26" s="6">
        <v>13</v>
      </c>
      <c r="BX26" s="6">
        <v>2</v>
      </c>
      <c r="BY26" s="6">
        <v>7048</v>
      </c>
      <c r="BZ26" s="6">
        <v>6099</v>
      </c>
      <c r="CA26" s="6">
        <v>210478</v>
      </c>
    </row>
    <row r="27" spans="1:79">
      <c r="A27" s="6" t="s">
        <v>183</v>
      </c>
      <c r="B27" s="6">
        <v>9250</v>
      </c>
      <c r="C27" s="6">
        <v>111</v>
      </c>
      <c r="D27" s="6">
        <v>552</v>
      </c>
      <c r="E27" s="6">
        <v>670</v>
      </c>
      <c r="F27" s="6">
        <v>1305</v>
      </c>
      <c r="G27" s="6">
        <v>804</v>
      </c>
      <c r="H27" s="6">
        <v>1842</v>
      </c>
      <c r="I27" s="6">
        <v>378</v>
      </c>
      <c r="J27" s="6">
        <v>1355</v>
      </c>
      <c r="K27" s="6">
        <v>549</v>
      </c>
      <c r="L27" s="6">
        <v>1683</v>
      </c>
      <c r="M27" s="6">
        <v>1814</v>
      </c>
      <c r="N27" s="6">
        <v>1537</v>
      </c>
      <c r="O27" s="6">
        <v>278</v>
      </c>
      <c r="P27" s="6">
        <v>2767</v>
      </c>
      <c r="Q27" s="6">
        <v>0</v>
      </c>
      <c r="R27" s="6">
        <v>46</v>
      </c>
      <c r="S27" s="6">
        <v>150</v>
      </c>
      <c r="T27" s="6">
        <v>659</v>
      </c>
      <c r="U27" s="6">
        <v>183</v>
      </c>
      <c r="V27" s="6">
        <v>114</v>
      </c>
      <c r="W27" s="6">
        <v>288</v>
      </c>
      <c r="X27" s="6">
        <v>989</v>
      </c>
      <c r="Y27" s="6">
        <v>340</v>
      </c>
      <c r="Z27" s="6">
        <v>38282</v>
      </c>
      <c r="AA27" s="6">
        <v>66</v>
      </c>
      <c r="AB27" s="6">
        <v>35795</v>
      </c>
      <c r="AC27" s="6">
        <v>2418</v>
      </c>
      <c r="AD27" s="6">
        <v>544</v>
      </c>
      <c r="AE27" s="6">
        <v>40</v>
      </c>
      <c r="AF27" s="6">
        <v>438</v>
      </c>
      <c r="AG27" s="6">
        <v>65</v>
      </c>
      <c r="AH27" s="6">
        <v>24339</v>
      </c>
      <c r="AI27" s="6">
        <v>3062</v>
      </c>
      <c r="AJ27" s="6">
        <v>1425</v>
      </c>
      <c r="AK27" s="6">
        <v>637</v>
      </c>
      <c r="AL27" s="6">
        <v>10569</v>
      </c>
      <c r="AM27" s="6">
        <v>1878</v>
      </c>
      <c r="AN27" s="6">
        <v>1614</v>
      </c>
      <c r="AO27" s="6">
        <v>1556</v>
      </c>
      <c r="AP27" s="6">
        <v>1429</v>
      </c>
      <c r="AQ27" s="6">
        <v>2176</v>
      </c>
      <c r="AR27" s="6">
        <v>24853</v>
      </c>
      <c r="AS27" s="6">
        <v>149</v>
      </c>
      <c r="AT27" s="6">
        <v>3523</v>
      </c>
      <c r="AU27" s="6">
        <v>763</v>
      </c>
      <c r="AV27" s="6">
        <v>2579</v>
      </c>
      <c r="AW27" s="6">
        <v>2472</v>
      </c>
      <c r="AX27" s="6">
        <v>2410</v>
      </c>
      <c r="AY27" s="6">
        <v>3590</v>
      </c>
      <c r="AZ27" s="6">
        <v>3254</v>
      </c>
      <c r="BA27" s="6">
        <v>6122</v>
      </c>
      <c r="BB27" s="6">
        <v>83760</v>
      </c>
      <c r="BC27" s="6">
        <v>4601</v>
      </c>
      <c r="BD27" s="6">
        <v>8450</v>
      </c>
      <c r="BE27" s="6">
        <v>682</v>
      </c>
      <c r="BF27" s="6">
        <v>10415</v>
      </c>
      <c r="BG27" s="6">
        <v>9361</v>
      </c>
      <c r="BH27" s="6">
        <v>11505</v>
      </c>
      <c r="BI27" s="6">
        <v>11284</v>
      </c>
      <c r="BJ27" s="6">
        <v>24708</v>
      </c>
      <c r="BK27" s="6">
        <v>2755</v>
      </c>
      <c r="BL27" s="6">
        <v>28094</v>
      </c>
      <c r="BM27" s="6">
        <v>1125</v>
      </c>
      <c r="BN27" s="6">
        <v>2782</v>
      </c>
      <c r="BO27" s="6">
        <v>829</v>
      </c>
      <c r="BP27" s="6">
        <v>5681</v>
      </c>
      <c r="BQ27" s="6">
        <v>1324</v>
      </c>
      <c r="BR27" s="6">
        <v>4822</v>
      </c>
      <c r="BS27" s="6">
        <v>1388</v>
      </c>
      <c r="BT27" s="6">
        <v>10147</v>
      </c>
      <c r="BU27" s="6">
        <v>13193</v>
      </c>
      <c r="BV27" s="6">
        <v>45</v>
      </c>
      <c r="BW27" s="6">
        <v>19</v>
      </c>
      <c r="BX27" s="6">
        <v>4</v>
      </c>
      <c r="BY27" s="6">
        <v>6398</v>
      </c>
      <c r="BZ27" s="6">
        <v>6728</v>
      </c>
      <c r="CA27" s="6">
        <v>226898</v>
      </c>
    </row>
    <row r="28" spans="1:79">
      <c r="A28" s="6" t="s">
        <v>184</v>
      </c>
      <c r="B28" s="6">
        <v>9598</v>
      </c>
      <c r="C28" s="6">
        <v>100</v>
      </c>
      <c r="D28" s="6">
        <v>619</v>
      </c>
      <c r="E28" s="6">
        <v>634</v>
      </c>
      <c r="F28" s="6">
        <v>1416</v>
      </c>
      <c r="G28" s="6">
        <v>849</v>
      </c>
      <c r="H28" s="6">
        <v>1804</v>
      </c>
      <c r="I28" s="6">
        <v>356</v>
      </c>
      <c r="J28" s="6">
        <v>1351</v>
      </c>
      <c r="K28" s="6">
        <v>635</v>
      </c>
      <c r="L28" s="6">
        <v>1828</v>
      </c>
      <c r="M28" s="6">
        <v>1995</v>
      </c>
      <c r="N28" s="6">
        <v>1686</v>
      </c>
      <c r="O28" s="6">
        <v>309</v>
      </c>
      <c r="P28" s="6">
        <v>2518</v>
      </c>
      <c r="Q28" s="6">
        <v>1</v>
      </c>
      <c r="R28" s="6">
        <v>58</v>
      </c>
      <c r="S28" s="6">
        <v>134</v>
      </c>
      <c r="T28" s="6">
        <v>635</v>
      </c>
      <c r="U28" s="6">
        <v>145</v>
      </c>
      <c r="V28" s="6">
        <v>91</v>
      </c>
      <c r="W28" s="6">
        <v>313</v>
      </c>
      <c r="X28" s="6">
        <v>732</v>
      </c>
      <c r="Y28" s="6">
        <v>408</v>
      </c>
      <c r="Z28" s="6">
        <v>40854</v>
      </c>
      <c r="AA28" s="6">
        <v>18</v>
      </c>
      <c r="AB28" s="6">
        <v>38217</v>
      </c>
      <c r="AC28" s="6">
        <v>2620</v>
      </c>
      <c r="AD28" s="6">
        <v>545</v>
      </c>
      <c r="AE28" s="6">
        <v>61</v>
      </c>
      <c r="AF28" s="6">
        <v>411</v>
      </c>
      <c r="AG28" s="6">
        <v>74</v>
      </c>
      <c r="AH28" s="6">
        <v>24486</v>
      </c>
      <c r="AI28" s="6">
        <v>2937</v>
      </c>
      <c r="AJ28" s="6">
        <v>1695</v>
      </c>
      <c r="AK28" s="6">
        <v>617</v>
      </c>
      <c r="AL28" s="6">
        <v>10411</v>
      </c>
      <c r="AM28" s="6">
        <v>1988</v>
      </c>
      <c r="AN28" s="6">
        <v>1649</v>
      </c>
      <c r="AO28" s="6">
        <v>1517</v>
      </c>
      <c r="AP28" s="6">
        <v>1442</v>
      </c>
      <c r="AQ28" s="6">
        <v>2232</v>
      </c>
      <c r="AR28" s="6">
        <v>25978</v>
      </c>
      <c r="AS28" s="6">
        <v>142</v>
      </c>
      <c r="AT28" s="6">
        <v>3991</v>
      </c>
      <c r="AU28" s="6">
        <v>804</v>
      </c>
      <c r="AV28" s="6">
        <v>2658</v>
      </c>
      <c r="AW28" s="6">
        <v>2501</v>
      </c>
      <c r="AX28" s="6">
        <v>2427</v>
      </c>
      <c r="AY28" s="6">
        <v>4317</v>
      </c>
      <c r="AZ28" s="6">
        <v>2538</v>
      </c>
      <c r="BA28" s="6">
        <v>6598</v>
      </c>
      <c r="BB28" s="6">
        <v>95687</v>
      </c>
      <c r="BC28" s="6">
        <v>5014</v>
      </c>
      <c r="BD28" s="6">
        <v>11748</v>
      </c>
      <c r="BE28" s="6">
        <v>702</v>
      </c>
      <c r="BF28" s="6">
        <v>12213</v>
      </c>
      <c r="BG28" s="6">
        <v>9214</v>
      </c>
      <c r="BH28" s="6">
        <v>11469</v>
      </c>
      <c r="BI28" s="6">
        <v>11303</v>
      </c>
      <c r="BJ28" s="6">
        <v>30452</v>
      </c>
      <c r="BK28" s="6">
        <v>3572</v>
      </c>
      <c r="BL28" s="6">
        <v>29103</v>
      </c>
      <c r="BM28" s="6">
        <v>1341</v>
      </c>
      <c r="BN28" s="6">
        <v>2904</v>
      </c>
      <c r="BO28" s="6">
        <v>926</v>
      </c>
      <c r="BP28" s="6">
        <v>5893</v>
      </c>
      <c r="BQ28" s="6">
        <v>1480</v>
      </c>
      <c r="BR28" s="6">
        <v>5251</v>
      </c>
      <c r="BS28" s="6">
        <v>1413</v>
      </c>
      <c r="BT28" s="6">
        <v>9896</v>
      </c>
      <c r="BU28" s="6">
        <v>11087</v>
      </c>
      <c r="BV28" s="6">
        <v>45</v>
      </c>
      <c r="BW28" s="6">
        <v>44</v>
      </c>
      <c r="BX28" s="6">
        <v>4</v>
      </c>
      <c r="BY28" s="6">
        <v>5841</v>
      </c>
      <c r="BZ28" s="6">
        <v>5154</v>
      </c>
      <c r="CA28" s="6">
        <v>241855</v>
      </c>
    </row>
    <row r="29" spans="1:79">
      <c r="A29" s="6" t="s">
        <v>185</v>
      </c>
      <c r="B29" s="6">
        <v>10637</v>
      </c>
      <c r="C29" s="6">
        <v>97</v>
      </c>
      <c r="D29" s="6">
        <v>627</v>
      </c>
      <c r="E29" s="6">
        <v>744</v>
      </c>
      <c r="F29" s="6">
        <v>1604</v>
      </c>
      <c r="G29" s="6">
        <v>1020</v>
      </c>
      <c r="H29" s="6">
        <v>1940</v>
      </c>
      <c r="I29" s="6">
        <v>379</v>
      </c>
      <c r="J29" s="6">
        <v>1430</v>
      </c>
      <c r="K29" s="6">
        <v>737</v>
      </c>
      <c r="L29" s="6">
        <v>2059</v>
      </c>
      <c r="M29" s="6">
        <v>2424</v>
      </c>
      <c r="N29" s="6">
        <v>1922</v>
      </c>
      <c r="O29" s="6">
        <v>503</v>
      </c>
      <c r="P29" s="6">
        <v>2349</v>
      </c>
      <c r="Q29" s="6">
        <v>1</v>
      </c>
      <c r="R29" s="6">
        <v>68</v>
      </c>
      <c r="S29" s="6">
        <v>105</v>
      </c>
      <c r="T29" s="6">
        <v>649</v>
      </c>
      <c r="U29" s="6">
        <v>179</v>
      </c>
      <c r="V29" s="6">
        <v>97</v>
      </c>
      <c r="W29" s="6">
        <v>278</v>
      </c>
      <c r="X29" s="6">
        <v>538</v>
      </c>
      <c r="Y29" s="6">
        <v>429</v>
      </c>
      <c r="Z29" s="6">
        <v>42161</v>
      </c>
      <c r="AA29" s="6">
        <v>37</v>
      </c>
      <c r="AB29" s="6">
        <v>39314</v>
      </c>
      <c r="AC29" s="6">
        <v>2812</v>
      </c>
      <c r="AD29" s="6">
        <v>537</v>
      </c>
      <c r="AE29" s="6">
        <v>56</v>
      </c>
      <c r="AF29" s="6">
        <v>423</v>
      </c>
      <c r="AG29" s="6">
        <v>53</v>
      </c>
      <c r="AH29" s="6">
        <v>24001</v>
      </c>
      <c r="AI29" s="6">
        <v>2260</v>
      </c>
      <c r="AJ29" s="6">
        <v>1369</v>
      </c>
      <c r="AK29" s="6">
        <v>643</v>
      </c>
      <c r="AL29" s="6">
        <v>10221</v>
      </c>
      <c r="AM29" s="6">
        <v>2219</v>
      </c>
      <c r="AN29" s="6">
        <v>1526</v>
      </c>
      <c r="AO29" s="6">
        <v>1718</v>
      </c>
      <c r="AP29" s="6">
        <v>1582</v>
      </c>
      <c r="AQ29" s="6">
        <v>2462</v>
      </c>
      <c r="AR29" s="6">
        <v>26623</v>
      </c>
      <c r="AS29" s="6">
        <v>145</v>
      </c>
      <c r="AT29" s="6">
        <v>3616</v>
      </c>
      <c r="AU29" s="6">
        <v>864</v>
      </c>
      <c r="AV29" s="6">
        <v>2689</v>
      </c>
      <c r="AW29" s="6">
        <v>2716</v>
      </c>
      <c r="AX29" s="6">
        <v>2674</v>
      </c>
      <c r="AY29" s="6">
        <v>3591</v>
      </c>
      <c r="AZ29" s="6">
        <v>2628</v>
      </c>
      <c r="BA29" s="6">
        <v>7695</v>
      </c>
      <c r="BB29" s="6">
        <v>91667</v>
      </c>
      <c r="BC29" s="6">
        <v>4669</v>
      </c>
      <c r="BD29" s="6">
        <v>7641</v>
      </c>
      <c r="BE29" s="6">
        <v>555</v>
      </c>
      <c r="BF29" s="6">
        <v>14510</v>
      </c>
      <c r="BG29" s="6">
        <v>9358</v>
      </c>
      <c r="BH29" s="6">
        <v>11560</v>
      </c>
      <c r="BI29" s="6">
        <v>11343</v>
      </c>
      <c r="BJ29" s="6">
        <v>29669</v>
      </c>
      <c r="BK29" s="6">
        <v>2361</v>
      </c>
      <c r="BL29" s="6">
        <v>31223</v>
      </c>
      <c r="BM29" s="6">
        <v>1401</v>
      </c>
      <c r="BN29" s="6">
        <v>3177</v>
      </c>
      <c r="BO29" s="6">
        <v>1062</v>
      </c>
      <c r="BP29" s="6">
        <v>6509</v>
      </c>
      <c r="BQ29" s="6">
        <v>1611</v>
      </c>
      <c r="BR29" s="6">
        <v>5245</v>
      </c>
      <c r="BS29" s="6">
        <v>1522</v>
      </c>
      <c r="BT29" s="6">
        <v>10695</v>
      </c>
      <c r="BU29" s="6">
        <v>9406</v>
      </c>
      <c r="BV29" s="6">
        <v>18</v>
      </c>
      <c r="BW29" s="6">
        <v>47</v>
      </c>
      <c r="BX29" s="6">
        <v>8</v>
      </c>
      <c r="BY29" s="6">
        <v>4796</v>
      </c>
      <c r="BZ29" s="6">
        <v>4543</v>
      </c>
      <c r="CA29" s="6">
        <v>241024</v>
      </c>
    </row>
    <row r="30" spans="1:79">
      <c r="A30" s="6" t="s">
        <v>186</v>
      </c>
      <c r="B30" s="6">
        <v>12141</v>
      </c>
      <c r="C30" s="6">
        <v>108</v>
      </c>
      <c r="D30" s="6">
        <v>727</v>
      </c>
      <c r="E30" s="6">
        <v>896</v>
      </c>
      <c r="F30" s="6">
        <v>1805</v>
      </c>
      <c r="G30" s="6">
        <v>1131</v>
      </c>
      <c r="H30" s="6">
        <v>2260</v>
      </c>
      <c r="I30" s="6">
        <v>449</v>
      </c>
      <c r="J30" s="6">
        <v>1690</v>
      </c>
      <c r="K30" s="6">
        <v>805</v>
      </c>
      <c r="L30" s="6">
        <v>2265</v>
      </c>
      <c r="M30" s="6">
        <v>2732</v>
      </c>
      <c r="N30" s="6">
        <v>2027</v>
      </c>
      <c r="O30" s="6">
        <v>708</v>
      </c>
      <c r="P30" s="6">
        <v>2917</v>
      </c>
      <c r="Q30" s="6">
        <v>2</v>
      </c>
      <c r="R30" s="6">
        <v>94</v>
      </c>
      <c r="S30" s="6">
        <v>112</v>
      </c>
      <c r="T30" s="6">
        <v>800</v>
      </c>
      <c r="U30" s="6">
        <v>215</v>
      </c>
      <c r="V30" s="6">
        <v>102</v>
      </c>
      <c r="W30" s="6">
        <v>335</v>
      </c>
      <c r="X30" s="6">
        <v>758</v>
      </c>
      <c r="Y30" s="6">
        <v>497</v>
      </c>
      <c r="Z30" s="6">
        <v>39807</v>
      </c>
      <c r="AA30" s="6">
        <v>56</v>
      </c>
      <c r="AB30" s="6">
        <v>39423</v>
      </c>
      <c r="AC30" s="6">
        <v>326</v>
      </c>
      <c r="AD30" s="6">
        <v>606</v>
      </c>
      <c r="AE30" s="6">
        <v>59</v>
      </c>
      <c r="AF30" s="6">
        <v>503</v>
      </c>
      <c r="AG30" s="6">
        <v>47</v>
      </c>
      <c r="AH30" s="6">
        <v>25159</v>
      </c>
      <c r="AI30" s="6">
        <v>2372</v>
      </c>
      <c r="AJ30" s="6">
        <v>1475</v>
      </c>
      <c r="AK30" s="6">
        <v>699</v>
      </c>
      <c r="AL30" s="6">
        <v>9923</v>
      </c>
      <c r="AM30" s="6">
        <v>2434</v>
      </c>
      <c r="AN30" s="6">
        <v>1763</v>
      </c>
      <c r="AO30" s="6">
        <v>1908</v>
      </c>
      <c r="AP30" s="6">
        <v>1729</v>
      </c>
      <c r="AQ30" s="6">
        <v>2857</v>
      </c>
      <c r="AR30" s="6">
        <v>28807</v>
      </c>
      <c r="AS30" s="6">
        <v>176</v>
      </c>
      <c r="AT30" s="6">
        <v>3425</v>
      </c>
      <c r="AU30" s="6">
        <v>1050</v>
      </c>
      <c r="AV30" s="6">
        <v>2892</v>
      </c>
      <c r="AW30" s="6">
        <v>3016</v>
      </c>
      <c r="AX30" s="6">
        <v>3200</v>
      </c>
      <c r="AY30" s="6">
        <v>4439</v>
      </c>
      <c r="AZ30" s="6">
        <v>3032</v>
      </c>
      <c r="BA30" s="6">
        <v>7580</v>
      </c>
      <c r="BB30" s="6">
        <v>94960</v>
      </c>
      <c r="BC30" s="6">
        <v>4889</v>
      </c>
      <c r="BD30" s="6">
        <v>7087</v>
      </c>
      <c r="BE30" s="6">
        <v>546</v>
      </c>
      <c r="BF30" s="6">
        <v>16643</v>
      </c>
      <c r="BG30" s="6">
        <v>9877</v>
      </c>
      <c r="BH30" s="6">
        <v>12366</v>
      </c>
      <c r="BI30" s="6">
        <v>12018</v>
      </c>
      <c r="BJ30" s="6">
        <v>28533</v>
      </c>
      <c r="BK30" s="6">
        <v>3003</v>
      </c>
      <c r="BL30" s="6">
        <v>34800</v>
      </c>
      <c r="BM30" s="6">
        <v>1425</v>
      </c>
      <c r="BN30" s="6">
        <v>3625</v>
      </c>
      <c r="BO30" s="6">
        <v>1177</v>
      </c>
      <c r="BP30" s="6">
        <v>7251</v>
      </c>
      <c r="BQ30" s="6">
        <v>1781</v>
      </c>
      <c r="BR30" s="6">
        <v>5968</v>
      </c>
      <c r="BS30" s="6">
        <v>1716</v>
      </c>
      <c r="BT30" s="6">
        <v>11859</v>
      </c>
      <c r="BU30" s="6">
        <v>10846</v>
      </c>
      <c r="BV30" s="6">
        <v>8</v>
      </c>
      <c r="BW30" s="6">
        <v>44</v>
      </c>
      <c r="BX30" s="6">
        <v>1</v>
      </c>
      <c r="BY30" s="6">
        <v>4004</v>
      </c>
      <c r="BZ30" s="6">
        <v>6784</v>
      </c>
      <c r="CA30" s="6">
        <v>252778</v>
      </c>
    </row>
    <row r="31" spans="1:79">
      <c r="A31" s="6" t="s">
        <v>187</v>
      </c>
      <c r="B31" s="6">
        <v>13523</v>
      </c>
      <c r="C31" s="6">
        <v>99</v>
      </c>
      <c r="D31" s="6">
        <v>810</v>
      </c>
      <c r="E31" s="6">
        <v>955</v>
      </c>
      <c r="F31" s="6">
        <v>1772</v>
      </c>
      <c r="G31" s="6">
        <v>1271</v>
      </c>
      <c r="H31" s="6">
        <v>2535</v>
      </c>
      <c r="I31" s="6">
        <v>513</v>
      </c>
      <c r="J31" s="6">
        <v>2051</v>
      </c>
      <c r="K31" s="6">
        <v>857</v>
      </c>
      <c r="L31" s="6">
        <v>2656</v>
      </c>
      <c r="M31" s="6">
        <v>3205</v>
      </c>
      <c r="N31" s="6">
        <v>2244</v>
      </c>
      <c r="O31" s="6">
        <v>964</v>
      </c>
      <c r="P31" s="6">
        <v>3217</v>
      </c>
      <c r="Q31" s="6">
        <v>5</v>
      </c>
      <c r="R31" s="6">
        <v>105</v>
      </c>
      <c r="S31" s="6">
        <v>106</v>
      </c>
      <c r="T31" s="6">
        <v>881</v>
      </c>
      <c r="U31" s="6">
        <v>232</v>
      </c>
      <c r="V31" s="6">
        <v>106</v>
      </c>
      <c r="W31" s="6">
        <v>361</v>
      </c>
      <c r="X31" s="6">
        <v>837</v>
      </c>
      <c r="Y31" s="6">
        <v>582</v>
      </c>
      <c r="Z31" s="6">
        <v>28851</v>
      </c>
      <c r="AA31" s="6">
        <v>68</v>
      </c>
      <c r="AB31" s="6">
        <v>28513</v>
      </c>
      <c r="AC31" s="6">
        <v>269</v>
      </c>
      <c r="AD31" s="6">
        <v>655</v>
      </c>
      <c r="AE31" s="6">
        <v>81</v>
      </c>
      <c r="AF31" s="6">
        <v>528</v>
      </c>
      <c r="AG31" s="6">
        <v>46</v>
      </c>
      <c r="AH31" s="6">
        <v>27192</v>
      </c>
      <c r="AI31" s="6">
        <v>2672</v>
      </c>
      <c r="AJ31" s="6">
        <v>1662</v>
      </c>
      <c r="AK31" s="6">
        <v>895</v>
      </c>
      <c r="AL31" s="6">
        <v>10335</v>
      </c>
      <c r="AM31" s="6">
        <v>2916</v>
      </c>
      <c r="AN31" s="6">
        <v>1865</v>
      </c>
      <c r="AO31" s="6">
        <v>1964</v>
      </c>
      <c r="AP31" s="6">
        <v>1977</v>
      </c>
      <c r="AQ31" s="6">
        <v>2902</v>
      </c>
      <c r="AR31" s="6">
        <v>32521</v>
      </c>
      <c r="AS31" s="6">
        <v>214</v>
      </c>
      <c r="AT31" s="6">
        <v>3483</v>
      </c>
      <c r="AU31" s="6">
        <v>1250</v>
      </c>
      <c r="AV31" s="6">
        <v>3114</v>
      </c>
      <c r="AW31" s="6">
        <v>3602</v>
      </c>
      <c r="AX31" s="6">
        <v>3670</v>
      </c>
      <c r="AY31" s="6">
        <v>5041</v>
      </c>
      <c r="AZ31" s="6">
        <v>3025</v>
      </c>
      <c r="BA31" s="6">
        <v>9127</v>
      </c>
      <c r="BB31" s="6">
        <v>106113</v>
      </c>
      <c r="BC31" s="6">
        <v>4517</v>
      </c>
      <c r="BD31" s="6">
        <v>9391</v>
      </c>
      <c r="BE31" s="6">
        <v>563</v>
      </c>
      <c r="BF31" s="6">
        <v>17025</v>
      </c>
      <c r="BG31" s="6">
        <v>11278</v>
      </c>
      <c r="BH31" s="6">
        <v>14511</v>
      </c>
      <c r="BI31" s="6">
        <v>13478</v>
      </c>
      <c r="BJ31" s="6">
        <v>32660</v>
      </c>
      <c r="BK31" s="6">
        <v>2688</v>
      </c>
      <c r="BL31" s="6">
        <v>40375</v>
      </c>
      <c r="BM31" s="6">
        <v>1685</v>
      </c>
      <c r="BN31" s="6">
        <v>4337</v>
      </c>
      <c r="BO31" s="6">
        <v>1405</v>
      </c>
      <c r="BP31" s="6">
        <v>8808</v>
      </c>
      <c r="BQ31" s="6">
        <v>2219</v>
      </c>
      <c r="BR31" s="6">
        <v>6594</v>
      </c>
      <c r="BS31" s="6">
        <v>2081</v>
      </c>
      <c r="BT31" s="6">
        <v>13248</v>
      </c>
      <c r="BU31" s="6">
        <v>11424</v>
      </c>
      <c r="BV31" s="6">
        <v>5</v>
      </c>
      <c r="BW31" s="6">
        <v>47</v>
      </c>
      <c r="BX31" s="6">
        <v>5</v>
      </c>
      <c r="BY31" s="6">
        <v>4456</v>
      </c>
      <c r="BZ31" s="6">
        <v>6909</v>
      </c>
      <c r="CA31" s="6">
        <v>267074</v>
      </c>
    </row>
    <row r="32" spans="1:79">
      <c r="A32" s="6" t="s">
        <v>188</v>
      </c>
      <c r="B32" s="6">
        <v>13977</v>
      </c>
      <c r="C32" s="6">
        <v>121</v>
      </c>
      <c r="D32" s="6">
        <v>780</v>
      </c>
      <c r="E32" s="6">
        <v>1075</v>
      </c>
      <c r="F32" s="6">
        <v>1852</v>
      </c>
      <c r="G32" s="6">
        <v>1265</v>
      </c>
      <c r="H32" s="6">
        <v>2601</v>
      </c>
      <c r="I32" s="6">
        <v>483</v>
      </c>
      <c r="J32" s="6">
        <v>1975</v>
      </c>
      <c r="K32" s="6">
        <v>919</v>
      </c>
      <c r="L32" s="6">
        <v>2908</v>
      </c>
      <c r="M32" s="6">
        <v>3271</v>
      </c>
      <c r="N32" s="6">
        <v>2241</v>
      </c>
      <c r="O32" s="6">
        <v>1027</v>
      </c>
      <c r="P32" s="6">
        <v>3206</v>
      </c>
      <c r="Q32" s="6">
        <v>5</v>
      </c>
      <c r="R32" s="6">
        <v>88</v>
      </c>
      <c r="S32" s="6">
        <v>102</v>
      </c>
      <c r="T32" s="6">
        <v>816</v>
      </c>
      <c r="U32" s="6">
        <v>212</v>
      </c>
      <c r="V32" s="6">
        <v>99</v>
      </c>
      <c r="W32" s="6">
        <v>311</v>
      </c>
      <c r="X32" s="6">
        <v>1017</v>
      </c>
      <c r="Y32" s="6">
        <v>551</v>
      </c>
      <c r="Z32" s="6">
        <v>23604</v>
      </c>
      <c r="AA32" s="6">
        <v>51</v>
      </c>
      <c r="AB32" s="6">
        <v>23315</v>
      </c>
      <c r="AC32" s="6">
        <v>238</v>
      </c>
      <c r="AD32" s="6">
        <v>700</v>
      </c>
      <c r="AE32" s="6">
        <v>61</v>
      </c>
      <c r="AF32" s="6">
        <v>596</v>
      </c>
      <c r="AG32" s="6">
        <v>44</v>
      </c>
      <c r="AH32" s="6">
        <v>27705</v>
      </c>
      <c r="AI32" s="6">
        <v>2410</v>
      </c>
      <c r="AJ32" s="6">
        <v>1567</v>
      </c>
      <c r="AK32" s="6">
        <v>997</v>
      </c>
      <c r="AL32" s="6">
        <v>11226</v>
      </c>
      <c r="AM32" s="6">
        <v>2938</v>
      </c>
      <c r="AN32" s="6">
        <v>1682</v>
      </c>
      <c r="AO32" s="6">
        <v>1958</v>
      </c>
      <c r="AP32" s="6">
        <v>1947</v>
      </c>
      <c r="AQ32" s="6">
        <v>2978</v>
      </c>
      <c r="AR32" s="6">
        <v>28223</v>
      </c>
      <c r="AS32" s="6">
        <v>164</v>
      </c>
      <c r="AT32" s="6">
        <v>3399</v>
      </c>
      <c r="AU32" s="6">
        <v>1305</v>
      </c>
      <c r="AV32" s="6">
        <v>2999</v>
      </c>
      <c r="AW32" s="6">
        <v>3577</v>
      </c>
      <c r="AX32" s="6">
        <v>3847</v>
      </c>
      <c r="AY32" s="6">
        <v>2532</v>
      </c>
      <c r="AZ32" s="6">
        <v>2691</v>
      </c>
      <c r="BA32" s="6">
        <v>7710</v>
      </c>
      <c r="BB32" s="6">
        <v>103332</v>
      </c>
      <c r="BC32" s="6">
        <v>4429</v>
      </c>
      <c r="BD32" s="6">
        <v>7665</v>
      </c>
      <c r="BE32" s="6">
        <v>595</v>
      </c>
      <c r="BF32" s="6">
        <v>14478</v>
      </c>
      <c r="BG32" s="6">
        <v>9773</v>
      </c>
      <c r="BH32" s="6">
        <v>14598</v>
      </c>
      <c r="BI32" s="6">
        <v>13089</v>
      </c>
      <c r="BJ32" s="6">
        <v>34412</v>
      </c>
      <c r="BK32" s="6">
        <v>4295</v>
      </c>
      <c r="BL32" s="6">
        <v>40365</v>
      </c>
      <c r="BM32" s="6">
        <v>1661</v>
      </c>
      <c r="BN32" s="6">
        <v>4276</v>
      </c>
      <c r="BO32" s="6">
        <v>1462</v>
      </c>
      <c r="BP32" s="6">
        <v>8611</v>
      </c>
      <c r="BQ32" s="6">
        <v>2202</v>
      </c>
      <c r="BR32" s="6">
        <v>6756</v>
      </c>
      <c r="BS32" s="6">
        <v>1853</v>
      </c>
      <c r="BT32" s="6">
        <v>13547</v>
      </c>
      <c r="BU32" s="6">
        <v>9962</v>
      </c>
      <c r="BV32" s="6">
        <v>4</v>
      </c>
      <c r="BW32" s="6">
        <v>41</v>
      </c>
      <c r="BX32" s="6">
        <v>7</v>
      </c>
      <c r="BY32" s="6">
        <v>7468</v>
      </c>
      <c r="BZ32" s="6">
        <v>2440</v>
      </c>
      <c r="CA32" s="6">
        <v>254345</v>
      </c>
    </row>
    <row r="33" spans="1:79">
      <c r="A33" s="6" t="s">
        <v>189</v>
      </c>
      <c r="B33" s="6">
        <v>14304</v>
      </c>
      <c r="C33" s="6">
        <v>155</v>
      </c>
      <c r="D33" s="6">
        <v>833</v>
      </c>
      <c r="E33" s="6">
        <v>1321</v>
      </c>
      <c r="F33" s="6">
        <v>1950</v>
      </c>
      <c r="G33" s="6">
        <v>1309</v>
      </c>
      <c r="H33" s="6">
        <v>2684</v>
      </c>
      <c r="I33" s="6">
        <v>460</v>
      </c>
      <c r="J33" s="6">
        <v>2057</v>
      </c>
      <c r="K33" s="6">
        <v>939</v>
      </c>
      <c r="L33" s="6">
        <v>2593</v>
      </c>
      <c r="M33" s="6">
        <v>3285</v>
      </c>
      <c r="N33" s="6">
        <v>2280</v>
      </c>
      <c r="O33" s="6">
        <v>1006</v>
      </c>
      <c r="P33" s="6">
        <v>3544</v>
      </c>
      <c r="Q33" s="6">
        <v>3</v>
      </c>
      <c r="R33" s="6">
        <v>111</v>
      </c>
      <c r="S33" s="6">
        <v>165</v>
      </c>
      <c r="T33" s="6">
        <v>836</v>
      </c>
      <c r="U33" s="6">
        <v>232</v>
      </c>
      <c r="V33" s="6">
        <v>91</v>
      </c>
      <c r="W33" s="6">
        <v>286</v>
      </c>
      <c r="X33" s="6">
        <v>1221</v>
      </c>
      <c r="Y33" s="6">
        <v>597</v>
      </c>
      <c r="Z33" s="6">
        <v>29805</v>
      </c>
      <c r="AA33" s="6">
        <v>139</v>
      </c>
      <c r="AB33" s="6">
        <v>29365</v>
      </c>
      <c r="AC33" s="6">
        <v>303</v>
      </c>
      <c r="AD33" s="6">
        <v>702</v>
      </c>
      <c r="AE33" s="6">
        <v>56</v>
      </c>
      <c r="AF33" s="6">
        <v>591</v>
      </c>
      <c r="AG33" s="6">
        <v>53</v>
      </c>
      <c r="AH33" s="6">
        <v>28054</v>
      </c>
      <c r="AI33" s="6">
        <v>2363</v>
      </c>
      <c r="AJ33" s="6">
        <v>1578</v>
      </c>
      <c r="AK33" s="6">
        <v>1019</v>
      </c>
      <c r="AL33" s="6">
        <v>11138</v>
      </c>
      <c r="AM33" s="6">
        <v>3084</v>
      </c>
      <c r="AN33" s="6">
        <v>1640</v>
      </c>
      <c r="AO33" s="6">
        <v>2109</v>
      </c>
      <c r="AP33" s="6">
        <v>1994</v>
      </c>
      <c r="AQ33" s="6">
        <v>3131</v>
      </c>
      <c r="AR33" s="6">
        <v>28701</v>
      </c>
      <c r="AS33" s="6">
        <v>160</v>
      </c>
      <c r="AT33" s="6">
        <v>3580</v>
      </c>
      <c r="AU33" s="6">
        <v>1408</v>
      </c>
      <c r="AV33" s="6">
        <v>2935</v>
      </c>
      <c r="AW33" s="6">
        <v>3604</v>
      </c>
      <c r="AX33" s="6">
        <v>3794</v>
      </c>
      <c r="AY33" s="6">
        <v>3059</v>
      </c>
      <c r="AZ33" s="6">
        <v>2479</v>
      </c>
      <c r="BA33" s="6">
        <v>7685</v>
      </c>
      <c r="BB33" s="6">
        <v>117933</v>
      </c>
      <c r="BC33" s="6">
        <v>4763</v>
      </c>
      <c r="BD33" s="6">
        <v>8870</v>
      </c>
      <c r="BE33" s="6">
        <v>639</v>
      </c>
      <c r="BF33" s="6">
        <v>13380</v>
      </c>
      <c r="BG33" s="6">
        <v>10489</v>
      </c>
      <c r="BH33" s="6">
        <v>15584</v>
      </c>
      <c r="BI33" s="6">
        <v>14637</v>
      </c>
      <c r="BJ33" s="6">
        <v>37308</v>
      </c>
      <c r="BK33" s="6">
        <v>12266</v>
      </c>
      <c r="BL33" s="6">
        <v>40571</v>
      </c>
      <c r="BM33" s="6">
        <v>1629</v>
      </c>
      <c r="BN33" s="6">
        <v>4256</v>
      </c>
      <c r="BO33" s="6">
        <v>1537</v>
      </c>
      <c r="BP33" s="6">
        <v>8736</v>
      </c>
      <c r="BQ33" s="6">
        <v>2177</v>
      </c>
      <c r="BR33" s="6">
        <v>6544</v>
      </c>
      <c r="BS33" s="6">
        <v>1821</v>
      </c>
      <c r="BT33" s="6">
        <v>13867</v>
      </c>
      <c r="BU33" s="6">
        <v>21397</v>
      </c>
      <c r="BV33" s="6">
        <v>12</v>
      </c>
      <c r="BW33" s="6">
        <v>21</v>
      </c>
      <c r="BX33" s="6">
        <v>3</v>
      </c>
      <c r="BY33" s="6">
        <v>6220</v>
      </c>
      <c r="BZ33" s="6">
        <v>15140</v>
      </c>
      <c r="CA33" s="6">
        <v>288291</v>
      </c>
    </row>
    <row r="34" spans="1:79">
      <c r="A34" s="6" t="s">
        <v>190</v>
      </c>
      <c r="B34" s="6">
        <v>15132</v>
      </c>
      <c r="C34" s="6">
        <v>168</v>
      </c>
      <c r="D34" s="6">
        <v>822</v>
      </c>
      <c r="E34" s="6">
        <v>1420</v>
      </c>
      <c r="F34" s="6">
        <v>2013</v>
      </c>
      <c r="G34" s="6">
        <v>1479</v>
      </c>
      <c r="H34" s="6">
        <v>2647</v>
      </c>
      <c r="I34" s="6">
        <v>483</v>
      </c>
      <c r="J34" s="6">
        <v>2031</v>
      </c>
      <c r="K34" s="6">
        <v>1100</v>
      </c>
      <c r="L34" s="6">
        <v>2970</v>
      </c>
      <c r="M34" s="6">
        <v>3541</v>
      </c>
      <c r="N34" s="6">
        <v>2480</v>
      </c>
      <c r="O34" s="6">
        <v>1063</v>
      </c>
      <c r="P34" s="6">
        <v>3985</v>
      </c>
      <c r="Q34" s="6">
        <v>2</v>
      </c>
      <c r="R34" s="6">
        <v>115</v>
      </c>
      <c r="S34" s="6">
        <v>160</v>
      </c>
      <c r="T34" s="6">
        <v>1041</v>
      </c>
      <c r="U34" s="6">
        <v>284</v>
      </c>
      <c r="V34" s="6">
        <v>99</v>
      </c>
      <c r="W34" s="6">
        <v>316</v>
      </c>
      <c r="X34" s="6">
        <v>1306</v>
      </c>
      <c r="Y34" s="6">
        <v>662</v>
      </c>
      <c r="Z34" s="6">
        <v>40512</v>
      </c>
      <c r="AA34" s="6">
        <v>178</v>
      </c>
      <c r="AB34" s="6">
        <v>39947</v>
      </c>
      <c r="AC34" s="6">
        <v>390</v>
      </c>
      <c r="AD34" s="6">
        <v>756</v>
      </c>
      <c r="AE34" s="6">
        <v>70</v>
      </c>
      <c r="AF34" s="6">
        <v>627</v>
      </c>
      <c r="AG34" s="6">
        <v>54</v>
      </c>
      <c r="AH34" s="6">
        <v>29837</v>
      </c>
      <c r="AI34" s="6">
        <v>2507</v>
      </c>
      <c r="AJ34" s="6">
        <v>1107</v>
      </c>
      <c r="AK34" s="6">
        <v>1111</v>
      </c>
      <c r="AL34" s="6">
        <v>11782</v>
      </c>
      <c r="AM34" s="6">
        <v>3595</v>
      </c>
      <c r="AN34" s="6">
        <v>1915</v>
      </c>
      <c r="AO34" s="6">
        <v>2460</v>
      </c>
      <c r="AP34" s="6">
        <v>2196</v>
      </c>
      <c r="AQ34" s="6">
        <v>3161</v>
      </c>
      <c r="AR34" s="6">
        <v>32443</v>
      </c>
      <c r="AS34" s="6">
        <v>154</v>
      </c>
      <c r="AT34" s="6">
        <v>3966</v>
      </c>
      <c r="AU34" s="6">
        <v>1596</v>
      </c>
      <c r="AV34" s="6">
        <v>3163</v>
      </c>
      <c r="AW34" s="6">
        <v>3816</v>
      </c>
      <c r="AX34" s="6">
        <v>4038</v>
      </c>
      <c r="AY34" s="6">
        <v>3901</v>
      </c>
      <c r="AZ34" s="6">
        <v>2775</v>
      </c>
      <c r="BA34" s="6">
        <v>9039</v>
      </c>
      <c r="BB34" s="6">
        <v>121404</v>
      </c>
      <c r="BC34" s="6">
        <v>5936</v>
      </c>
      <c r="BD34" s="6">
        <v>10484</v>
      </c>
      <c r="BE34" s="6">
        <v>751</v>
      </c>
      <c r="BF34" s="6">
        <v>14952</v>
      </c>
      <c r="BG34" s="6">
        <v>11907</v>
      </c>
      <c r="BH34" s="6">
        <v>17166</v>
      </c>
      <c r="BI34" s="6">
        <v>16823</v>
      </c>
      <c r="BJ34" s="6">
        <v>39091</v>
      </c>
      <c r="BK34" s="6">
        <v>4294</v>
      </c>
      <c r="BL34" s="6">
        <v>44299</v>
      </c>
      <c r="BM34" s="6">
        <v>1789</v>
      </c>
      <c r="BN34" s="6">
        <v>4874</v>
      </c>
      <c r="BO34" s="6">
        <v>1843</v>
      </c>
      <c r="BP34" s="6">
        <v>9479</v>
      </c>
      <c r="BQ34" s="6">
        <v>2324</v>
      </c>
      <c r="BR34" s="6">
        <v>7364</v>
      </c>
      <c r="BS34" s="6">
        <v>1934</v>
      </c>
      <c r="BT34" s="6">
        <v>14691</v>
      </c>
      <c r="BU34" s="6">
        <v>12140</v>
      </c>
      <c r="BV34" s="6">
        <v>5</v>
      </c>
      <c r="BW34" s="6">
        <v>30</v>
      </c>
      <c r="BX34" s="6">
        <v>7</v>
      </c>
      <c r="BY34" s="6">
        <v>6385</v>
      </c>
      <c r="BZ34" s="6">
        <v>5711</v>
      </c>
      <c r="CA34" s="6">
        <v>304050</v>
      </c>
    </row>
    <row r="35" spans="1:79">
      <c r="A35" s="6" t="s">
        <v>191</v>
      </c>
      <c r="B35" s="6">
        <v>16938</v>
      </c>
      <c r="C35" s="6">
        <v>145</v>
      </c>
      <c r="D35" s="6">
        <v>1029</v>
      </c>
      <c r="E35" s="6">
        <v>1477</v>
      </c>
      <c r="F35" s="6">
        <v>2034</v>
      </c>
      <c r="G35" s="6">
        <v>1916</v>
      </c>
      <c r="H35" s="6">
        <v>2806</v>
      </c>
      <c r="I35" s="6">
        <v>485</v>
      </c>
      <c r="J35" s="6">
        <v>2131</v>
      </c>
      <c r="K35" s="6">
        <v>1238</v>
      </c>
      <c r="L35" s="6">
        <v>3678</v>
      </c>
      <c r="M35" s="6">
        <v>3798</v>
      </c>
      <c r="N35" s="6">
        <v>2688</v>
      </c>
      <c r="O35" s="6">
        <v>1113</v>
      </c>
      <c r="P35" s="6">
        <v>3138</v>
      </c>
      <c r="Q35" s="6">
        <v>7</v>
      </c>
      <c r="R35" s="6">
        <v>127</v>
      </c>
      <c r="S35" s="6">
        <v>147</v>
      </c>
      <c r="T35" s="6">
        <v>801</v>
      </c>
      <c r="U35" s="6">
        <v>260</v>
      </c>
      <c r="V35" s="6">
        <v>98</v>
      </c>
      <c r="W35" s="6">
        <v>286</v>
      </c>
      <c r="X35" s="6">
        <v>744</v>
      </c>
      <c r="Y35" s="6">
        <v>665</v>
      </c>
      <c r="Z35" s="6">
        <v>38794</v>
      </c>
      <c r="AA35" s="6">
        <v>203</v>
      </c>
      <c r="AB35" s="6">
        <v>38357</v>
      </c>
      <c r="AC35" s="6">
        <v>236</v>
      </c>
      <c r="AD35" s="6">
        <v>725</v>
      </c>
      <c r="AE35" s="6">
        <v>83</v>
      </c>
      <c r="AF35" s="6">
        <v>579</v>
      </c>
      <c r="AG35" s="6">
        <v>64</v>
      </c>
      <c r="AH35" s="6">
        <v>31024</v>
      </c>
      <c r="AI35" s="6">
        <v>2260</v>
      </c>
      <c r="AJ35" s="6">
        <v>1031</v>
      </c>
      <c r="AK35" s="6">
        <v>1084</v>
      </c>
      <c r="AL35" s="6">
        <v>13112</v>
      </c>
      <c r="AM35" s="6">
        <v>3865</v>
      </c>
      <c r="AN35" s="6">
        <v>2150</v>
      </c>
      <c r="AO35" s="6">
        <v>2211</v>
      </c>
      <c r="AP35" s="6">
        <v>2226</v>
      </c>
      <c r="AQ35" s="6">
        <v>3090</v>
      </c>
      <c r="AR35" s="6">
        <v>32286</v>
      </c>
      <c r="AS35" s="6">
        <v>143</v>
      </c>
      <c r="AT35" s="6">
        <v>4242</v>
      </c>
      <c r="AU35" s="6">
        <v>1517</v>
      </c>
      <c r="AV35" s="6">
        <v>3336</v>
      </c>
      <c r="AW35" s="6">
        <v>3834</v>
      </c>
      <c r="AX35" s="6">
        <v>4110</v>
      </c>
      <c r="AY35" s="6">
        <v>3271</v>
      </c>
      <c r="AZ35" s="6">
        <v>2874</v>
      </c>
      <c r="BA35" s="6">
        <v>8957</v>
      </c>
      <c r="BB35" s="6">
        <v>123286</v>
      </c>
      <c r="BC35" s="6">
        <v>6310</v>
      </c>
      <c r="BD35" s="6">
        <v>10688</v>
      </c>
      <c r="BE35" s="6">
        <v>864</v>
      </c>
      <c r="BF35" s="6">
        <v>15646</v>
      </c>
      <c r="BG35" s="6">
        <v>11737</v>
      </c>
      <c r="BH35" s="6">
        <v>17648</v>
      </c>
      <c r="BI35" s="6">
        <v>17451</v>
      </c>
      <c r="BJ35" s="6">
        <v>37286</v>
      </c>
      <c r="BK35" s="6">
        <v>5660</v>
      </c>
      <c r="BL35" s="6">
        <v>46308</v>
      </c>
      <c r="BM35" s="6">
        <v>1742</v>
      </c>
      <c r="BN35" s="6">
        <v>4983</v>
      </c>
      <c r="BO35" s="6">
        <v>1886</v>
      </c>
      <c r="BP35" s="6">
        <v>10205</v>
      </c>
      <c r="BQ35" s="6">
        <v>2564</v>
      </c>
      <c r="BR35" s="6">
        <v>7726</v>
      </c>
      <c r="BS35" s="6">
        <v>2078</v>
      </c>
      <c r="BT35" s="6">
        <v>15133</v>
      </c>
      <c r="BU35" s="6">
        <v>11251</v>
      </c>
      <c r="BV35" s="6">
        <v>5</v>
      </c>
      <c r="BW35" s="6">
        <v>33</v>
      </c>
      <c r="BX35" s="6">
        <v>2</v>
      </c>
      <c r="BY35" s="6">
        <v>6772</v>
      </c>
      <c r="BZ35" s="6">
        <v>4434</v>
      </c>
      <c r="CA35" s="6">
        <v>307549</v>
      </c>
    </row>
    <row r="36" spans="1:79">
      <c r="A36" s="6" t="s">
        <v>192</v>
      </c>
      <c r="B36" s="6">
        <v>17607</v>
      </c>
      <c r="C36" s="6">
        <v>157</v>
      </c>
      <c r="D36" s="6">
        <v>905</v>
      </c>
      <c r="E36" s="6">
        <v>1589</v>
      </c>
      <c r="F36" s="6">
        <v>1882</v>
      </c>
      <c r="G36" s="6">
        <v>2088</v>
      </c>
      <c r="H36" s="6">
        <v>3107</v>
      </c>
      <c r="I36" s="6">
        <v>489</v>
      </c>
      <c r="J36" s="6">
        <v>2208</v>
      </c>
      <c r="K36" s="6">
        <v>1355</v>
      </c>
      <c r="L36" s="6">
        <v>3824</v>
      </c>
      <c r="M36" s="6">
        <v>3475</v>
      </c>
      <c r="N36" s="6">
        <v>2585</v>
      </c>
      <c r="O36" s="6">
        <v>891</v>
      </c>
      <c r="P36" s="6">
        <v>3257</v>
      </c>
      <c r="Q36" s="6">
        <v>7</v>
      </c>
      <c r="R36" s="6">
        <v>141</v>
      </c>
      <c r="S36" s="6">
        <v>122</v>
      </c>
      <c r="T36" s="6">
        <v>801</v>
      </c>
      <c r="U36" s="6">
        <v>240</v>
      </c>
      <c r="V36" s="6">
        <v>97</v>
      </c>
      <c r="W36" s="6">
        <v>298</v>
      </c>
      <c r="X36" s="6">
        <v>870</v>
      </c>
      <c r="Y36" s="6">
        <v>686</v>
      </c>
      <c r="Z36" s="6">
        <v>23108</v>
      </c>
      <c r="AA36" s="6">
        <v>148</v>
      </c>
      <c r="AB36" s="6">
        <v>22720</v>
      </c>
      <c r="AC36" s="6">
        <v>242</v>
      </c>
      <c r="AD36" s="6">
        <v>766</v>
      </c>
      <c r="AE36" s="6">
        <v>85</v>
      </c>
      <c r="AF36" s="6">
        <v>627</v>
      </c>
      <c r="AG36" s="6">
        <v>55</v>
      </c>
      <c r="AH36" s="6">
        <v>33291</v>
      </c>
      <c r="AI36" s="6">
        <v>2668</v>
      </c>
      <c r="AJ36" s="6">
        <v>1043</v>
      </c>
      <c r="AK36" s="6">
        <v>1084</v>
      </c>
      <c r="AL36" s="6">
        <v>13802</v>
      </c>
      <c r="AM36" s="6">
        <v>3970</v>
      </c>
      <c r="AN36" s="6">
        <v>2122</v>
      </c>
      <c r="AO36" s="6">
        <v>2138</v>
      </c>
      <c r="AP36" s="6">
        <v>2294</v>
      </c>
      <c r="AQ36" s="6">
        <v>4167</v>
      </c>
      <c r="AR36" s="6">
        <v>34399</v>
      </c>
      <c r="AS36" s="6">
        <v>135</v>
      </c>
      <c r="AT36" s="6">
        <v>4089</v>
      </c>
      <c r="AU36" s="6">
        <v>1419</v>
      </c>
      <c r="AV36" s="6">
        <v>3274</v>
      </c>
      <c r="AW36" s="6">
        <v>5896</v>
      </c>
      <c r="AX36" s="6">
        <v>3869</v>
      </c>
      <c r="AY36" s="6">
        <v>3134</v>
      </c>
      <c r="AZ36" s="6">
        <v>3596</v>
      </c>
      <c r="BA36" s="6">
        <v>8988</v>
      </c>
      <c r="BB36" s="6">
        <v>119746</v>
      </c>
      <c r="BC36" s="6">
        <v>5691</v>
      </c>
      <c r="BD36" s="6">
        <v>10600</v>
      </c>
      <c r="BE36" s="6">
        <v>751</v>
      </c>
      <c r="BF36" s="6">
        <v>15673</v>
      </c>
      <c r="BG36" s="6">
        <v>12455</v>
      </c>
      <c r="BH36" s="6">
        <v>17588</v>
      </c>
      <c r="BI36" s="6">
        <v>17885</v>
      </c>
      <c r="BJ36" s="6">
        <v>33502</v>
      </c>
      <c r="BK36" s="6">
        <v>5595</v>
      </c>
      <c r="BL36" s="6">
        <v>46038</v>
      </c>
      <c r="BM36" s="6">
        <v>1726</v>
      </c>
      <c r="BN36" s="6">
        <v>5224</v>
      </c>
      <c r="BO36" s="6">
        <v>1512</v>
      </c>
      <c r="BP36" s="6">
        <v>10186</v>
      </c>
      <c r="BQ36" s="6">
        <v>2107</v>
      </c>
      <c r="BR36" s="6">
        <v>7758</v>
      </c>
      <c r="BS36" s="6">
        <v>1879</v>
      </c>
      <c r="BT36" s="6">
        <v>15649</v>
      </c>
      <c r="BU36" s="6">
        <v>11914</v>
      </c>
      <c r="BV36" s="6">
        <v>2</v>
      </c>
      <c r="BW36" s="6">
        <v>60</v>
      </c>
      <c r="BX36" s="6">
        <v>12</v>
      </c>
      <c r="BY36" s="6">
        <v>9208</v>
      </c>
      <c r="BZ36" s="6">
        <v>2632</v>
      </c>
      <c r="CA36" s="6">
        <v>293603</v>
      </c>
    </row>
    <row r="37" spans="1:79">
      <c r="A37" s="6" t="s">
        <v>193</v>
      </c>
      <c r="B37" s="6">
        <v>16410</v>
      </c>
      <c r="C37" s="6">
        <v>156</v>
      </c>
      <c r="D37" s="6">
        <v>966</v>
      </c>
      <c r="E37" s="6">
        <v>1438</v>
      </c>
      <c r="F37" s="6">
        <v>1874</v>
      </c>
      <c r="G37" s="6">
        <v>1727</v>
      </c>
      <c r="H37" s="6">
        <v>2837</v>
      </c>
      <c r="I37" s="6">
        <v>491</v>
      </c>
      <c r="J37" s="6">
        <v>2164</v>
      </c>
      <c r="K37" s="6">
        <v>1220</v>
      </c>
      <c r="L37" s="6">
        <v>3535</v>
      </c>
      <c r="M37" s="6">
        <v>3449</v>
      </c>
      <c r="N37" s="6">
        <v>2744</v>
      </c>
      <c r="O37" s="6">
        <v>704</v>
      </c>
      <c r="P37" s="6">
        <v>4247</v>
      </c>
      <c r="Q37" s="6">
        <v>2</v>
      </c>
      <c r="R37" s="6">
        <v>102</v>
      </c>
      <c r="S37" s="6">
        <v>134</v>
      </c>
      <c r="T37" s="6">
        <v>1051</v>
      </c>
      <c r="U37" s="6">
        <v>281</v>
      </c>
      <c r="V37" s="6">
        <v>115</v>
      </c>
      <c r="W37" s="6">
        <v>426</v>
      </c>
      <c r="X37" s="6">
        <v>1425</v>
      </c>
      <c r="Y37" s="6">
        <v>712</v>
      </c>
      <c r="Z37" s="6">
        <v>34552</v>
      </c>
      <c r="AA37" s="6">
        <v>200</v>
      </c>
      <c r="AB37" s="6">
        <v>34044</v>
      </c>
      <c r="AC37" s="6">
        <v>310</v>
      </c>
      <c r="AD37" s="6">
        <v>831</v>
      </c>
      <c r="AE37" s="6">
        <v>90</v>
      </c>
      <c r="AF37" s="6">
        <v>680</v>
      </c>
      <c r="AG37" s="6">
        <v>61</v>
      </c>
      <c r="AH37" s="6">
        <v>37021</v>
      </c>
      <c r="AI37" s="6">
        <v>3051</v>
      </c>
      <c r="AJ37" s="6">
        <v>1286</v>
      </c>
      <c r="AK37" s="6">
        <v>1152</v>
      </c>
      <c r="AL37" s="6">
        <v>14770</v>
      </c>
      <c r="AM37" s="6">
        <v>3861</v>
      </c>
      <c r="AN37" s="6">
        <v>3289</v>
      </c>
      <c r="AO37" s="6">
        <v>2677</v>
      </c>
      <c r="AP37" s="6">
        <v>2448</v>
      </c>
      <c r="AQ37" s="6">
        <v>4490</v>
      </c>
      <c r="AR37" s="6">
        <v>36977</v>
      </c>
      <c r="AS37" s="6">
        <v>174</v>
      </c>
      <c r="AT37" s="6">
        <v>4349</v>
      </c>
      <c r="AU37" s="6">
        <v>1678</v>
      </c>
      <c r="AV37" s="6">
        <v>3217</v>
      </c>
      <c r="AW37" s="6">
        <v>4692</v>
      </c>
      <c r="AX37" s="6">
        <v>4281</v>
      </c>
      <c r="AY37" s="6">
        <v>4050</v>
      </c>
      <c r="AZ37" s="6">
        <v>4056</v>
      </c>
      <c r="BA37" s="6">
        <v>10479</v>
      </c>
      <c r="BB37" s="6">
        <v>135405</v>
      </c>
      <c r="BC37" s="6">
        <v>5352</v>
      </c>
      <c r="BD37" s="6">
        <v>12971</v>
      </c>
      <c r="BE37" s="6">
        <v>971</v>
      </c>
      <c r="BF37" s="6">
        <v>16935</v>
      </c>
      <c r="BG37" s="6">
        <v>13204</v>
      </c>
      <c r="BH37" s="6">
        <v>17682</v>
      </c>
      <c r="BI37" s="6">
        <v>19654</v>
      </c>
      <c r="BJ37" s="6">
        <v>42876</v>
      </c>
      <c r="BK37" s="6">
        <v>5759</v>
      </c>
      <c r="BL37" s="6">
        <v>50131</v>
      </c>
      <c r="BM37" s="6">
        <v>1958</v>
      </c>
      <c r="BN37" s="6">
        <v>5647</v>
      </c>
      <c r="BO37" s="6">
        <v>1632</v>
      </c>
      <c r="BP37" s="6">
        <v>10984</v>
      </c>
      <c r="BQ37" s="6">
        <v>2411</v>
      </c>
      <c r="BR37" s="6">
        <v>8175</v>
      </c>
      <c r="BS37" s="6">
        <v>2067</v>
      </c>
      <c r="BT37" s="6">
        <v>17260</v>
      </c>
      <c r="BU37" s="6">
        <v>11211</v>
      </c>
      <c r="BV37" s="6">
        <v>4</v>
      </c>
      <c r="BW37" s="6">
        <v>56</v>
      </c>
      <c r="BX37" s="6">
        <v>11</v>
      </c>
      <c r="BY37" s="6">
        <v>6525</v>
      </c>
      <c r="BZ37" s="6">
        <v>4615</v>
      </c>
      <c r="CA37" s="6">
        <v>330234</v>
      </c>
    </row>
    <row r="38" spans="1:79">
      <c r="A38" s="6" t="s">
        <v>194</v>
      </c>
      <c r="B38" s="6">
        <v>19518</v>
      </c>
      <c r="C38" s="6">
        <v>167</v>
      </c>
      <c r="D38" s="6">
        <v>1070</v>
      </c>
      <c r="E38" s="6">
        <v>1809</v>
      </c>
      <c r="F38" s="6">
        <v>2449</v>
      </c>
      <c r="G38" s="6">
        <v>2011</v>
      </c>
      <c r="H38" s="6">
        <v>3163</v>
      </c>
      <c r="I38" s="6">
        <v>565</v>
      </c>
      <c r="J38" s="6">
        <v>2566</v>
      </c>
      <c r="K38" s="6">
        <v>1660</v>
      </c>
      <c r="L38" s="6">
        <v>4063</v>
      </c>
      <c r="M38" s="6">
        <v>3850</v>
      </c>
      <c r="N38" s="6">
        <v>3170</v>
      </c>
      <c r="O38" s="6">
        <v>682</v>
      </c>
      <c r="P38" s="6">
        <v>4653</v>
      </c>
      <c r="Q38" s="6">
        <v>4</v>
      </c>
      <c r="R38" s="6">
        <v>135</v>
      </c>
      <c r="S38" s="6">
        <v>148</v>
      </c>
      <c r="T38" s="6">
        <v>1444</v>
      </c>
      <c r="U38" s="6">
        <v>365</v>
      </c>
      <c r="V38" s="6">
        <v>125</v>
      </c>
      <c r="W38" s="6">
        <v>604</v>
      </c>
      <c r="X38" s="6">
        <v>945</v>
      </c>
      <c r="Y38" s="6">
        <v>881</v>
      </c>
      <c r="Z38" s="6">
        <v>65806</v>
      </c>
      <c r="AA38" s="6">
        <v>375</v>
      </c>
      <c r="AB38" s="6">
        <v>65082</v>
      </c>
      <c r="AC38" s="6">
        <v>352</v>
      </c>
      <c r="AD38" s="6">
        <v>1094</v>
      </c>
      <c r="AE38" s="6">
        <v>128</v>
      </c>
      <c r="AF38" s="6">
        <v>888</v>
      </c>
      <c r="AG38" s="6">
        <v>76</v>
      </c>
      <c r="AH38" s="6">
        <v>51393</v>
      </c>
      <c r="AI38" s="6">
        <v>3755</v>
      </c>
      <c r="AJ38" s="6">
        <v>3401</v>
      </c>
      <c r="AK38" s="6">
        <v>1267</v>
      </c>
      <c r="AL38" s="6">
        <v>19106</v>
      </c>
      <c r="AM38" s="6">
        <v>4657</v>
      </c>
      <c r="AN38" s="6">
        <v>5706</v>
      </c>
      <c r="AO38" s="6">
        <v>3148</v>
      </c>
      <c r="AP38" s="6">
        <v>2866</v>
      </c>
      <c r="AQ38" s="6">
        <v>7484</v>
      </c>
      <c r="AR38" s="6">
        <v>44021</v>
      </c>
      <c r="AS38" s="6">
        <v>202</v>
      </c>
      <c r="AT38" s="6">
        <v>5123</v>
      </c>
      <c r="AU38" s="6">
        <v>2045</v>
      </c>
      <c r="AV38" s="6">
        <v>3802</v>
      </c>
      <c r="AW38" s="6">
        <v>5323</v>
      </c>
      <c r="AX38" s="6">
        <v>4835</v>
      </c>
      <c r="AY38" s="6">
        <v>5214</v>
      </c>
      <c r="AZ38" s="6">
        <v>5023</v>
      </c>
      <c r="BA38" s="6">
        <v>12450</v>
      </c>
      <c r="BB38" s="6">
        <v>156900</v>
      </c>
      <c r="BC38" s="6">
        <v>6250</v>
      </c>
      <c r="BD38" s="6">
        <v>15810</v>
      </c>
      <c r="BE38" s="6">
        <v>1095</v>
      </c>
      <c r="BF38" s="6">
        <v>19875</v>
      </c>
      <c r="BG38" s="6">
        <v>14727</v>
      </c>
      <c r="BH38" s="6">
        <v>20341</v>
      </c>
      <c r="BI38" s="6">
        <v>23299</v>
      </c>
      <c r="BJ38" s="6">
        <v>50050</v>
      </c>
      <c r="BK38" s="6">
        <v>5454</v>
      </c>
      <c r="BL38" s="6">
        <v>57476</v>
      </c>
      <c r="BM38" s="6">
        <v>2136</v>
      </c>
      <c r="BN38" s="6">
        <v>6266</v>
      </c>
      <c r="BO38" s="6">
        <v>2203</v>
      </c>
      <c r="BP38" s="6">
        <v>12829</v>
      </c>
      <c r="BQ38" s="6">
        <v>3104</v>
      </c>
      <c r="BR38" s="6">
        <v>9104</v>
      </c>
      <c r="BS38" s="6">
        <v>2481</v>
      </c>
      <c r="BT38" s="6">
        <v>19352</v>
      </c>
      <c r="BU38" s="6">
        <v>12292</v>
      </c>
      <c r="BV38" s="6">
        <v>3</v>
      </c>
      <c r="BW38" s="6">
        <v>80</v>
      </c>
      <c r="BX38" s="6">
        <v>17</v>
      </c>
      <c r="BY38" s="6">
        <v>6959</v>
      </c>
      <c r="BZ38" s="6">
        <v>5229</v>
      </c>
      <c r="CA38" s="6">
        <v>417002</v>
      </c>
    </row>
    <row r="39" spans="1:79">
      <c r="A39" s="6" t="s">
        <v>195</v>
      </c>
      <c r="B39" s="6">
        <v>19684</v>
      </c>
      <c r="C39" s="6">
        <v>212</v>
      </c>
      <c r="D39" s="6">
        <v>1035</v>
      </c>
      <c r="E39" s="6">
        <v>2034</v>
      </c>
      <c r="F39" s="6">
        <v>2230</v>
      </c>
      <c r="G39" s="6">
        <v>2136</v>
      </c>
      <c r="H39" s="6">
        <v>3366</v>
      </c>
      <c r="I39" s="6">
        <v>611</v>
      </c>
      <c r="J39" s="6">
        <v>2582</v>
      </c>
      <c r="K39" s="6">
        <v>1438</v>
      </c>
      <c r="L39" s="6">
        <v>4035</v>
      </c>
      <c r="M39" s="6">
        <v>3518</v>
      </c>
      <c r="N39" s="6">
        <v>2928</v>
      </c>
      <c r="O39" s="6">
        <v>588</v>
      </c>
      <c r="P39" s="6">
        <v>3931</v>
      </c>
      <c r="Q39" s="6">
        <v>2</v>
      </c>
      <c r="R39" s="6">
        <v>120</v>
      </c>
      <c r="S39" s="6">
        <v>130</v>
      </c>
      <c r="T39" s="6">
        <v>841</v>
      </c>
      <c r="U39" s="6">
        <v>280</v>
      </c>
      <c r="V39" s="6">
        <v>119</v>
      </c>
      <c r="W39" s="6">
        <v>478</v>
      </c>
      <c r="X39" s="6">
        <v>1019</v>
      </c>
      <c r="Y39" s="6">
        <v>942</v>
      </c>
      <c r="Z39" s="6">
        <v>60651</v>
      </c>
      <c r="AA39" s="6">
        <v>306</v>
      </c>
      <c r="AB39" s="6">
        <v>60057</v>
      </c>
      <c r="AC39" s="6">
        <v>293</v>
      </c>
      <c r="AD39" s="6">
        <v>988</v>
      </c>
      <c r="AE39" s="6">
        <v>161</v>
      </c>
      <c r="AF39" s="6">
        <v>750</v>
      </c>
      <c r="AG39" s="6">
        <v>78</v>
      </c>
      <c r="AH39" s="6">
        <v>42831</v>
      </c>
      <c r="AI39" s="6">
        <v>2720</v>
      </c>
      <c r="AJ39" s="6">
        <v>2830</v>
      </c>
      <c r="AK39" s="6">
        <v>1148</v>
      </c>
      <c r="AL39" s="6">
        <v>17000</v>
      </c>
      <c r="AM39" s="6">
        <v>5168</v>
      </c>
      <c r="AN39" s="6">
        <v>3561</v>
      </c>
      <c r="AO39" s="6">
        <v>2728</v>
      </c>
      <c r="AP39" s="6">
        <v>2703</v>
      </c>
      <c r="AQ39" s="6">
        <v>4973</v>
      </c>
      <c r="AR39" s="6">
        <v>40640</v>
      </c>
      <c r="AS39" s="6">
        <v>176</v>
      </c>
      <c r="AT39" s="6">
        <v>5189</v>
      </c>
      <c r="AU39" s="6">
        <v>1733</v>
      </c>
      <c r="AV39" s="6">
        <v>3827</v>
      </c>
      <c r="AW39" s="6">
        <v>4277</v>
      </c>
      <c r="AX39" s="6">
        <v>4605</v>
      </c>
      <c r="AY39" s="6">
        <v>4746</v>
      </c>
      <c r="AZ39" s="6">
        <v>4174</v>
      </c>
      <c r="BA39" s="6">
        <v>11917</v>
      </c>
      <c r="BB39" s="6">
        <v>173355</v>
      </c>
      <c r="BC39" s="6">
        <v>7368</v>
      </c>
      <c r="BD39" s="6">
        <v>18321</v>
      </c>
      <c r="BE39" s="6">
        <v>1171</v>
      </c>
      <c r="BF39" s="6">
        <v>20852</v>
      </c>
      <c r="BG39" s="6">
        <v>12531</v>
      </c>
      <c r="BH39" s="6">
        <v>20204</v>
      </c>
      <c r="BI39" s="6">
        <v>23989</v>
      </c>
      <c r="BJ39" s="6">
        <v>62922</v>
      </c>
      <c r="BK39" s="6">
        <v>5995</v>
      </c>
      <c r="BL39" s="6">
        <v>55698</v>
      </c>
      <c r="BM39" s="6">
        <v>1960</v>
      </c>
      <c r="BN39" s="6">
        <v>5336</v>
      </c>
      <c r="BO39" s="6">
        <v>2249</v>
      </c>
      <c r="BP39" s="6">
        <v>12165</v>
      </c>
      <c r="BQ39" s="6">
        <v>2886</v>
      </c>
      <c r="BR39" s="6">
        <v>10010</v>
      </c>
      <c r="BS39" s="6">
        <v>2601</v>
      </c>
      <c r="BT39" s="6">
        <v>18494</v>
      </c>
      <c r="BU39" s="6">
        <v>12575</v>
      </c>
      <c r="BV39" s="6">
        <v>6</v>
      </c>
      <c r="BW39" s="6">
        <v>66</v>
      </c>
      <c r="BX39" s="6">
        <v>19</v>
      </c>
      <c r="BY39" s="6">
        <v>8565</v>
      </c>
      <c r="BZ39" s="6">
        <v>3917</v>
      </c>
      <c r="CA39" s="6">
        <v>413869</v>
      </c>
    </row>
    <row r="40" spans="1:79">
      <c r="A40" s="6" t="s">
        <v>275</v>
      </c>
      <c r="B40" s="6">
        <v>22309</v>
      </c>
      <c r="C40" s="6">
        <v>201</v>
      </c>
      <c r="D40" s="6">
        <v>1252</v>
      </c>
      <c r="E40" s="6">
        <v>1935</v>
      </c>
      <c r="F40" s="6">
        <v>2416</v>
      </c>
      <c r="G40" s="6">
        <v>2527</v>
      </c>
      <c r="H40" s="6">
        <v>3913</v>
      </c>
      <c r="I40" s="6">
        <v>688</v>
      </c>
      <c r="J40" s="6">
        <v>3250</v>
      </c>
      <c r="K40" s="6">
        <v>1647</v>
      </c>
      <c r="L40" s="6">
        <v>4481</v>
      </c>
      <c r="M40" s="6">
        <v>3349</v>
      </c>
      <c r="N40" s="6">
        <v>2906</v>
      </c>
      <c r="O40" s="6">
        <v>441</v>
      </c>
      <c r="P40" s="6">
        <v>4119</v>
      </c>
      <c r="Q40" s="6">
        <v>6</v>
      </c>
      <c r="R40" s="6">
        <v>151</v>
      </c>
      <c r="S40" s="6">
        <v>141</v>
      </c>
      <c r="T40" s="6">
        <v>917</v>
      </c>
      <c r="U40" s="6">
        <v>276</v>
      </c>
      <c r="V40" s="6">
        <v>121</v>
      </c>
      <c r="W40" s="6">
        <v>362</v>
      </c>
      <c r="X40" s="6">
        <v>1141</v>
      </c>
      <c r="Y40" s="6">
        <v>1007</v>
      </c>
      <c r="Z40" s="6">
        <v>56763</v>
      </c>
      <c r="AA40" s="6">
        <v>260</v>
      </c>
      <c r="AB40" s="6">
        <v>56197</v>
      </c>
      <c r="AC40" s="6">
        <v>306</v>
      </c>
      <c r="AD40" s="6">
        <v>1257</v>
      </c>
      <c r="AE40" s="6">
        <v>204</v>
      </c>
      <c r="AF40" s="6">
        <v>973</v>
      </c>
      <c r="AG40" s="6">
        <v>78</v>
      </c>
      <c r="AH40" s="6">
        <v>45025</v>
      </c>
      <c r="AI40" s="6">
        <v>2722</v>
      </c>
      <c r="AJ40" s="6">
        <v>2683</v>
      </c>
      <c r="AK40" s="6">
        <v>1265</v>
      </c>
      <c r="AL40" s="6">
        <v>17013</v>
      </c>
      <c r="AM40" s="6">
        <v>5566</v>
      </c>
      <c r="AN40" s="6">
        <v>4645</v>
      </c>
      <c r="AO40" s="6">
        <v>2957</v>
      </c>
      <c r="AP40" s="6">
        <v>2840</v>
      </c>
      <c r="AQ40" s="6">
        <v>5338</v>
      </c>
      <c r="AR40" s="6">
        <v>43618</v>
      </c>
      <c r="AS40" s="6">
        <v>150</v>
      </c>
      <c r="AT40" s="6">
        <v>5553</v>
      </c>
      <c r="AU40" s="6">
        <v>1776</v>
      </c>
      <c r="AV40" s="6">
        <v>4210</v>
      </c>
      <c r="AW40" s="6">
        <v>4547</v>
      </c>
      <c r="AX40" s="6">
        <v>4466</v>
      </c>
      <c r="AY40" s="6">
        <v>5953</v>
      </c>
      <c r="AZ40" s="6">
        <v>4284</v>
      </c>
      <c r="BA40" s="6">
        <v>12678</v>
      </c>
      <c r="BB40" s="6">
        <v>180723</v>
      </c>
      <c r="BC40" s="6">
        <v>7931</v>
      </c>
      <c r="BD40" s="6">
        <v>15322</v>
      </c>
      <c r="BE40" s="6">
        <v>1101</v>
      </c>
      <c r="BF40" s="6">
        <v>23741</v>
      </c>
      <c r="BG40" s="6">
        <v>14905</v>
      </c>
      <c r="BH40" s="6">
        <v>20140</v>
      </c>
      <c r="BI40" s="6">
        <v>28339</v>
      </c>
      <c r="BJ40" s="6">
        <v>62033</v>
      </c>
      <c r="BK40" s="6">
        <v>7213</v>
      </c>
      <c r="BL40" s="6">
        <v>59314</v>
      </c>
      <c r="BM40" s="6">
        <v>1973</v>
      </c>
      <c r="BN40" s="6">
        <v>5994</v>
      </c>
      <c r="BO40" s="6">
        <v>2215</v>
      </c>
      <c r="BP40" s="6">
        <v>12814</v>
      </c>
      <c r="BQ40" s="6">
        <v>2948</v>
      </c>
      <c r="BR40" s="6">
        <v>10291</v>
      </c>
      <c r="BS40" s="6">
        <v>2712</v>
      </c>
      <c r="BT40" s="6">
        <v>20362</v>
      </c>
      <c r="BU40" s="6">
        <v>13508</v>
      </c>
      <c r="BV40" s="6">
        <v>1</v>
      </c>
      <c r="BW40" s="6">
        <v>57</v>
      </c>
      <c r="BX40" s="6">
        <v>18</v>
      </c>
      <c r="BY40" s="6">
        <v>9876</v>
      </c>
      <c r="BZ40" s="6">
        <v>3553</v>
      </c>
      <c r="CA40" s="6">
        <v>429980</v>
      </c>
    </row>
    <row r="41" spans="1:79">
      <c r="A41" s="8" t="s">
        <v>196</v>
      </c>
      <c r="B41" s="8" t="s">
        <v>1</v>
      </c>
      <c r="C41" s="6" t="s">
        <v>2</v>
      </c>
      <c r="D41" s="6" t="s">
        <v>3</v>
      </c>
      <c r="E41" s="6" t="s">
        <v>4</v>
      </c>
      <c r="F41" s="6" t="s">
        <v>5</v>
      </c>
      <c r="G41" s="6" t="s">
        <v>6</v>
      </c>
      <c r="H41" s="6" t="s">
        <v>7</v>
      </c>
      <c r="I41" s="6" t="s">
        <v>8</v>
      </c>
      <c r="J41" s="6" t="s">
        <v>9</v>
      </c>
      <c r="K41" s="6" t="s">
        <v>10</v>
      </c>
      <c r="L41" s="6" t="s">
        <v>11</v>
      </c>
      <c r="M41" s="8" t="s">
        <v>12</v>
      </c>
      <c r="N41" s="6" t="s">
        <v>13</v>
      </c>
      <c r="O41" s="6" t="s">
        <v>14</v>
      </c>
      <c r="P41" s="8" t="s">
        <v>15</v>
      </c>
      <c r="Q41" s="6" t="s">
        <v>16</v>
      </c>
      <c r="R41" s="6" t="s">
        <v>17</v>
      </c>
      <c r="S41" s="6" t="s">
        <v>18</v>
      </c>
      <c r="T41" s="6" t="s">
        <v>19</v>
      </c>
      <c r="U41" s="6" t="s">
        <v>20</v>
      </c>
      <c r="V41" s="6" t="s">
        <v>21</v>
      </c>
      <c r="W41" s="6" t="s">
        <v>22</v>
      </c>
      <c r="X41" s="6" t="s">
        <v>23</v>
      </c>
      <c r="Y41" s="6" t="s">
        <v>24</v>
      </c>
      <c r="Z41" s="8" t="s">
        <v>25</v>
      </c>
      <c r="AA41" s="6" t="s">
        <v>26</v>
      </c>
      <c r="AB41" s="6" t="s">
        <v>27</v>
      </c>
      <c r="AC41" s="6" t="s">
        <v>28</v>
      </c>
      <c r="AD41" s="8" t="s">
        <v>29</v>
      </c>
      <c r="AE41" s="6" t="s">
        <v>30</v>
      </c>
      <c r="AF41" s="6" t="s">
        <v>31</v>
      </c>
      <c r="AG41" s="6" t="s">
        <v>32</v>
      </c>
      <c r="AH41" s="8" t="s">
        <v>33</v>
      </c>
      <c r="AI41" s="6" t="s">
        <v>34</v>
      </c>
      <c r="AJ41" s="6" t="s">
        <v>35</v>
      </c>
      <c r="AK41" s="6" t="s">
        <v>36</v>
      </c>
      <c r="AL41" s="6" t="s">
        <v>37</v>
      </c>
      <c r="AM41" s="6" t="s">
        <v>38</v>
      </c>
      <c r="AN41" s="6" t="s">
        <v>39</v>
      </c>
      <c r="AO41" s="6" t="s">
        <v>40</v>
      </c>
      <c r="AP41" s="6" t="s">
        <v>41</v>
      </c>
      <c r="AQ41" s="6" t="s">
        <v>42</v>
      </c>
      <c r="AR41" s="8" t="s">
        <v>43</v>
      </c>
      <c r="AS41" s="6" t="s">
        <v>44</v>
      </c>
      <c r="AT41" s="6" t="s">
        <v>45</v>
      </c>
      <c r="AU41" s="6" t="s">
        <v>46</v>
      </c>
      <c r="AV41" s="6" t="s">
        <v>47</v>
      </c>
      <c r="AW41" s="6" t="s">
        <v>48</v>
      </c>
      <c r="AX41" s="6" t="s">
        <v>49</v>
      </c>
      <c r="AY41" s="6" t="s">
        <v>50</v>
      </c>
      <c r="AZ41" s="6" t="s">
        <v>51</v>
      </c>
      <c r="BA41" s="6" t="s">
        <v>52</v>
      </c>
      <c r="BB41" s="8" t="s">
        <v>53</v>
      </c>
      <c r="BC41" s="6" t="s">
        <v>54</v>
      </c>
      <c r="BD41" s="6" t="s">
        <v>55</v>
      </c>
      <c r="BE41" s="6" t="s">
        <v>56</v>
      </c>
      <c r="BF41" s="6" t="s">
        <v>57</v>
      </c>
      <c r="BG41" s="6" t="s">
        <v>58</v>
      </c>
      <c r="BH41" s="6" t="s">
        <v>59</v>
      </c>
      <c r="BI41" s="6" t="s">
        <v>60</v>
      </c>
      <c r="BJ41" s="6" t="s">
        <v>61</v>
      </c>
      <c r="BK41" s="6" t="s">
        <v>62</v>
      </c>
      <c r="BL41" s="8" t="s">
        <v>63</v>
      </c>
      <c r="BM41" s="6" t="s">
        <v>64</v>
      </c>
      <c r="BN41" s="6" t="s">
        <v>65</v>
      </c>
      <c r="BO41" s="6" t="s">
        <v>66</v>
      </c>
      <c r="BP41" s="6" t="s">
        <v>67</v>
      </c>
      <c r="BQ41" s="6" t="s">
        <v>68</v>
      </c>
      <c r="BR41" s="6" t="s">
        <v>69</v>
      </c>
      <c r="BS41" s="6" t="s">
        <v>70</v>
      </c>
      <c r="BT41" s="6" t="s">
        <v>71</v>
      </c>
      <c r="BU41" s="8" t="s">
        <v>72</v>
      </c>
      <c r="BV41" s="6" t="s">
        <v>73</v>
      </c>
      <c r="BW41" s="6" t="s">
        <v>74</v>
      </c>
      <c r="BX41" s="6" t="s">
        <v>75</v>
      </c>
      <c r="BY41" s="6" t="s">
        <v>76</v>
      </c>
      <c r="BZ41" s="6" t="s">
        <v>77</v>
      </c>
      <c r="CA41" s="8" t="s">
        <v>78</v>
      </c>
    </row>
    <row r="42" spans="1:79">
      <c r="A42" s="6" t="s">
        <v>79</v>
      </c>
      <c r="B42" s="6" t="s">
        <v>80</v>
      </c>
      <c r="C42" s="6" t="s">
        <v>80</v>
      </c>
      <c r="D42" s="6" t="s">
        <v>80</v>
      </c>
      <c r="E42" s="6" t="s">
        <v>80</v>
      </c>
      <c r="F42" s="6" t="s">
        <v>80</v>
      </c>
      <c r="G42" s="6" t="s">
        <v>80</v>
      </c>
      <c r="H42" s="6" t="s">
        <v>80</v>
      </c>
      <c r="I42" s="6" t="s">
        <v>80</v>
      </c>
      <c r="J42" s="6" t="s">
        <v>80</v>
      </c>
      <c r="K42" s="6" t="s">
        <v>80</v>
      </c>
      <c r="L42" s="6" t="s">
        <v>80</v>
      </c>
      <c r="M42" s="6" t="s">
        <v>80</v>
      </c>
      <c r="N42" s="6" t="s">
        <v>80</v>
      </c>
      <c r="O42" s="6" t="s">
        <v>80</v>
      </c>
      <c r="P42" s="6" t="s">
        <v>80</v>
      </c>
      <c r="Q42" s="6" t="s">
        <v>80</v>
      </c>
      <c r="R42" s="6" t="s">
        <v>80</v>
      </c>
      <c r="S42" s="6" t="s">
        <v>80</v>
      </c>
      <c r="T42" s="6" t="s">
        <v>80</v>
      </c>
      <c r="U42" s="6" t="s">
        <v>80</v>
      </c>
      <c r="V42" s="6" t="s">
        <v>80</v>
      </c>
      <c r="W42" s="6" t="s">
        <v>80</v>
      </c>
      <c r="X42" s="6" t="s">
        <v>80</v>
      </c>
      <c r="Y42" s="6" t="s">
        <v>80</v>
      </c>
      <c r="Z42" s="6" t="s">
        <v>80</v>
      </c>
      <c r="AA42" s="6" t="s">
        <v>80</v>
      </c>
      <c r="AB42" s="6" t="s">
        <v>80</v>
      </c>
      <c r="AC42" s="6" t="s">
        <v>80</v>
      </c>
      <c r="AD42" s="6" t="s">
        <v>80</v>
      </c>
      <c r="AE42" s="6" t="s">
        <v>80</v>
      </c>
      <c r="AF42" s="6" t="s">
        <v>80</v>
      </c>
      <c r="AG42" s="6" t="s">
        <v>80</v>
      </c>
      <c r="AH42" s="6" t="s">
        <v>80</v>
      </c>
      <c r="AI42" s="6" t="s">
        <v>80</v>
      </c>
      <c r="AJ42" s="6" t="s">
        <v>80</v>
      </c>
      <c r="AK42" s="6" t="s">
        <v>80</v>
      </c>
      <c r="AL42" s="6" t="s">
        <v>80</v>
      </c>
      <c r="AM42" s="6" t="s">
        <v>80</v>
      </c>
      <c r="AN42" s="6" t="s">
        <v>80</v>
      </c>
      <c r="AO42" s="6" t="s">
        <v>80</v>
      </c>
      <c r="AP42" s="6" t="s">
        <v>80</v>
      </c>
      <c r="AQ42" s="6" t="s">
        <v>80</v>
      </c>
      <c r="AR42" s="6" t="s">
        <v>80</v>
      </c>
      <c r="AS42" s="6" t="s">
        <v>80</v>
      </c>
      <c r="AT42" s="6" t="s">
        <v>80</v>
      </c>
      <c r="AU42" s="6" t="s">
        <v>80</v>
      </c>
      <c r="AV42" s="6" t="s">
        <v>80</v>
      </c>
      <c r="AW42" s="6" t="s">
        <v>80</v>
      </c>
      <c r="AX42" s="6" t="s">
        <v>80</v>
      </c>
      <c r="AY42" s="6" t="s">
        <v>80</v>
      </c>
      <c r="AZ42" s="6" t="s">
        <v>80</v>
      </c>
      <c r="BA42" s="6" t="s">
        <v>80</v>
      </c>
      <c r="BB42" s="6" t="s">
        <v>80</v>
      </c>
      <c r="BC42" s="6" t="s">
        <v>80</v>
      </c>
      <c r="BD42" s="6" t="s">
        <v>80</v>
      </c>
      <c r="BE42" s="6" t="s">
        <v>80</v>
      </c>
      <c r="BF42" s="6" t="s">
        <v>80</v>
      </c>
      <c r="BG42" s="6" t="s">
        <v>80</v>
      </c>
      <c r="BH42" s="6" t="s">
        <v>80</v>
      </c>
      <c r="BI42" s="6" t="s">
        <v>80</v>
      </c>
      <c r="BJ42" s="6" t="s">
        <v>80</v>
      </c>
      <c r="BK42" s="6" t="s">
        <v>80</v>
      </c>
      <c r="BL42" s="6" t="s">
        <v>80</v>
      </c>
      <c r="BM42" s="6" t="s">
        <v>80</v>
      </c>
      <c r="BN42" s="6" t="s">
        <v>80</v>
      </c>
      <c r="BO42" s="6" t="s">
        <v>80</v>
      </c>
      <c r="BP42" s="6" t="s">
        <v>80</v>
      </c>
      <c r="BQ42" s="6" t="s">
        <v>80</v>
      </c>
      <c r="BR42" s="6" t="s">
        <v>80</v>
      </c>
      <c r="BS42" s="6" t="s">
        <v>80</v>
      </c>
      <c r="BT42" s="6" t="s">
        <v>80</v>
      </c>
      <c r="BU42" s="6" t="s">
        <v>80</v>
      </c>
      <c r="BV42" s="6" t="s">
        <v>80</v>
      </c>
      <c r="BW42" s="6" t="s">
        <v>80</v>
      </c>
      <c r="BX42" s="6" t="s">
        <v>80</v>
      </c>
      <c r="BY42" s="6" t="s">
        <v>80</v>
      </c>
      <c r="BZ42" s="6" t="s">
        <v>80</v>
      </c>
      <c r="CA42" s="6" t="s">
        <v>80</v>
      </c>
    </row>
    <row r="43" spans="1:79">
      <c r="A43" s="6" t="s">
        <v>81</v>
      </c>
      <c r="B43" s="6" t="s">
        <v>197</v>
      </c>
      <c r="C43" s="6" t="s">
        <v>198</v>
      </c>
      <c r="D43" s="6" t="s">
        <v>199</v>
      </c>
      <c r="E43" s="6" t="s">
        <v>200</v>
      </c>
      <c r="F43" s="6" t="s">
        <v>201</v>
      </c>
      <c r="G43" s="6" t="s">
        <v>202</v>
      </c>
      <c r="H43" s="6" t="s">
        <v>203</v>
      </c>
      <c r="I43" s="6" t="s">
        <v>204</v>
      </c>
      <c r="J43" s="6" t="s">
        <v>205</v>
      </c>
      <c r="K43" s="6" t="s">
        <v>206</v>
      </c>
      <c r="L43" s="6" t="s">
        <v>207</v>
      </c>
      <c r="M43" s="6" t="s">
        <v>208</v>
      </c>
      <c r="N43" s="6" t="s">
        <v>209</v>
      </c>
      <c r="O43" s="6" t="s">
        <v>210</v>
      </c>
      <c r="P43" s="6" t="s">
        <v>211</v>
      </c>
      <c r="Q43" s="6" t="s">
        <v>212</v>
      </c>
      <c r="R43" s="6" t="s">
        <v>213</v>
      </c>
      <c r="S43" s="6" t="s">
        <v>214</v>
      </c>
      <c r="T43" s="6" t="s">
        <v>215</v>
      </c>
      <c r="U43" s="6" t="s">
        <v>216</v>
      </c>
      <c r="V43" s="6" t="s">
        <v>217</v>
      </c>
      <c r="W43" s="6" t="s">
        <v>218</v>
      </c>
      <c r="X43" s="6" t="s">
        <v>219</v>
      </c>
      <c r="Y43" s="6" t="s">
        <v>220</v>
      </c>
      <c r="Z43" s="6" t="s">
        <v>221</v>
      </c>
      <c r="AA43" s="6" t="s">
        <v>222</v>
      </c>
      <c r="AB43" s="6" t="s">
        <v>223</v>
      </c>
      <c r="AC43" s="6" t="s">
        <v>224</v>
      </c>
      <c r="AD43" s="6" t="s">
        <v>225</v>
      </c>
      <c r="AE43" s="6" t="s">
        <v>226</v>
      </c>
      <c r="AF43" s="6" t="s">
        <v>227</v>
      </c>
      <c r="AG43" s="6" t="s">
        <v>228</v>
      </c>
      <c r="AH43" s="6" t="s">
        <v>229</v>
      </c>
      <c r="AI43" s="6" t="s">
        <v>230</v>
      </c>
      <c r="AJ43" s="6" t="s">
        <v>231</v>
      </c>
      <c r="AK43" s="6" t="s">
        <v>232</v>
      </c>
      <c r="AL43" s="6" t="s">
        <v>233</v>
      </c>
      <c r="AM43" s="6" t="s">
        <v>234</v>
      </c>
      <c r="AN43" s="6" t="s">
        <v>235</v>
      </c>
      <c r="AO43" s="6" t="s">
        <v>236</v>
      </c>
      <c r="AP43" s="6" t="s">
        <v>237</v>
      </c>
      <c r="AQ43" s="6" t="s">
        <v>238</v>
      </c>
      <c r="AR43" s="6" t="s">
        <v>239</v>
      </c>
      <c r="AS43" s="6" t="s">
        <v>240</v>
      </c>
      <c r="AT43" s="6" t="s">
        <v>241</v>
      </c>
      <c r="AU43" s="6" t="s">
        <v>242</v>
      </c>
      <c r="AV43" s="6" t="s">
        <v>243</v>
      </c>
      <c r="AW43" s="6" t="s">
        <v>244</v>
      </c>
      <c r="AX43" s="6" t="s">
        <v>245</v>
      </c>
      <c r="AY43" s="6" t="s">
        <v>246</v>
      </c>
      <c r="AZ43" s="6" t="s">
        <v>247</v>
      </c>
      <c r="BA43" s="6" t="s">
        <v>248</v>
      </c>
      <c r="BB43" s="6" t="s">
        <v>249</v>
      </c>
      <c r="BC43" s="6" t="s">
        <v>250</v>
      </c>
      <c r="BD43" s="6" t="s">
        <v>251</v>
      </c>
      <c r="BE43" s="6" t="s">
        <v>252</v>
      </c>
      <c r="BF43" s="6" t="s">
        <v>253</v>
      </c>
      <c r="BG43" s="6" t="s">
        <v>254</v>
      </c>
      <c r="BH43" s="6" t="s">
        <v>255</v>
      </c>
      <c r="BI43" s="6" t="s">
        <v>256</v>
      </c>
      <c r="BJ43" s="6" t="s">
        <v>257</v>
      </c>
      <c r="BK43" s="6" t="s">
        <v>258</v>
      </c>
      <c r="BL43" s="6" t="s">
        <v>259</v>
      </c>
      <c r="BM43" s="6" t="s">
        <v>260</v>
      </c>
      <c r="BN43" s="6" t="s">
        <v>261</v>
      </c>
      <c r="BO43" s="6" t="s">
        <v>262</v>
      </c>
      <c r="BP43" s="6" t="s">
        <v>263</v>
      </c>
      <c r="BQ43" s="6" t="s">
        <v>264</v>
      </c>
      <c r="BR43" s="6" t="s">
        <v>265</v>
      </c>
      <c r="BS43" s="6" t="s">
        <v>266</v>
      </c>
      <c r="BT43" s="6" t="s">
        <v>267</v>
      </c>
      <c r="BU43" s="6" t="s">
        <v>268</v>
      </c>
      <c r="BV43" s="6" t="s">
        <v>269</v>
      </c>
      <c r="BW43" s="6" t="s">
        <v>270</v>
      </c>
      <c r="BX43" s="6" t="s">
        <v>271</v>
      </c>
      <c r="BY43" s="6" t="s">
        <v>272</v>
      </c>
      <c r="BZ43" s="6" t="s">
        <v>273</v>
      </c>
      <c r="CA43" s="6" t="s">
        <v>274</v>
      </c>
    </row>
    <row r="44" spans="1:79">
      <c r="A44" s="6" t="s">
        <v>160</v>
      </c>
      <c r="B44" s="7">
        <f>B4/$CA4</f>
        <v>3.9795365065893394E-2</v>
      </c>
      <c r="C44" s="7">
        <f>C4/B4</f>
        <v>9.1232227488151657E-2</v>
      </c>
      <c r="D44" s="7">
        <f>D4/B4</f>
        <v>1.481042654028436E-2</v>
      </c>
      <c r="E44" s="7">
        <f>E4/B4</f>
        <v>5.3317535545023699E-2</v>
      </c>
      <c r="F44" s="7">
        <f>F4/B4</f>
        <v>0.24052132701421802</v>
      </c>
      <c r="G44" s="7">
        <f>G4/B4</f>
        <v>4.0876777251184833E-2</v>
      </c>
      <c r="H44" s="7">
        <f>H4/B4</f>
        <v>0.18483412322274881</v>
      </c>
      <c r="I44" s="7">
        <f>I4/B4</f>
        <v>2.1919431279620854E-2</v>
      </c>
      <c r="J44" s="7">
        <f>J4/B4</f>
        <v>0.2126777251184834</v>
      </c>
      <c r="K44" s="7">
        <f>K4/B4</f>
        <v>3.5545023696682464E-2</v>
      </c>
      <c r="L44" s="7">
        <f>L4/B4</f>
        <v>0.10485781990521327</v>
      </c>
      <c r="M44" s="9">
        <f>M4/$CA4</f>
        <v>8.6521913383784798E-3</v>
      </c>
      <c r="N44" s="6">
        <v>3.5716811655704082E-2</v>
      </c>
      <c r="O44" s="7">
        <f t="shared" ref="O44:O80" si="0">Z4/$CA4</f>
        <v>4.0148996864464721E-2</v>
      </c>
      <c r="P44" s="7">
        <f t="shared" ref="P44:P80" si="1">AD4/$CA4</f>
        <v>2.6168753094278239E-3</v>
      </c>
      <c r="Q44" s="7">
        <f t="shared" ref="Q44:Q80" si="2">AH4/$CA4</f>
        <v>0.10934295211825447</v>
      </c>
      <c r="R44" s="7">
        <f t="shared" ref="R44:R80" si="3">AR4/$CA4</f>
        <v>0.17136996958766532</v>
      </c>
      <c r="S44" s="7">
        <f t="shared" ref="S44:S80" si="4">BB4/$CA4</f>
        <v>0.42164698116321286</v>
      </c>
      <c r="T44" s="7">
        <f t="shared" ref="T44:T80" si="5">BL4/$CA4</f>
        <v>0.14043897493929322</v>
      </c>
      <c r="U44" s="7">
        <f t="shared" ref="U44:U80" si="6">BU4/$CA4</f>
        <v>3.0365183770657989E-2</v>
      </c>
      <c r="AA44" s="6" t="e">
        <f>CA44=ROUND(SUM(B44+M44+#REF!+O44+P44+Q44+R44+S44+T44+U44), 4)</f>
        <v>#REF!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 s="6" t="e">
        <f>ROUND(SUM(B44+M44+#REF!+O44+P44+Q44+R44+S44+T44+U44), 4)</f>
        <v>#REF!</v>
      </c>
    </row>
    <row r="45" spans="1:79">
      <c r="A45" s="6" t="s">
        <v>161</v>
      </c>
      <c r="B45" s="7">
        <f t="shared" ref="B45:B80" si="7">B5/$CA5</f>
        <v>3.7291936512846291E-2</v>
      </c>
      <c r="C45" s="7">
        <f t="shared" ref="C45:C80" si="8">C5/B5</f>
        <v>7.8278900984966301E-2</v>
      </c>
      <c r="D45" s="7">
        <f t="shared" ref="D45:D80" si="9">D5/B5</f>
        <v>1.5552099533437015E-2</v>
      </c>
      <c r="E45" s="7">
        <f t="shared" ref="E45:E80" si="10">E5/B5</f>
        <v>4.9766718506998445E-2</v>
      </c>
      <c r="F45" s="7">
        <f t="shared" ref="F45:F80" si="11">F5/B5</f>
        <v>0.2286158631415241</v>
      </c>
      <c r="G45" s="7">
        <f t="shared" ref="G45:G80" si="12">G5/B5</f>
        <v>4.4582685329186106E-2</v>
      </c>
      <c r="H45" s="7">
        <f t="shared" ref="H45:H80" si="13">H5/B5</f>
        <v>0.21669258683255574</v>
      </c>
      <c r="I45" s="7">
        <f t="shared" ref="I45:I80" si="14">I5/B5</f>
        <v>2.5401762571280455E-2</v>
      </c>
      <c r="J45" s="7">
        <f t="shared" ref="J45:J80" si="15">J5/B5</f>
        <v>0.18506998444790046</v>
      </c>
      <c r="K45" s="7">
        <f t="shared" ref="K45:K80" si="16">K5/B5</f>
        <v>3.4733022291342668E-2</v>
      </c>
      <c r="L45" s="7">
        <f t="shared" ref="L45:L80" si="17">L5/B5</f>
        <v>0.12078797304302748</v>
      </c>
      <c r="M45" s="7">
        <f t="shared" ref="M45:M80" si="18">M5/$CA5</f>
        <v>7.5589150733659403E-3</v>
      </c>
      <c r="N45" s="6">
        <v>3.1008950838053627E-2</v>
      </c>
      <c r="O45" s="7">
        <f t="shared" si="0"/>
        <v>5.1114504997390148E-2</v>
      </c>
      <c r="P45" s="7">
        <f t="shared" si="1"/>
        <v>2.3392038973843446E-3</v>
      </c>
      <c r="Q45" s="7">
        <f t="shared" si="2"/>
        <v>0.10031511589692037</v>
      </c>
      <c r="R45" s="7">
        <f t="shared" si="3"/>
        <v>0.16587082181452625</v>
      </c>
      <c r="S45" s="7">
        <f t="shared" si="4"/>
        <v>0.45339957855665319</v>
      </c>
      <c r="T45" s="7">
        <f t="shared" si="5"/>
        <v>0.13173004427088367</v>
      </c>
      <c r="U45" s="7">
        <f t="shared" si="6"/>
        <v>1.9293599087517158E-2</v>
      </c>
      <c r="AA45" s="6" t="e">
        <f>ROUND(SUM(B45+M45+#REF!+O45+P45+Q45+R45+S45+T45+U45), 4)</f>
        <v>#REF!</v>
      </c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</row>
    <row r="46" spans="1:79">
      <c r="A46" s="6" t="s">
        <v>162</v>
      </c>
      <c r="B46" s="7">
        <f t="shared" si="7"/>
        <v>3.8427561837455833E-2</v>
      </c>
      <c r="C46" s="7">
        <f t="shared" si="8"/>
        <v>6.3218390804597707E-2</v>
      </c>
      <c r="D46" s="7">
        <f t="shared" si="9"/>
        <v>1.4629049111807733E-2</v>
      </c>
      <c r="E46" s="7">
        <f t="shared" si="10"/>
        <v>6.0083594566353184E-2</v>
      </c>
      <c r="F46" s="7">
        <f t="shared" si="11"/>
        <v>0.22884012539184953</v>
      </c>
      <c r="G46" s="7">
        <f t="shared" si="12"/>
        <v>5.2769070010449323E-2</v>
      </c>
      <c r="H46" s="7">
        <f t="shared" si="13"/>
        <v>0.20271682340647859</v>
      </c>
      <c r="I46" s="7">
        <f t="shared" si="14"/>
        <v>3.1870428422152562E-2</v>
      </c>
      <c r="J46" s="7">
        <f t="shared" si="15"/>
        <v>0.16509926854754442</v>
      </c>
      <c r="K46" s="7">
        <f t="shared" si="16"/>
        <v>3.6050156739811913E-2</v>
      </c>
      <c r="L46" s="7">
        <f t="shared" si="17"/>
        <v>0.14524555903866249</v>
      </c>
      <c r="M46" s="7">
        <f t="shared" si="18"/>
        <v>8.0910697076774819E-3</v>
      </c>
      <c r="N46" s="6">
        <v>2.8168165756504979E-2</v>
      </c>
      <c r="O46" s="7">
        <f t="shared" si="0"/>
        <v>5.6436716993254095E-2</v>
      </c>
      <c r="P46" s="7">
        <f t="shared" si="1"/>
        <v>2.5096370061034371E-3</v>
      </c>
      <c r="Q46" s="7">
        <f t="shared" si="2"/>
        <v>0.10299550273048506</v>
      </c>
      <c r="R46" s="7">
        <f t="shared" si="3"/>
        <v>0.15322839704465147</v>
      </c>
      <c r="S46" s="7">
        <f t="shared" si="4"/>
        <v>0.44934548666880825</v>
      </c>
      <c r="T46" s="7">
        <f t="shared" si="5"/>
        <v>0.13891342756183744</v>
      </c>
      <c r="U46" s="7">
        <f t="shared" si="6"/>
        <v>2.1884034693221973E-2</v>
      </c>
      <c r="AA46" s="6" t="e">
        <f>ROUND(SUM(B46+M46+#REF!+O46+P46+Q46+R46+S46+T46+U46), 4)</f>
        <v>#REF!</v>
      </c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</row>
    <row r="47" spans="1:79">
      <c r="A47" s="6" t="s">
        <v>163</v>
      </c>
      <c r="B47" s="7">
        <f t="shared" si="7"/>
        <v>4.0285075798755815E-2</v>
      </c>
      <c r="C47" s="7">
        <f t="shared" si="8"/>
        <v>3.0984507746126936E-2</v>
      </c>
      <c r="D47" s="7">
        <f t="shared" si="9"/>
        <v>1.999000499750125E-2</v>
      </c>
      <c r="E47" s="7">
        <f t="shared" si="10"/>
        <v>6.6466766616691653E-2</v>
      </c>
      <c r="F47" s="7">
        <f t="shared" si="11"/>
        <v>0.22638680659670166</v>
      </c>
      <c r="G47" s="7">
        <f t="shared" si="12"/>
        <v>5.3973013493253376E-2</v>
      </c>
      <c r="H47" s="7">
        <f t="shared" si="13"/>
        <v>0.21639180409795103</v>
      </c>
      <c r="I47" s="7">
        <f t="shared" si="14"/>
        <v>2.8485757121439279E-2</v>
      </c>
      <c r="J47" s="7">
        <f t="shared" si="15"/>
        <v>0.15492253873063469</v>
      </c>
      <c r="K47" s="7">
        <f t="shared" si="16"/>
        <v>4.2478760619690158E-2</v>
      </c>
      <c r="L47" s="7">
        <f t="shared" si="17"/>
        <v>0.16391804097951024</v>
      </c>
      <c r="M47" s="7">
        <f t="shared" si="18"/>
        <v>7.7912665337923539E-3</v>
      </c>
      <c r="N47" s="6">
        <v>2.4118701052928269E-2</v>
      </c>
      <c r="O47" s="7">
        <f t="shared" si="0"/>
        <v>5.9451188822451734E-2</v>
      </c>
      <c r="P47" s="7">
        <f t="shared" si="1"/>
        <v>2.7984135612329126E-3</v>
      </c>
      <c r="Q47" s="7">
        <f t="shared" si="2"/>
        <v>0.10575587364860783</v>
      </c>
      <c r="R47" s="7">
        <f t="shared" si="3"/>
        <v>0.15260413520967969</v>
      </c>
      <c r="S47" s="7">
        <f t="shared" si="4"/>
        <v>0.44059914235670711</v>
      </c>
      <c r="T47" s="7">
        <f t="shared" si="5"/>
        <v>0.14664492359727005</v>
      </c>
      <c r="U47" s="7">
        <f t="shared" si="6"/>
        <v>2.0072074248555494E-2</v>
      </c>
      <c r="AA47" s="6" t="e">
        <f>ROUND(SUM(B47+M47+#REF!+O47+P47+Q47+R47+S47+T47+U47), 4)</f>
        <v>#REF!</v>
      </c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</row>
    <row r="48" spans="1:79">
      <c r="A48" s="6" t="s">
        <v>164</v>
      </c>
      <c r="B48" s="7">
        <f t="shared" si="7"/>
        <v>3.8625063053974201E-2</v>
      </c>
      <c r="C48" s="7">
        <f t="shared" si="8"/>
        <v>2.751865671641791E-2</v>
      </c>
      <c r="D48" s="7">
        <f t="shared" si="9"/>
        <v>1.8190298507462687E-2</v>
      </c>
      <c r="E48" s="7">
        <f t="shared" si="10"/>
        <v>7.0895522388059698E-2</v>
      </c>
      <c r="F48" s="7">
        <f t="shared" si="11"/>
        <v>0.22527985074626866</v>
      </c>
      <c r="G48" s="7">
        <f t="shared" si="12"/>
        <v>6.1100746268656719E-2</v>
      </c>
      <c r="H48" s="7">
        <f t="shared" si="13"/>
        <v>0.22154850746268656</v>
      </c>
      <c r="I48" s="7">
        <f t="shared" si="14"/>
        <v>3.4048507462686568E-2</v>
      </c>
      <c r="J48" s="7">
        <f t="shared" si="15"/>
        <v>0.15298507462686567</v>
      </c>
      <c r="K48" s="7">
        <f t="shared" si="16"/>
        <v>3.2649253731343281E-2</v>
      </c>
      <c r="L48" s="7">
        <f t="shared" si="17"/>
        <v>0.15764925373134328</v>
      </c>
      <c r="M48" s="7">
        <f t="shared" si="18"/>
        <v>7.4583843770267347E-3</v>
      </c>
      <c r="N48" s="6">
        <v>2.5653959789579881E-2</v>
      </c>
      <c r="O48" s="7">
        <f t="shared" si="0"/>
        <v>5.8442026374576635E-2</v>
      </c>
      <c r="P48" s="7">
        <f t="shared" si="1"/>
        <v>3.1707141312963898E-3</v>
      </c>
      <c r="Q48" s="7">
        <f t="shared" si="2"/>
        <v>0.11210996613100814</v>
      </c>
      <c r="R48" s="7">
        <f t="shared" si="3"/>
        <v>0.15201412409022122</v>
      </c>
      <c r="S48" s="7">
        <f t="shared" si="4"/>
        <v>0.42761403761619948</v>
      </c>
      <c r="T48" s="7">
        <f t="shared" si="5"/>
        <v>0.15334726525906175</v>
      </c>
      <c r="U48" s="7">
        <f t="shared" si="6"/>
        <v>2.1600490019456655E-2</v>
      </c>
      <c r="AA48" s="6" t="e">
        <f>ROUND(SUM(B48+M48+#REF!+O48+P48+Q48+R48+S48+T48+U48), 4)</f>
        <v>#REF!</v>
      </c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</row>
    <row r="49" spans="1:79">
      <c r="A49" s="6" t="s">
        <v>165</v>
      </c>
      <c r="B49" s="7">
        <f t="shared" si="7"/>
        <v>3.8235341249619408E-2</v>
      </c>
      <c r="C49" s="7">
        <f t="shared" si="8"/>
        <v>2.7242246437552388E-2</v>
      </c>
      <c r="D49" s="7">
        <f t="shared" si="9"/>
        <v>1.6345347862531435E-2</v>
      </c>
      <c r="E49" s="7">
        <f t="shared" si="10"/>
        <v>6.6638725901089685E-2</v>
      </c>
      <c r="F49" s="7">
        <f t="shared" si="11"/>
        <v>0.22548197820620286</v>
      </c>
      <c r="G49" s="7">
        <f t="shared" si="12"/>
        <v>5.8256496227996647E-2</v>
      </c>
      <c r="H49" s="7">
        <f t="shared" si="13"/>
        <v>0.20997485331098073</v>
      </c>
      <c r="I49" s="7">
        <f t="shared" si="14"/>
        <v>3.0595138306789605E-2</v>
      </c>
      <c r="J49" s="7">
        <f t="shared" si="15"/>
        <v>0.15004191114836546</v>
      </c>
      <c r="K49" s="7">
        <f t="shared" si="16"/>
        <v>3.6462699077954734E-2</v>
      </c>
      <c r="L49" s="7">
        <f t="shared" si="17"/>
        <v>0.1768650461022632</v>
      </c>
      <c r="M49" s="7">
        <f t="shared" si="18"/>
        <v>7.2752912520231399E-3</v>
      </c>
      <c r="N49" s="6">
        <v>2.4790474816915854E-2</v>
      </c>
      <c r="O49" s="7">
        <f t="shared" si="0"/>
        <v>6.1247055430027404E-2</v>
      </c>
      <c r="P49" s="7">
        <f t="shared" si="1"/>
        <v>3.1729243786356425E-3</v>
      </c>
      <c r="Q49" s="7">
        <f t="shared" si="2"/>
        <v>0.1096101148983222</v>
      </c>
      <c r="R49" s="7">
        <f t="shared" si="3"/>
        <v>0.14643526753521466</v>
      </c>
      <c r="S49" s="7">
        <f t="shared" si="4"/>
        <v>0.44050766790058171</v>
      </c>
      <c r="T49" s="7">
        <f t="shared" si="5"/>
        <v>0.15090620643238306</v>
      </c>
      <c r="U49" s="7">
        <f t="shared" si="6"/>
        <v>1.7755556623880262E-2</v>
      </c>
      <c r="AA49" s="6" t="e">
        <f>ROUND(SUM(B49+M49+#REF!+O49+P49+Q49+R49+S49+T49+U49), 4)</f>
        <v>#REF!</v>
      </c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</row>
    <row r="50" spans="1:79">
      <c r="A50" s="6" t="s">
        <v>166</v>
      </c>
      <c r="B50" s="7">
        <f t="shared" si="7"/>
        <v>3.7886018884271427E-2</v>
      </c>
      <c r="C50" s="7">
        <f t="shared" si="8"/>
        <v>3.1395348837209305E-2</v>
      </c>
      <c r="D50" s="7">
        <f t="shared" si="9"/>
        <v>1.627906976744186E-2</v>
      </c>
      <c r="E50" s="7">
        <f t="shared" si="10"/>
        <v>6.2403100775193801E-2</v>
      </c>
      <c r="F50" s="7">
        <f t="shared" si="11"/>
        <v>0.2255813953488372</v>
      </c>
      <c r="G50" s="7">
        <f t="shared" si="12"/>
        <v>5.7364341085271317E-2</v>
      </c>
      <c r="H50" s="7">
        <f t="shared" si="13"/>
        <v>0.19534883720930232</v>
      </c>
      <c r="I50" s="7">
        <f t="shared" si="14"/>
        <v>2.9069767441860465E-2</v>
      </c>
      <c r="J50" s="7">
        <f t="shared" si="15"/>
        <v>0.16937984496124031</v>
      </c>
      <c r="K50" s="7">
        <f t="shared" si="16"/>
        <v>4.1472868217054266E-2</v>
      </c>
      <c r="L50" s="7">
        <f t="shared" si="17"/>
        <v>0.17286821705426356</v>
      </c>
      <c r="M50" s="7">
        <f t="shared" si="18"/>
        <v>7.3422517217580285E-3</v>
      </c>
      <c r="N50" s="6">
        <v>2.4229430681801493E-2</v>
      </c>
      <c r="O50" s="7">
        <f t="shared" si="0"/>
        <v>4.7930219239636411E-2</v>
      </c>
      <c r="P50" s="7">
        <f t="shared" si="1"/>
        <v>3.0984302265818883E-3</v>
      </c>
      <c r="Q50" s="7">
        <f t="shared" si="2"/>
        <v>0.10800452282706061</v>
      </c>
      <c r="R50" s="7">
        <f t="shared" si="3"/>
        <v>0.14709467099370035</v>
      </c>
      <c r="S50" s="7">
        <f t="shared" si="4"/>
        <v>0.46151925872626615</v>
      </c>
      <c r="T50" s="7">
        <f t="shared" si="5"/>
        <v>0.15022247022716928</v>
      </c>
      <c r="U50" s="7">
        <f t="shared" si="6"/>
        <v>1.2687410975197874E-2</v>
      </c>
      <c r="AA50" s="6" t="e">
        <f>ROUND(SUM(B50+M50+#REF!+O50+P50+Q50+R50+S50+T50+U50), 4)</f>
        <v>#REF!</v>
      </c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</row>
    <row r="51" spans="1:79">
      <c r="A51" s="6" t="s">
        <v>167</v>
      </c>
      <c r="B51" s="7">
        <f t="shared" si="7"/>
        <v>3.8002297693270855E-2</v>
      </c>
      <c r="C51" s="7">
        <f t="shared" si="8"/>
        <v>3.6005434782608696E-2</v>
      </c>
      <c r="D51" s="7">
        <f t="shared" si="9"/>
        <v>1.7323369565217392E-2</v>
      </c>
      <c r="E51" s="7">
        <f t="shared" si="10"/>
        <v>6.2839673913043473E-2</v>
      </c>
      <c r="F51" s="7">
        <f t="shared" si="11"/>
        <v>0.203125</v>
      </c>
      <c r="G51" s="7">
        <f t="shared" si="12"/>
        <v>7.4048913043478257E-2</v>
      </c>
      <c r="H51" s="7">
        <f t="shared" si="13"/>
        <v>0.1953125</v>
      </c>
      <c r="I51" s="7">
        <f t="shared" si="14"/>
        <v>2.9891304347826088E-2</v>
      </c>
      <c r="J51" s="7">
        <f t="shared" si="15"/>
        <v>0.17832880434782608</v>
      </c>
      <c r="K51" s="7">
        <f t="shared" si="16"/>
        <v>3.5326086956521736E-2</v>
      </c>
      <c r="L51" s="7">
        <f t="shared" si="17"/>
        <v>0.1688179347826087</v>
      </c>
      <c r="M51" s="7">
        <f t="shared" si="18"/>
        <v>6.4929197485445794E-3</v>
      </c>
      <c r="N51" s="6">
        <v>2.2602589422865922E-2</v>
      </c>
      <c r="O51" s="7">
        <f t="shared" si="0"/>
        <v>5.0174908673146681E-2</v>
      </c>
      <c r="P51" s="7">
        <f t="shared" si="1"/>
        <v>3.2400056796912315E-3</v>
      </c>
      <c r="Q51" s="7">
        <f t="shared" si="2"/>
        <v>0.11098633001587732</v>
      </c>
      <c r="R51" s="7">
        <f t="shared" si="3"/>
        <v>0.14649730860085969</v>
      </c>
      <c r="S51" s="7">
        <f t="shared" si="4"/>
        <v>0.46978791516606644</v>
      </c>
      <c r="T51" s="7">
        <f t="shared" si="5"/>
        <v>0.14151467038428275</v>
      </c>
      <c r="U51" s="7">
        <f t="shared" si="6"/>
        <v>1.0688146226232428E-2</v>
      </c>
      <c r="AA51" s="6" t="e">
        <f>ROUND(SUM(B51+M51+#REF!+O51+P51+Q51+R51+S51+T51+U51), 4)</f>
        <v>#REF!</v>
      </c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</row>
    <row r="52" spans="1:79">
      <c r="A52" s="6" t="s">
        <v>168</v>
      </c>
      <c r="B52" s="7">
        <f t="shared" si="7"/>
        <v>3.7214640989669687E-2</v>
      </c>
      <c r="C52" s="7">
        <f t="shared" si="8"/>
        <v>3.1528444139821796E-2</v>
      </c>
      <c r="D52" s="7">
        <f t="shared" si="9"/>
        <v>1.9191226867717615E-2</v>
      </c>
      <c r="E52" s="7">
        <f t="shared" si="10"/>
        <v>6.8882796435915009E-2</v>
      </c>
      <c r="F52" s="7">
        <f t="shared" si="11"/>
        <v>0.20733379026730636</v>
      </c>
      <c r="G52" s="7">
        <f t="shared" si="12"/>
        <v>5.6545579163810832E-2</v>
      </c>
      <c r="H52" s="7">
        <f t="shared" si="13"/>
        <v>0.20459218642906099</v>
      </c>
      <c r="I52" s="7">
        <f t="shared" si="14"/>
        <v>2.9814941740918439E-2</v>
      </c>
      <c r="J52" s="7">
        <f t="shared" si="15"/>
        <v>0.16586703221384511</v>
      </c>
      <c r="K52" s="7">
        <f t="shared" si="16"/>
        <v>3.5983550376970527E-2</v>
      </c>
      <c r="L52" s="7">
        <f t="shared" si="17"/>
        <v>0.18060315284441397</v>
      </c>
      <c r="M52" s="7">
        <f t="shared" si="18"/>
        <v>6.5170258895549038E-3</v>
      </c>
      <c r="N52" s="6">
        <v>1.9283254686902181E-2</v>
      </c>
      <c r="O52" s="7">
        <f t="shared" si="0"/>
        <v>6.2492029077923734E-2</v>
      </c>
      <c r="P52" s="7">
        <f t="shared" si="1"/>
        <v>3.4051779109807423E-3</v>
      </c>
      <c r="Q52" s="7">
        <f t="shared" si="2"/>
        <v>0.11575054202270119</v>
      </c>
      <c r="R52" s="7">
        <f t="shared" si="3"/>
        <v>0.13532712664200994</v>
      </c>
      <c r="S52" s="7">
        <f t="shared" si="4"/>
        <v>0.46944267312842752</v>
      </c>
      <c r="T52" s="7">
        <f t="shared" si="5"/>
        <v>0.14097691620966712</v>
      </c>
      <c r="U52" s="7">
        <f t="shared" si="6"/>
        <v>9.5906134421629898E-3</v>
      </c>
      <c r="AA52" s="6" t="e">
        <f>ROUND(SUM(B52+M52+#REF!+O52+P52+Q52+R52+S52+T52+U52), 4)</f>
        <v>#REF!</v>
      </c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</row>
    <row r="53" spans="1:79">
      <c r="A53" s="6" t="s">
        <v>169</v>
      </c>
      <c r="B53" s="7">
        <f t="shared" si="7"/>
        <v>3.8228242627667226E-2</v>
      </c>
      <c r="C53" s="7">
        <f t="shared" si="8"/>
        <v>3.7629350893697081E-2</v>
      </c>
      <c r="D53" s="7">
        <f t="shared" si="9"/>
        <v>2.1636876763875823E-2</v>
      </c>
      <c r="E53" s="7">
        <f t="shared" si="10"/>
        <v>6.0520539354029478E-2</v>
      </c>
      <c r="F53" s="7">
        <f t="shared" si="11"/>
        <v>0.19786767011602382</v>
      </c>
      <c r="G53" s="7">
        <f t="shared" si="12"/>
        <v>6.3969896519285044E-2</v>
      </c>
      <c r="H53" s="7">
        <f t="shared" si="13"/>
        <v>0.185010975227344</v>
      </c>
      <c r="I53" s="7">
        <f t="shared" si="14"/>
        <v>2.8222013170272814E-2</v>
      </c>
      <c r="J53" s="7">
        <f t="shared" si="15"/>
        <v>0.18250235183443086</v>
      </c>
      <c r="K53" s="7">
        <f t="shared" si="16"/>
        <v>4.2019441831295079E-2</v>
      </c>
      <c r="L53" s="7">
        <f t="shared" si="17"/>
        <v>0.18156161806208843</v>
      </c>
      <c r="M53" s="7">
        <f t="shared" si="18"/>
        <v>6.5092304003836008E-3</v>
      </c>
      <c r="N53" s="6">
        <v>1.8676576360584993E-2</v>
      </c>
      <c r="O53" s="7">
        <f t="shared" si="0"/>
        <v>6.0249340685686888E-2</v>
      </c>
      <c r="P53" s="7">
        <f t="shared" si="1"/>
        <v>3.236633900743227E-3</v>
      </c>
      <c r="Q53" s="7">
        <f t="shared" si="2"/>
        <v>0.11264684727883002</v>
      </c>
      <c r="R53" s="7">
        <f t="shared" si="3"/>
        <v>0.13820426756173579</v>
      </c>
      <c r="S53" s="7">
        <f t="shared" si="4"/>
        <v>0.46389355070726446</v>
      </c>
      <c r="T53" s="7">
        <f t="shared" si="5"/>
        <v>0.14729081754974827</v>
      </c>
      <c r="U53" s="7">
        <f t="shared" si="6"/>
        <v>1.1004555262526972E-2</v>
      </c>
      <c r="AA53" s="6" t="e">
        <f>ROUND(SUM(B53+M53+#REF!+O53+P53+Q53+R53+S53+T53+U53), 4)</f>
        <v>#REF!</v>
      </c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</row>
    <row r="54" spans="1:79">
      <c r="A54" s="6" t="s">
        <v>170</v>
      </c>
      <c r="B54" s="7">
        <f t="shared" si="7"/>
        <v>3.7851466834757631E-2</v>
      </c>
      <c r="C54" s="7">
        <f t="shared" si="8"/>
        <v>3.276003276003276E-2</v>
      </c>
      <c r="D54" s="7">
        <f t="shared" si="9"/>
        <v>1.6107016107016106E-2</v>
      </c>
      <c r="E54" s="7">
        <f t="shared" si="10"/>
        <v>6.524706524706525E-2</v>
      </c>
      <c r="F54" s="7">
        <f t="shared" si="11"/>
        <v>0.19901719901719903</v>
      </c>
      <c r="G54" s="7">
        <f t="shared" si="12"/>
        <v>6.2790062790062787E-2</v>
      </c>
      <c r="H54" s="7">
        <f t="shared" si="13"/>
        <v>0.18181818181818182</v>
      </c>
      <c r="I54" s="7">
        <f t="shared" si="14"/>
        <v>2.8392028392028392E-2</v>
      </c>
      <c r="J54" s="7">
        <f t="shared" si="15"/>
        <v>0.1850941850941851</v>
      </c>
      <c r="K54" s="7">
        <f t="shared" si="16"/>
        <v>4.2315042315042316E-2</v>
      </c>
      <c r="L54" s="7">
        <f t="shared" si="17"/>
        <v>0.18645918645918647</v>
      </c>
      <c r="M54" s="7">
        <f t="shared" si="18"/>
        <v>6.0864083990369213E-3</v>
      </c>
      <c r="N54" s="6">
        <v>1.678154030566377E-2</v>
      </c>
      <c r="O54" s="7">
        <f t="shared" si="0"/>
        <v>4.4681884409907724E-2</v>
      </c>
      <c r="P54" s="7">
        <f t="shared" si="1"/>
        <v>2.7900344104243953E-3</v>
      </c>
      <c r="Q54" s="7">
        <f t="shared" si="2"/>
        <v>0.11401940623934362</v>
      </c>
      <c r="R54" s="7">
        <f t="shared" si="3"/>
        <v>0.13454165934713194</v>
      </c>
      <c r="S54" s="7">
        <f t="shared" si="4"/>
        <v>0.45809264980934766</v>
      </c>
      <c r="T54" s="7">
        <f t="shared" si="5"/>
        <v>0.1504035216434336</v>
      </c>
      <c r="U54" s="7">
        <f t="shared" si="6"/>
        <v>3.481342936562884E-2</v>
      </c>
      <c r="AA54" s="6" t="e">
        <f>ROUND(SUM(B54+M54+#REF!+O54+P54+Q54+R54+S54+T54+U54), 4)</f>
        <v>#REF!</v>
      </c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</row>
    <row r="55" spans="1:79">
      <c r="A55" s="6" t="s">
        <v>171</v>
      </c>
      <c r="B55" s="7">
        <f t="shared" si="7"/>
        <v>3.7836027463380516E-2</v>
      </c>
      <c r="C55" s="7">
        <f t="shared" si="8"/>
        <v>3.2543608435303309E-2</v>
      </c>
      <c r="D55" s="7">
        <f t="shared" si="9"/>
        <v>2.5514189013277792E-2</v>
      </c>
      <c r="E55" s="7">
        <f t="shared" si="10"/>
        <v>7.1335589690184845E-2</v>
      </c>
      <c r="F55" s="7">
        <f t="shared" si="11"/>
        <v>0.20281176776881021</v>
      </c>
      <c r="G55" s="7">
        <f t="shared" si="12"/>
        <v>6.5868263473053898E-2</v>
      </c>
      <c r="H55" s="7">
        <f t="shared" si="13"/>
        <v>0.19317885967196044</v>
      </c>
      <c r="I55" s="7">
        <f t="shared" si="14"/>
        <v>2.7596979953137205E-2</v>
      </c>
      <c r="J55" s="7">
        <f t="shared" si="15"/>
        <v>0.16401978651392868</v>
      </c>
      <c r="K55" s="7">
        <f t="shared" si="16"/>
        <v>3.7490236917469409E-2</v>
      </c>
      <c r="L55" s="7">
        <f t="shared" si="17"/>
        <v>0.18042176516532152</v>
      </c>
      <c r="M55" s="7">
        <f t="shared" si="18"/>
        <v>6.6195809568840684E-3</v>
      </c>
      <c r="N55" s="6">
        <v>1.5997320645803167E-2</v>
      </c>
      <c r="O55" s="7">
        <f t="shared" si="0"/>
        <v>5.8206999812839229E-2</v>
      </c>
      <c r="P55" s="7">
        <f t="shared" si="1"/>
        <v>2.8271127003359044E-3</v>
      </c>
      <c r="Q55" s="7">
        <f t="shared" si="2"/>
        <v>0.11592147128067221</v>
      </c>
      <c r="R55" s="7">
        <f t="shared" si="3"/>
        <v>0.12732842775101708</v>
      </c>
      <c r="S55" s="7">
        <f t="shared" si="4"/>
        <v>0.47087679895978013</v>
      </c>
      <c r="T55" s="7">
        <f t="shared" si="5"/>
        <v>0.14299082912221597</v>
      </c>
      <c r="U55" s="7">
        <f t="shared" si="6"/>
        <v>2.135602903947122E-2</v>
      </c>
      <c r="AA55" s="6" t="e">
        <f>ROUND(SUM(B55+M55+#REF!+O55+P55+Q55+R55+S55+T55+U55), 4)</f>
        <v>#REF!</v>
      </c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</row>
    <row r="56" spans="1:79">
      <c r="A56" s="6" t="s">
        <v>172</v>
      </c>
      <c r="B56" s="7">
        <f t="shared" si="7"/>
        <v>3.4902611283068555E-2</v>
      </c>
      <c r="C56" s="7">
        <f t="shared" si="8"/>
        <v>2.3762861342479177E-2</v>
      </c>
      <c r="D56" s="7">
        <f t="shared" si="9"/>
        <v>3.9686428221460068E-2</v>
      </c>
      <c r="E56" s="7">
        <f t="shared" si="10"/>
        <v>6.7858892699657031E-2</v>
      </c>
      <c r="F56" s="7">
        <f t="shared" si="11"/>
        <v>0.1967172954434101</v>
      </c>
      <c r="G56" s="7">
        <f t="shared" si="12"/>
        <v>7.2513473787359131E-2</v>
      </c>
      <c r="H56" s="7">
        <f t="shared" si="13"/>
        <v>0.18226359627633512</v>
      </c>
      <c r="I56" s="7">
        <f t="shared" si="14"/>
        <v>2.8907398334149927E-2</v>
      </c>
      <c r="J56" s="7">
        <f t="shared" si="15"/>
        <v>0.1474767270945615</v>
      </c>
      <c r="K56" s="7">
        <f t="shared" si="16"/>
        <v>3.7236648701616852E-2</v>
      </c>
      <c r="L56" s="7">
        <f t="shared" si="17"/>
        <v>0.20259676629103382</v>
      </c>
      <c r="M56" s="7">
        <f t="shared" si="18"/>
        <v>6.8146450741317097E-3</v>
      </c>
      <c r="N56" s="6">
        <v>1.746840638199634E-2</v>
      </c>
      <c r="O56" s="7">
        <f t="shared" si="0"/>
        <v>8.114301349248422E-2</v>
      </c>
      <c r="P56" s="7">
        <f t="shared" si="1"/>
        <v>2.4197547753817741E-3</v>
      </c>
      <c r="Q56" s="7">
        <f t="shared" si="2"/>
        <v>0.11382252851548472</v>
      </c>
      <c r="R56" s="7">
        <f t="shared" si="3"/>
        <v>0.12115019580347829</v>
      </c>
      <c r="S56" s="7">
        <f t="shared" si="4"/>
        <v>0.46578996870564493</v>
      </c>
      <c r="T56" s="7">
        <f t="shared" si="5"/>
        <v>0.14071344289207724</v>
      </c>
      <c r="U56" s="7">
        <f t="shared" si="6"/>
        <v>1.5809634557176325E-2</v>
      </c>
      <c r="AA56" s="6" t="e">
        <f>ROUND(SUM(B56+M56+#REF!+O56+P56+Q56+R56+S56+T56+U56), 4)</f>
        <v>#REF!</v>
      </c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</row>
    <row r="57" spans="1:79">
      <c r="A57" s="6" t="s">
        <v>173</v>
      </c>
      <c r="B57" s="7">
        <f t="shared" si="7"/>
        <v>3.7886959106543799E-2</v>
      </c>
      <c r="C57" s="7">
        <f t="shared" si="8"/>
        <v>1.5243219009190765E-2</v>
      </c>
      <c r="D57" s="7">
        <f t="shared" si="9"/>
        <v>3.9228872450123291E-2</v>
      </c>
      <c r="E57" s="7">
        <f t="shared" si="10"/>
        <v>7.3526115220802504E-2</v>
      </c>
      <c r="F57" s="7">
        <f t="shared" si="11"/>
        <v>0.20286931181349474</v>
      </c>
      <c r="G57" s="7">
        <f t="shared" si="12"/>
        <v>6.7025330643353503E-2</v>
      </c>
      <c r="H57" s="7">
        <f t="shared" si="13"/>
        <v>0.1788836583725622</v>
      </c>
      <c r="I57" s="7">
        <f t="shared" si="14"/>
        <v>2.8693118134947321E-2</v>
      </c>
      <c r="J57" s="7">
        <f t="shared" si="15"/>
        <v>0.13539565119928268</v>
      </c>
      <c r="K57" s="7">
        <f t="shared" si="16"/>
        <v>5.2902936561309122E-2</v>
      </c>
      <c r="L57" s="7">
        <f t="shared" si="17"/>
        <v>0.20578345662407532</v>
      </c>
      <c r="M57" s="7">
        <f t="shared" si="18"/>
        <v>7.9408892097328973E-3</v>
      </c>
      <c r="N57" s="6">
        <v>1.481166928531997E-2</v>
      </c>
      <c r="O57" s="7">
        <f t="shared" si="0"/>
        <v>8.4436706441887124E-2</v>
      </c>
      <c r="P57" s="7">
        <f t="shared" si="1"/>
        <v>2.4204849462822202E-3</v>
      </c>
      <c r="Q57" s="7">
        <f t="shared" si="2"/>
        <v>0.12386088581256104</v>
      </c>
      <c r="R57" s="7">
        <f t="shared" si="3"/>
        <v>0.12048069981740202</v>
      </c>
      <c r="S57" s="7">
        <f t="shared" si="4"/>
        <v>0.4434837997367192</v>
      </c>
      <c r="T57" s="7">
        <f t="shared" si="5"/>
        <v>0.14473650685804068</v>
      </c>
      <c r="U57" s="7">
        <f t="shared" si="6"/>
        <v>1.9915919996602829E-2</v>
      </c>
      <c r="AA57" s="6" t="e">
        <f>ROUND(SUM(B57+M57+#REF!+O57+P57+Q57+R57+S57+T57+U57), 4)</f>
        <v>#REF!</v>
      </c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</row>
    <row r="58" spans="1:79">
      <c r="A58" s="6" t="s">
        <v>174</v>
      </c>
      <c r="B58" s="7">
        <f t="shared" si="7"/>
        <v>3.7386911056280107E-2</v>
      </c>
      <c r="C58" s="7">
        <f t="shared" si="8"/>
        <v>1.7808506180599204E-2</v>
      </c>
      <c r="D58" s="7">
        <f t="shared" si="9"/>
        <v>4.5883092394720298E-2</v>
      </c>
      <c r="E58" s="7">
        <f t="shared" si="10"/>
        <v>6.2015503875968991E-2</v>
      </c>
      <c r="F58" s="7">
        <f t="shared" si="11"/>
        <v>0.1923318667504714</v>
      </c>
      <c r="G58" s="7">
        <f t="shared" si="12"/>
        <v>6.3272574900481882E-2</v>
      </c>
      <c r="H58" s="7">
        <f t="shared" si="13"/>
        <v>0.18206578671694951</v>
      </c>
      <c r="I58" s="7">
        <f t="shared" si="14"/>
        <v>3.1636287450240941E-2</v>
      </c>
      <c r="J58" s="7">
        <f t="shared" si="15"/>
        <v>0.13953488372093023</v>
      </c>
      <c r="K58" s="7">
        <f t="shared" si="16"/>
        <v>6.3272574900481882E-2</v>
      </c>
      <c r="L58" s="7">
        <f t="shared" si="17"/>
        <v>0.20259794678399329</v>
      </c>
      <c r="M58" s="7">
        <f t="shared" si="18"/>
        <v>7.582344417028943E-3</v>
      </c>
      <c r="N58" s="6">
        <v>1.476520581208632E-2</v>
      </c>
      <c r="O58" s="7">
        <f t="shared" si="0"/>
        <v>7.2886069008733789E-2</v>
      </c>
      <c r="P58" s="7">
        <f t="shared" si="1"/>
        <v>2.6553871460462931E-3</v>
      </c>
      <c r="Q58" s="7">
        <f t="shared" si="2"/>
        <v>0.11548975835193671</v>
      </c>
      <c r="R58" s="7">
        <f t="shared" si="3"/>
        <v>0.12221047272157599</v>
      </c>
      <c r="S58" s="7">
        <f t="shared" si="4"/>
        <v>0.45789370618415381</v>
      </c>
      <c r="T58" s="7">
        <f t="shared" si="5"/>
        <v>0.14403321192182666</v>
      </c>
      <c r="U58" s="7">
        <f t="shared" si="6"/>
        <v>2.508910037990052E-2</v>
      </c>
      <c r="AA58" s="6" t="e">
        <f>ROUND(SUM(B58+M58+#REF!+O58+P58+Q58+R58+S58+T58+U58), 4)</f>
        <v>#REF!</v>
      </c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</row>
    <row r="59" spans="1:79">
      <c r="A59" s="6" t="s">
        <v>175</v>
      </c>
      <c r="B59" s="7">
        <f t="shared" si="7"/>
        <v>3.9781819300837025E-2</v>
      </c>
      <c r="C59" s="7">
        <f t="shared" si="8"/>
        <v>1.5857667762521756E-2</v>
      </c>
      <c r="D59" s="7">
        <f t="shared" si="9"/>
        <v>4.5252368980854767E-2</v>
      </c>
      <c r="E59" s="7">
        <f t="shared" si="10"/>
        <v>6.1690195320054146E-2</v>
      </c>
      <c r="F59" s="7">
        <f t="shared" si="11"/>
        <v>0.18352349642235544</v>
      </c>
      <c r="G59" s="7">
        <f t="shared" si="12"/>
        <v>7.9094952620382908E-2</v>
      </c>
      <c r="H59" s="7">
        <f t="shared" si="13"/>
        <v>0.18507058596016243</v>
      </c>
      <c r="I59" s="7">
        <f t="shared" si="14"/>
        <v>3.7130148907368016E-2</v>
      </c>
      <c r="J59" s="7">
        <f t="shared" si="15"/>
        <v>0.12956874879133629</v>
      </c>
      <c r="K59" s="7">
        <f t="shared" si="16"/>
        <v>5.9949719590021273E-2</v>
      </c>
      <c r="L59" s="7">
        <f t="shared" si="17"/>
        <v>0.20286211564494294</v>
      </c>
      <c r="M59" s="7">
        <f t="shared" si="18"/>
        <v>7.385524372230428E-3</v>
      </c>
      <c r="N59" s="6">
        <v>1.4917220580994584E-2</v>
      </c>
      <c r="O59" s="7">
        <f t="shared" si="0"/>
        <v>7.7171036435253568E-2</v>
      </c>
      <c r="P59" s="7">
        <f t="shared" si="1"/>
        <v>2.7311053668143772E-3</v>
      </c>
      <c r="Q59" s="7">
        <f t="shared" si="2"/>
        <v>0.11490645002461841</v>
      </c>
      <c r="R59" s="7">
        <f t="shared" si="3"/>
        <v>0.12162266125061547</v>
      </c>
      <c r="S59" s="7">
        <f t="shared" si="4"/>
        <v>0.455186792220581</v>
      </c>
      <c r="T59" s="7">
        <f t="shared" si="5"/>
        <v>0.14115583456425407</v>
      </c>
      <c r="U59" s="7">
        <f t="shared" si="6"/>
        <v>2.5149249138355489E-2</v>
      </c>
      <c r="AA59" s="6" t="e">
        <f>ROUND(SUM(B59+M59+#REF!+O59+P59+Q59+R59+S59+T59+U59), 4)</f>
        <v>#REF!</v>
      </c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</row>
    <row r="60" spans="1:79">
      <c r="A60" s="6" t="s">
        <v>176</v>
      </c>
      <c r="B60" s="7">
        <f t="shared" si="7"/>
        <v>3.7317606745629998E-2</v>
      </c>
      <c r="C60" s="7">
        <f t="shared" si="8"/>
        <v>1.2521343198634035E-2</v>
      </c>
      <c r="D60" s="7">
        <f t="shared" si="9"/>
        <v>5.4069436539556058E-2</v>
      </c>
      <c r="E60" s="7">
        <f t="shared" si="10"/>
        <v>6.7159931701764375E-2</v>
      </c>
      <c r="F60" s="7">
        <f t="shared" si="11"/>
        <v>0.1745399354961108</v>
      </c>
      <c r="G60" s="7">
        <f t="shared" si="12"/>
        <v>7.2282299373932837E-2</v>
      </c>
      <c r="H60" s="7">
        <f t="shared" si="13"/>
        <v>0.20129007778410168</v>
      </c>
      <c r="I60" s="7">
        <f t="shared" si="14"/>
        <v>3.3010813887307915E-2</v>
      </c>
      <c r="J60" s="7">
        <f t="shared" si="15"/>
        <v>0.12730032251944604</v>
      </c>
      <c r="K60" s="7">
        <f t="shared" si="16"/>
        <v>5.0654524758110414E-2</v>
      </c>
      <c r="L60" s="7">
        <f t="shared" si="17"/>
        <v>0.20698159741984443</v>
      </c>
      <c r="M60" s="7">
        <f t="shared" si="18"/>
        <v>6.7328863621882234E-3</v>
      </c>
      <c r="N60" s="6">
        <v>1.3394974760525888E-2</v>
      </c>
      <c r="O60" s="7">
        <f t="shared" si="0"/>
        <v>9.107450069735995E-2</v>
      </c>
      <c r="P60" s="7">
        <f t="shared" si="1"/>
        <v>2.6903226263212672E-3</v>
      </c>
      <c r="Q60" s="7">
        <f t="shared" si="2"/>
        <v>0.11581838906313055</v>
      </c>
      <c r="R60" s="7">
        <f t="shared" si="3"/>
        <v>0.11840251474367597</v>
      </c>
      <c r="S60" s="7">
        <f t="shared" si="4"/>
        <v>0.45474240160852974</v>
      </c>
      <c r="T60" s="7">
        <f t="shared" si="5"/>
        <v>0.14065431478190688</v>
      </c>
      <c r="U60" s="7">
        <f t="shared" si="6"/>
        <v>1.9165008814346501E-2</v>
      </c>
      <c r="AA60" s="6" t="e">
        <f>ROUND(SUM(B60+M60+#REF!+O60+P60+Q60+R60+S60+T60+U60), 4)</f>
        <v>#REF!</v>
      </c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</row>
    <row r="61" spans="1:79">
      <c r="A61" s="6" t="s">
        <v>177</v>
      </c>
      <c r="B61" s="7">
        <f t="shared" si="7"/>
        <v>3.7098681335629644E-2</v>
      </c>
      <c r="C61" s="7">
        <f t="shared" si="8"/>
        <v>1.6282695305733588E-2</v>
      </c>
      <c r="D61" s="7">
        <f t="shared" si="9"/>
        <v>6.3052139269010918E-2</v>
      </c>
      <c r="E61" s="7">
        <f t="shared" si="10"/>
        <v>6.8248744153819499E-2</v>
      </c>
      <c r="F61" s="7">
        <f t="shared" si="11"/>
        <v>0.17096830071020266</v>
      </c>
      <c r="G61" s="7">
        <f t="shared" si="12"/>
        <v>7.3618569201455056E-2</v>
      </c>
      <c r="H61" s="7">
        <f t="shared" si="13"/>
        <v>0.19504590334314914</v>
      </c>
      <c r="I61" s="7">
        <f t="shared" si="14"/>
        <v>3.1526069634505459E-2</v>
      </c>
      <c r="J61" s="7">
        <f t="shared" si="15"/>
        <v>0.12818292049194527</v>
      </c>
      <c r="K61" s="7">
        <f t="shared" si="16"/>
        <v>4.9540966568508572E-2</v>
      </c>
      <c r="L61" s="7">
        <f t="shared" si="17"/>
        <v>0.20301403083318897</v>
      </c>
      <c r="M61" s="7">
        <f t="shared" si="18"/>
        <v>6.6190268102717014E-3</v>
      </c>
      <c r="N61" s="6">
        <v>1.2544019741408117E-2</v>
      </c>
      <c r="O61" s="7">
        <f t="shared" si="0"/>
        <v>0.11064699380510501</v>
      </c>
      <c r="P61" s="7">
        <f t="shared" si="1"/>
        <v>2.3648561807572679E-3</v>
      </c>
      <c r="Q61" s="7">
        <f t="shared" si="2"/>
        <v>0.1162571009947819</v>
      </c>
      <c r="R61" s="7">
        <f t="shared" si="3"/>
        <v>0.11658483921548467</v>
      </c>
      <c r="S61" s="7">
        <f t="shared" si="4"/>
        <v>0.44210600724879828</v>
      </c>
      <c r="T61" s="7">
        <f t="shared" si="5"/>
        <v>0.13669254299154307</v>
      </c>
      <c r="U61" s="7">
        <f t="shared" si="6"/>
        <v>1.9060226717733851E-2</v>
      </c>
      <c r="AA61" s="6" t="e">
        <f>ROUND(SUM(B61+M61+#REF!+O61+P61+Q61+R61+S61+T61+U61), 4)</f>
        <v>#REF!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</row>
    <row r="62" spans="1:79">
      <c r="A62" s="6" t="s">
        <v>178</v>
      </c>
      <c r="B62" s="7">
        <f t="shared" si="7"/>
        <v>3.6302280396768583E-2</v>
      </c>
      <c r="C62" s="7">
        <f t="shared" si="8"/>
        <v>1.9405320813771519E-2</v>
      </c>
      <c r="D62" s="7">
        <f t="shared" si="9"/>
        <v>5.978090766823161E-2</v>
      </c>
      <c r="E62" s="7">
        <f t="shared" si="10"/>
        <v>6.8857589984350542E-2</v>
      </c>
      <c r="F62" s="7">
        <f t="shared" si="11"/>
        <v>0.17715179968701095</v>
      </c>
      <c r="G62" s="7">
        <f t="shared" si="12"/>
        <v>7.7934272300469482E-2</v>
      </c>
      <c r="H62" s="7">
        <f t="shared" si="13"/>
        <v>0.19389671361502347</v>
      </c>
      <c r="I62" s="7">
        <f t="shared" si="14"/>
        <v>2.9264475743348981E-2</v>
      </c>
      <c r="J62" s="7">
        <f t="shared" si="15"/>
        <v>0.12456964006259781</v>
      </c>
      <c r="K62" s="7">
        <f t="shared" si="16"/>
        <v>5.5868544600938964E-2</v>
      </c>
      <c r="L62" s="7">
        <f t="shared" si="17"/>
        <v>0.19405320813771518</v>
      </c>
      <c r="M62" s="7">
        <f t="shared" si="18"/>
        <v>7.2547749713104048E-3</v>
      </c>
      <c r="N62" s="6">
        <v>1.2583654315937781E-2</v>
      </c>
      <c r="O62" s="7">
        <f t="shared" si="0"/>
        <v>0.13169944666007657</v>
      </c>
      <c r="P62" s="7">
        <f t="shared" si="1"/>
        <v>2.7212507527468155E-3</v>
      </c>
      <c r="Q62" s="7">
        <f t="shared" si="2"/>
        <v>0.1078160684459897</v>
      </c>
      <c r="R62" s="7">
        <f t="shared" si="3"/>
        <v>0.11050323255047664</v>
      </c>
      <c r="S62" s="7">
        <f t="shared" si="4"/>
        <v>0.42516844485348421</v>
      </c>
      <c r="T62" s="7">
        <f t="shared" si="5"/>
        <v>0.13190396654963585</v>
      </c>
      <c r="U62" s="7">
        <f t="shared" si="6"/>
        <v>3.4052561611616732E-2</v>
      </c>
      <c r="AA62" s="6" t="e">
        <f>ROUND(SUM(B62+M62+#REF!+O62+P62+Q62+R62+S62+T62+U62), 4)</f>
        <v>#REF!</v>
      </c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</row>
    <row r="63" spans="1:79">
      <c r="A63" s="6" t="s">
        <v>179</v>
      </c>
      <c r="B63" s="7">
        <f t="shared" si="7"/>
        <v>3.8304239932689339E-2</v>
      </c>
      <c r="C63" s="7">
        <f t="shared" si="8"/>
        <v>1.5014597525371889E-2</v>
      </c>
      <c r="D63" s="7">
        <f t="shared" si="9"/>
        <v>6.6036424301404148E-2</v>
      </c>
      <c r="E63" s="7">
        <f t="shared" si="10"/>
        <v>6.7148616710690945E-2</v>
      </c>
      <c r="F63" s="7">
        <f t="shared" si="11"/>
        <v>0.160294730988461</v>
      </c>
      <c r="G63" s="7">
        <f t="shared" si="12"/>
        <v>7.8965661059363271E-2</v>
      </c>
      <c r="H63" s="7">
        <f t="shared" si="13"/>
        <v>0.19532879188099542</v>
      </c>
      <c r="I63" s="7">
        <f t="shared" si="14"/>
        <v>3.1280411511191437E-2</v>
      </c>
      <c r="J63" s="7">
        <f t="shared" si="15"/>
        <v>0.12609481440289169</v>
      </c>
      <c r="K63" s="7">
        <f t="shared" si="16"/>
        <v>7.0624217989712218E-2</v>
      </c>
      <c r="L63" s="7">
        <f t="shared" si="17"/>
        <v>0.18921173362991797</v>
      </c>
      <c r="M63" s="7">
        <f t="shared" si="18"/>
        <v>7.599075543437743E-3</v>
      </c>
      <c r="N63" s="6">
        <v>1.3163920633061037E-2</v>
      </c>
      <c r="O63" s="7">
        <f t="shared" si="0"/>
        <v>0.13015879778045222</v>
      </c>
      <c r="P63" s="7">
        <f t="shared" si="1"/>
        <v>2.8543128880747235E-3</v>
      </c>
      <c r="Q63" s="7">
        <f t="shared" si="2"/>
        <v>0.10880470322601259</v>
      </c>
      <c r="R63" s="7">
        <f t="shared" si="3"/>
        <v>0.11317670113853003</v>
      </c>
      <c r="S63" s="7">
        <f t="shared" si="4"/>
        <v>0.4204839551404258</v>
      </c>
      <c r="T63" s="7">
        <f t="shared" si="5"/>
        <v>0.13041973310044414</v>
      </c>
      <c r="U63" s="7">
        <f t="shared" si="6"/>
        <v>3.5039885827484477E-2</v>
      </c>
      <c r="AA63" s="6" t="e">
        <f>ROUND(SUM(B63+M63+#REF!+O63+P63+Q63+R63+S63+T63+U63), 4)</f>
        <v>#REF!</v>
      </c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</row>
    <row r="64" spans="1:79">
      <c r="A64" s="6" t="s">
        <v>180</v>
      </c>
      <c r="B64" s="7">
        <f t="shared" si="7"/>
        <v>3.6672803880607584E-2</v>
      </c>
      <c r="C64" s="7">
        <f t="shared" si="8"/>
        <v>1.6775283610909967E-2</v>
      </c>
      <c r="D64" s="7">
        <f t="shared" si="9"/>
        <v>5.9256577359401402E-2</v>
      </c>
      <c r="E64" s="7">
        <f t="shared" si="10"/>
        <v>8.1945450156891142E-2</v>
      </c>
      <c r="F64" s="7">
        <f t="shared" si="11"/>
        <v>0.14663287472845765</v>
      </c>
      <c r="G64" s="7">
        <f t="shared" si="12"/>
        <v>9.2203717113202993E-2</v>
      </c>
      <c r="H64" s="7">
        <f t="shared" si="13"/>
        <v>0.19973449191407192</v>
      </c>
      <c r="I64" s="7">
        <f t="shared" si="14"/>
        <v>2.8602461984069516E-2</v>
      </c>
      <c r="J64" s="7">
        <f t="shared" si="15"/>
        <v>0.13118513154718803</v>
      </c>
      <c r="K64" s="7">
        <f t="shared" si="16"/>
        <v>6.8307989379676567E-2</v>
      </c>
      <c r="L64" s="7">
        <f t="shared" si="17"/>
        <v>0.17487328023171614</v>
      </c>
      <c r="M64" s="7">
        <f t="shared" si="18"/>
        <v>7.3381014764720464E-3</v>
      </c>
      <c r="N64" s="6">
        <v>1.2728817760152958E-2</v>
      </c>
      <c r="O64" s="7">
        <f t="shared" si="0"/>
        <v>0.1570875969266721</v>
      </c>
      <c r="P64" s="7">
        <f t="shared" si="1"/>
        <v>2.6688028892114862E-3</v>
      </c>
      <c r="Q64" s="7">
        <f t="shared" si="2"/>
        <v>0.10556155507559395</v>
      </c>
      <c r="R64" s="7">
        <f t="shared" si="3"/>
        <v>0.11110275112417237</v>
      </c>
      <c r="S64" s="7">
        <f t="shared" si="4"/>
        <v>0.38958768544418088</v>
      </c>
      <c r="T64" s="7">
        <f t="shared" si="5"/>
        <v>0.12330046383174592</v>
      </c>
      <c r="U64" s="7">
        <f t="shared" si="6"/>
        <v>5.3929292213999933E-2</v>
      </c>
      <c r="AA64" s="6" t="e">
        <f>ROUND(SUM(B64+M64+#REF!+O64+P64+Q64+R64+S64+T64+U64), 4)</f>
        <v>#REF!</v>
      </c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</row>
    <row r="65" spans="1:79">
      <c r="A65" s="6" t="s">
        <v>181</v>
      </c>
      <c r="B65" s="7">
        <f t="shared" si="7"/>
        <v>4.3068546698310763E-2</v>
      </c>
      <c r="C65" s="7">
        <f t="shared" si="8"/>
        <v>1.1692521416994674E-2</v>
      </c>
      <c r="D65" s="7">
        <f t="shared" si="9"/>
        <v>6.6450567260940036E-2</v>
      </c>
      <c r="E65" s="7">
        <f t="shared" si="10"/>
        <v>6.2746006019912023E-2</v>
      </c>
      <c r="F65" s="7">
        <f t="shared" si="11"/>
        <v>0.14667747163695299</v>
      </c>
      <c r="G65" s="7">
        <f t="shared" si="12"/>
        <v>9.6434359805510531E-2</v>
      </c>
      <c r="H65" s="7">
        <f t="shared" si="13"/>
        <v>0.18650150497800416</v>
      </c>
      <c r="I65" s="7">
        <f t="shared" si="14"/>
        <v>3.2993748552905766E-2</v>
      </c>
      <c r="J65" s="7">
        <f t="shared" si="15"/>
        <v>0.13996295438758971</v>
      </c>
      <c r="K65" s="7">
        <f t="shared" si="16"/>
        <v>6.8881685575364671E-2</v>
      </c>
      <c r="L65" s="7">
        <f t="shared" si="17"/>
        <v>0.18789071544338967</v>
      </c>
      <c r="M65" s="7">
        <f t="shared" si="18"/>
        <v>8.7154225085259562E-3</v>
      </c>
      <c r="N65" s="6">
        <v>9.9818511796733213E-3</v>
      </c>
      <c r="O65" s="7">
        <f t="shared" si="0"/>
        <v>0.12669771245088848</v>
      </c>
      <c r="P65" s="7">
        <f t="shared" si="1"/>
        <v>2.797112143754612E-3</v>
      </c>
      <c r="Q65" s="7">
        <f t="shared" si="2"/>
        <v>0.10933667058893919</v>
      </c>
      <c r="R65" s="7">
        <f t="shared" si="3"/>
        <v>0.10815998883149518</v>
      </c>
      <c r="S65" s="7">
        <f t="shared" si="4"/>
        <v>0.38115015655850504</v>
      </c>
      <c r="T65" s="7">
        <f t="shared" si="5"/>
        <v>0.13656488701860753</v>
      </c>
      <c r="U65" s="7">
        <f t="shared" si="6"/>
        <v>7.3517680141999567E-2</v>
      </c>
      <c r="AA65" s="6" t="e">
        <f>ROUND(SUM(B65+M65+#REF!+O65+P65+Q65+R65+S65+T65+U65), 4)</f>
        <v>#REF!</v>
      </c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</row>
    <row r="66" spans="1:79">
      <c r="A66" s="6" t="s">
        <v>182</v>
      </c>
      <c r="B66" s="7">
        <f t="shared" si="7"/>
        <v>4.1077927384334703E-2</v>
      </c>
      <c r="C66" s="7">
        <f t="shared" si="8"/>
        <v>1.31852879944483E-2</v>
      </c>
      <c r="D66" s="7">
        <f t="shared" si="9"/>
        <v>6.6389081656257232E-2</v>
      </c>
      <c r="E66" s="7">
        <f t="shared" si="10"/>
        <v>7.7492482072634747E-2</v>
      </c>
      <c r="F66" s="7">
        <f t="shared" si="11"/>
        <v>0.14700439509599814</v>
      </c>
      <c r="G66" s="7">
        <f t="shared" si="12"/>
        <v>8.9058524173027995E-2</v>
      </c>
      <c r="H66" s="7">
        <f t="shared" si="13"/>
        <v>0.18008327550312284</v>
      </c>
      <c r="I66" s="7">
        <f t="shared" si="14"/>
        <v>3.5392088827203329E-2</v>
      </c>
      <c r="J66" s="7">
        <f t="shared" si="15"/>
        <v>0.13705759888965996</v>
      </c>
      <c r="K66" s="7">
        <f t="shared" si="16"/>
        <v>6.4885496183206104E-2</v>
      </c>
      <c r="L66" s="7">
        <f t="shared" si="17"/>
        <v>0.18945176960444135</v>
      </c>
      <c r="M66" s="7">
        <f t="shared" si="18"/>
        <v>8.1101112705365876E-3</v>
      </c>
      <c r="N66" s="6">
        <v>1.1070040574311804E-2</v>
      </c>
      <c r="O66" s="7">
        <f t="shared" si="0"/>
        <v>0.13703569969307955</v>
      </c>
      <c r="P66" s="7">
        <f t="shared" si="1"/>
        <v>2.5038246277520691E-3</v>
      </c>
      <c r="Q66" s="7">
        <f t="shared" si="2"/>
        <v>0.10849589980900616</v>
      </c>
      <c r="R66" s="7">
        <f t="shared" si="3"/>
        <v>0.10869544560476629</v>
      </c>
      <c r="S66" s="7">
        <f t="shared" si="4"/>
        <v>0.39070116591757809</v>
      </c>
      <c r="T66" s="7">
        <f t="shared" si="5"/>
        <v>0.12960974543657769</v>
      </c>
      <c r="U66" s="7">
        <f t="shared" si="6"/>
        <v>6.2700139682057038E-2</v>
      </c>
      <c r="AA66" s="6" t="e">
        <f>ROUND(SUM(B66+M66+#REF!+O66+P66+Q66+R66+S66+T66+U66), 4)</f>
        <v>#REF!</v>
      </c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</row>
    <row r="67" spans="1:79">
      <c r="A67" s="6" t="s">
        <v>183</v>
      </c>
      <c r="B67" s="7">
        <f t="shared" si="7"/>
        <v>4.0767216987368772E-2</v>
      </c>
      <c r="C67" s="7">
        <f t="shared" si="8"/>
        <v>1.2E-2</v>
      </c>
      <c r="D67" s="7">
        <f t="shared" si="9"/>
        <v>5.9675675675675673E-2</v>
      </c>
      <c r="E67" s="7">
        <f t="shared" si="10"/>
        <v>7.2432432432432428E-2</v>
      </c>
      <c r="F67" s="7">
        <f t="shared" si="11"/>
        <v>0.14108108108108108</v>
      </c>
      <c r="G67" s="7">
        <f t="shared" si="12"/>
        <v>8.6918918918918925E-2</v>
      </c>
      <c r="H67" s="7">
        <f t="shared" si="13"/>
        <v>0.19913513513513514</v>
      </c>
      <c r="I67" s="7">
        <f t="shared" si="14"/>
        <v>4.0864864864864868E-2</v>
      </c>
      <c r="J67" s="7">
        <f t="shared" si="15"/>
        <v>0.14648648648648649</v>
      </c>
      <c r="K67" s="7">
        <f t="shared" si="16"/>
        <v>5.9351351351351354E-2</v>
      </c>
      <c r="L67" s="7">
        <f t="shared" si="17"/>
        <v>0.18194594594594596</v>
      </c>
      <c r="M67" s="7">
        <f t="shared" si="18"/>
        <v>7.9947817962256161E-3</v>
      </c>
      <c r="N67" s="6">
        <v>1.2194906962599934E-2</v>
      </c>
      <c r="O67" s="7">
        <f t="shared" si="0"/>
        <v>0.16871898386058934</v>
      </c>
      <c r="P67" s="7">
        <f t="shared" si="1"/>
        <v>2.3975530855274178E-3</v>
      </c>
      <c r="Q67" s="7">
        <f t="shared" si="2"/>
        <v>0.10726846424384526</v>
      </c>
      <c r="R67" s="7">
        <f t="shared" si="3"/>
        <v>0.10953379932833256</v>
      </c>
      <c r="S67" s="7">
        <f t="shared" si="4"/>
        <v>0.3691526589040009</v>
      </c>
      <c r="T67" s="7">
        <f t="shared" si="5"/>
        <v>0.12381775070736631</v>
      </c>
      <c r="U67" s="7">
        <f t="shared" si="6"/>
        <v>5.8145069590741214E-2</v>
      </c>
      <c r="AA67" s="6" t="e">
        <f>ROUND(SUM(B67+M67+#REF!+O67+P67+Q67+R67+S67+T67+U67), 4)</f>
        <v>#REF!</v>
      </c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</row>
    <row r="68" spans="1:79">
      <c r="A68" s="6" t="s">
        <v>184</v>
      </c>
      <c r="B68" s="7">
        <f t="shared" si="7"/>
        <v>3.9684935188439352E-2</v>
      </c>
      <c r="C68" s="7">
        <f t="shared" si="8"/>
        <v>1.0418837257762034E-2</v>
      </c>
      <c r="D68" s="7">
        <f t="shared" si="9"/>
        <v>6.4492602625546985E-2</v>
      </c>
      <c r="E68" s="7">
        <f t="shared" si="10"/>
        <v>6.6055428214211301E-2</v>
      </c>
      <c r="F68" s="7">
        <f t="shared" si="11"/>
        <v>0.14753073556991039</v>
      </c>
      <c r="G68" s="7">
        <f t="shared" si="12"/>
        <v>8.8455928318399671E-2</v>
      </c>
      <c r="H68" s="7">
        <f t="shared" si="13"/>
        <v>0.18795582413002709</v>
      </c>
      <c r="I68" s="7">
        <f t="shared" si="14"/>
        <v>3.7091060637632838E-2</v>
      </c>
      <c r="J68" s="7">
        <f t="shared" si="15"/>
        <v>0.14075849135236507</v>
      </c>
      <c r="K68" s="7">
        <f t="shared" si="16"/>
        <v>6.6159616586788914E-2</v>
      </c>
      <c r="L68" s="7">
        <f t="shared" si="17"/>
        <v>0.19045634507188997</v>
      </c>
      <c r="M68" s="7">
        <f t="shared" si="18"/>
        <v>8.2487440821980111E-3</v>
      </c>
      <c r="N68" s="6">
        <v>1.0411196791465962E-2</v>
      </c>
      <c r="O68" s="7">
        <f t="shared" si="0"/>
        <v>0.168919393851688</v>
      </c>
      <c r="P68" s="7">
        <f t="shared" si="1"/>
        <v>2.2534163031568502E-3</v>
      </c>
      <c r="Q68" s="7">
        <f t="shared" si="2"/>
        <v>0.10124247999834611</v>
      </c>
      <c r="R68" s="7">
        <f t="shared" si="3"/>
        <v>0.10741146554753882</v>
      </c>
      <c r="S68" s="7">
        <f t="shared" si="4"/>
        <v>0.39563788220214591</v>
      </c>
      <c r="T68" s="7">
        <f t="shared" si="5"/>
        <v>0.1203324305885758</v>
      </c>
      <c r="U68" s="7">
        <f t="shared" si="6"/>
        <v>4.5841516611192658E-2</v>
      </c>
      <c r="AA68" s="6" t="e">
        <f>ROUND(SUM(B68+M68+#REF!+O68+P68+Q68+R68+S68+T68+U68), 4)</f>
        <v>#REF!</v>
      </c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</row>
    <row r="69" spans="1:79">
      <c r="A69" s="6" t="s">
        <v>185</v>
      </c>
      <c r="B69" s="7">
        <f t="shared" si="7"/>
        <v>4.413253451938396E-2</v>
      </c>
      <c r="C69" s="7">
        <f t="shared" si="8"/>
        <v>9.1191125317288714E-3</v>
      </c>
      <c r="D69" s="7">
        <f t="shared" si="9"/>
        <v>5.894519131334023E-2</v>
      </c>
      <c r="E69" s="7">
        <f t="shared" si="10"/>
        <v>6.9944533233054426E-2</v>
      </c>
      <c r="F69" s="7">
        <f t="shared" si="11"/>
        <v>0.1507943969164238</v>
      </c>
      <c r="G69" s="7">
        <f t="shared" si="12"/>
        <v>9.5891698787252039E-2</v>
      </c>
      <c r="H69" s="7">
        <f t="shared" si="13"/>
        <v>0.18238225063457741</v>
      </c>
      <c r="I69" s="7">
        <f t="shared" si="14"/>
        <v>3.5630346902322085E-2</v>
      </c>
      <c r="J69" s="7">
        <f t="shared" si="15"/>
        <v>0.13443640124095141</v>
      </c>
      <c r="K69" s="7">
        <f t="shared" si="16"/>
        <v>6.9286452947259561E-2</v>
      </c>
      <c r="L69" s="7">
        <f t="shared" si="17"/>
        <v>0.19356961549309015</v>
      </c>
      <c r="M69" s="7">
        <f t="shared" si="18"/>
        <v>1.0057089750398301E-2</v>
      </c>
      <c r="N69" s="6">
        <v>9.7459174190122153E-3</v>
      </c>
      <c r="O69" s="7">
        <f t="shared" si="0"/>
        <v>0.17492448884758363</v>
      </c>
      <c r="P69" s="7">
        <f t="shared" si="1"/>
        <v>2.2279938927243759E-3</v>
      </c>
      <c r="Q69" s="7">
        <f t="shared" si="2"/>
        <v>9.9579295007966015E-2</v>
      </c>
      <c r="R69" s="7">
        <f t="shared" si="3"/>
        <v>0.11045787971322359</v>
      </c>
      <c r="S69" s="7">
        <f t="shared" si="4"/>
        <v>0.38032312134891133</v>
      </c>
      <c r="T69" s="7">
        <f t="shared" si="5"/>
        <v>0.12954311603823684</v>
      </c>
      <c r="U69" s="7">
        <f t="shared" si="6"/>
        <v>3.902515932023367E-2</v>
      </c>
      <c r="AA69" s="6" t="e">
        <f>ROUND(SUM(B69+M69+#REF!+O69+P69+Q69+R69+S69+T69+U69), 4)</f>
        <v>#REF!</v>
      </c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</row>
    <row r="70" spans="1:79">
      <c r="A70" s="6" t="s">
        <v>186</v>
      </c>
      <c r="B70" s="7">
        <f t="shared" si="7"/>
        <v>4.8030287445901147E-2</v>
      </c>
      <c r="C70" s="7">
        <f t="shared" si="8"/>
        <v>8.8954781319495919E-3</v>
      </c>
      <c r="D70" s="7">
        <f t="shared" si="9"/>
        <v>5.9879746314142161E-2</v>
      </c>
      <c r="E70" s="7">
        <f t="shared" si="10"/>
        <v>7.3799522279878099E-2</v>
      </c>
      <c r="F70" s="7">
        <f t="shared" si="11"/>
        <v>0.14866979655712051</v>
      </c>
      <c r="G70" s="7">
        <f t="shared" si="12"/>
        <v>9.3155423770694343E-2</v>
      </c>
      <c r="H70" s="7">
        <f t="shared" si="13"/>
        <v>0.18614611646487109</v>
      </c>
      <c r="I70" s="7">
        <f t="shared" si="14"/>
        <v>3.6982126678197842E-2</v>
      </c>
      <c r="J70" s="7">
        <f t="shared" si="15"/>
        <v>0.13919775965735937</v>
      </c>
      <c r="K70" s="7">
        <f t="shared" si="16"/>
        <v>6.6304258298327978E-2</v>
      </c>
      <c r="L70" s="7">
        <f t="shared" si="17"/>
        <v>0.18655794415616506</v>
      </c>
      <c r="M70" s="7">
        <f t="shared" si="18"/>
        <v>1.0807902586459264E-2</v>
      </c>
      <c r="N70" s="6">
        <v>1.1539770074927406E-2</v>
      </c>
      <c r="O70" s="7">
        <f t="shared" si="0"/>
        <v>0.15747810331595313</v>
      </c>
      <c r="P70" s="7">
        <f t="shared" si="1"/>
        <v>2.3973605297929407E-3</v>
      </c>
      <c r="Q70" s="7">
        <f t="shared" si="2"/>
        <v>9.9530022391189105E-2</v>
      </c>
      <c r="R70" s="7">
        <f t="shared" si="3"/>
        <v>0.11396165805568523</v>
      </c>
      <c r="S70" s="7">
        <f t="shared" si="4"/>
        <v>0.37566560381045822</v>
      </c>
      <c r="T70" s="7">
        <f t="shared" si="5"/>
        <v>0.13767020864157481</v>
      </c>
      <c r="U70" s="7">
        <f t="shared" si="6"/>
        <v>4.2907215026624153E-2</v>
      </c>
      <c r="AA70" s="6" t="e">
        <f>ROUND(SUM(B70+M70+#REF!+O70+P70+Q70+R70+S70+T70+U70), 4)</f>
        <v>#REF!</v>
      </c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</row>
    <row r="71" spans="1:79">
      <c r="A71" s="6" t="s">
        <v>187</v>
      </c>
      <c r="B71" s="7">
        <f t="shared" si="7"/>
        <v>5.0633906707504291E-2</v>
      </c>
      <c r="C71" s="7">
        <f t="shared" si="8"/>
        <v>7.3208607557494641E-3</v>
      </c>
      <c r="D71" s="7">
        <f t="shared" si="9"/>
        <v>5.9897951637950156E-2</v>
      </c>
      <c r="E71" s="7">
        <f t="shared" si="10"/>
        <v>7.0620424462027653E-2</v>
      </c>
      <c r="F71" s="7">
        <f t="shared" si="11"/>
        <v>0.1310360127190712</v>
      </c>
      <c r="G71" s="7">
        <f t="shared" si="12"/>
        <v>9.3988020409672413E-2</v>
      </c>
      <c r="H71" s="7">
        <f t="shared" si="13"/>
        <v>0.18745840420025142</v>
      </c>
      <c r="I71" s="7">
        <f t="shared" si="14"/>
        <v>3.7935369370701764E-2</v>
      </c>
      <c r="J71" s="7">
        <f t="shared" si="15"/>
        <v>0.15166752939436515</v>
      </c>
      <c r="K71" s="7">
        <f t="shared" si="16"/>
        <v>6.3373511794720103E-2</v>
      </c>
      <c r="L71" s="7">
        <f t="shared" si="17"/>
        <v>0.19640612290172299</v>
      </c>
      <c r="M71" s="7">
        <f t="shared" si="18"/>
        <v>1.2000419359428473E-2</v>
      </c>
      <c r="N71" s="6">
        <v>1.2045350726764867E-2</v>
      </c>
      <c r="O71" s="7">
        <f t="shared" si="0"/>
        <v>0.10802623991852445</v>
      </c>
      <c r="P71" s="7">
        <f t="shared" si="1"/>
        <v>2.4525038004448206E-3</v>
      </c>
      <c r="Q71" s="7">
        <f t="shared" si="2"/>
        <v>0.10181447838426803</v>
      </c>
      <c r="R71" s="7">
        <f t="shared" si="3"/>
        <v>0.12176774976223818</v>
      </c>
      <c r="S71" s="7">
        <f t="shared" si="4"/>
        <v>0.39731684851389504</v>
      </c>
      <c r="T71" s="7">
        <f t="shared" si="5"/>
        <v>0.15117532968390784</v>
      </c>
      <c r="U71" s="7">
        <f t="shared" si="6"/>
        <v>4.2774661704246764E-2</v>
      </c>
      <c r="AA71" s="6" t="e">
        <f>ROUND(SUM(B71+M71+#REF!+O71+P71+Q71+R71+S71+T71+U71), 4)</f>
        <v>#REF!</v>
      </c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</row>
    <row r="72" spans="1:79">
      <c r="A72" s="6" t="s">
        <v>188</v>
      </c>
      <c r="B72" s="7">
        <f t="shared" si="7"/>
        <v>5.4952918280288587E-2</v>
      </c>
      <c r="C72" s="7">
        <f t="shared" si="8"/>
        <v>8.6570794877298424E-3</v>
      </c>
      <c r="D72" s="7">
        <f t="shared" si="9"/>
        <v>5.5805966945696499E-2</v>
      </c>
      <c r="E72" s="7">
        <f t="shared" si="10"/>
        <v>7.6912069829004795E-2</v>
      </c>
      <c r="F72" s="7">
        <f t="shared" si="11"/>
        <v>0.13250339844029477</v>
      </c>
      <c r="G72" s="7">
        <f t="shared" si="12"/>
        <v>9.0505831008084708E-2</v>
      </c>
      <c r="H72" s="7">
        <f t="shared" si="13"/>
        <v>0.18609143593045718</v>
      </c>
      <c r="I72" s="7">
        <f t="shared" si="14"/>
        <v>3.4556771839450523E-2</v>
      </c>
      <c r="J72" s="7">
        <f t="shared" si="15"/>
        <v>0.14130357015096229</v>
      </c>
      <c r="K72" s="7">
        <f t="shared" si="16"/>
        <v>6.5750876439865491E-2</v>
      </c>
      <c r="L72" s="7">
        <f t="shared" si="17"/>
        <v>0.20805609215139156</v>
      </c>
      <c r="M72" s="7">
        <f t="shared" si="18"/>
        <v>1.2860484774617154E-2</v>
      </c>
      <c r="N72" s="6">
        <v>1.2604926379523875E-2</v>
      </c>
      <c r="O72" s="7">
        <f t="shared" si="0"/>
        <v>9.2803082427411587E-2</v>
      </c>
      <c r="P72" s="7">
        <f t="shared" si="1"/>
        <v>2.7521673317737719E-3</v>
      </c>
      <c r="Q72" s="7">
        <f t="shared" si="2"/>
        <v>0.10892685132398908</v>
      </c>
      <c r="R72" s="7">
        <f t="shared" si="3"/>
        <v>0.11096345514950166</v>
      </c>
      <c r="S72" s="7">
        <f t="shared" si="4"/>
        <v>0.40626707818121055</v>
      </c>
      <c r="T72" s="7">
        <f t="shared" si="5"/>
        <v>0.15870176335292616</v>
      </c>
      <c r="U72" s="7">
        <f t="shared" si="6"/>
        <v>3.9167272798757591E-2</v>
      </c>
      <c r="AA72" s="6" t="e">
        <f>ROUND(SUM(B72+M72+#REF!+O72+P72+Q72+R72+S72+T72+U72), 4)</f>
        <v>#REF!</v>
      </c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</row>
    <row r="73" spans="1:79">
      <c r="A73" s="6" t="s">
        <v>189</v>
      </c>
      <c r="B73" s="7">
        <f t="shared" si="7"/>
        <v>4.9616533294483699E-2</v>
      </c>
      <c r="C73" s="7">
        <f t="shared" si="8"/>
        <v>1.0836129753914989E-2</v>
      </c>
      <c r="D73" s="7">
        <f t="shared" si="9"/>
        <v>5.823545861297539E-2</v>
      </c>
      <c r="E73" s="7">
        <f t="shared" si="10"/>
        <v>9.2351789709172266E-2</v>
      </c>
      <c r="F73" s="7">
        <f t="shared" si="11"/>
        <v>0.1363255033557047</v>
      </c>
      <c r="G73" s="7">
        <f t="shared" si="12"/>
        <v>9.1512863534675609E-2</v>
      </c>
      <c r="H73" s="7">
        <f t="shared" si="13"/>
        <v>0.18763982102908278</v>
      </c>
      <c r="I73" s="7">
        <f t="shared" si="14"/>
        <v>3.2158836689038031E-2</v>
      </c>
      <c r="J73" s="7">
        <f t="shared" si="15"/>
        <v>0.14380592841163312</v>
      </c>
      <c r="K73" s="7">
        <f t="shared" si="16"/>
        <v>6.5645973154362422E-2</v>
      </c>
      <c r="L73" s="7">
        <f t="shared" si="17"/>
        <v>0.18127796420581654</v>
      </c>
      <c r="M73" s="7">
        <f t="shared" si="18"/>
        <v>1.1394736568259154E-2</v>
      </c>
      <c r="N73" s="6">
        <v>1.2293134367704853E-2</v>
      </c>
      <c r="O73" s="7">
        <f t="shared" si="0"/>
        <v>0.10338512128370292</v>
      </c>
      <c r="P73" s="7">
        <f t="shared" si="1"/>
        <v>2.4350395954088055E-3</v>
      </c>
      <c r="Q73" s="7">
        <f t="shared" si="2"/>
        <v>9.7311397164670424E-2</v>
      </c>
      <c r="R73" s="7">
        <f t="shared" si="3"/>
        <v>9.9555657304598477E-2</v>
      </c>
      <c r="S73" s="7">
        <f t="shared" si="4"/>
        <v>0.40907624587656222</v>
      </c>
      <c r="T73" s="7">
        <f t="shared" si="5"/>
        <v>0.14072933251471603</v>
      </c>
      <c r="U73" s="7">
        <f t="shared" si="6"/>
        <v>7.4220145616755287E-2</v>
      </c>
      <c r="AA73" s="6" t="e">
        <f>ROUND(SUM(B73+M73+#REF!+O73+P73+Q73+R73+S73+T73+U73), 4)</f>
        <v>#REF!</v>
      </c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</row>
    <row r="74" spans="1:79">
      <c r="A74" s="6" t="s">
        <v>190</v>
      </c>
      <c r="B74" s="7">
        <f t="shared" si="7"/>
        <v>4.9768130241736555E-2</v>
      </c>
      <c r="C74" s="7">
        <f t="shared" si="8"/>
        <v>1.1102299762093577E-2</v>
      </c>
      <c r="D74" s="7">
        <f t="shared" si="9"/>
        <v>5.4321966693100715E-2</v>
      </c>
      <c r="E74" s="7">
        <f t="shared" si="10"/>
        <v>9.3840867036743325E-2</v>
      </c>
      <c r="F74" s="7">
        <f t="shared" si="11"/>
        <v>0.13302934179222839</v>
      </c>
      <c r="G74" s="7">
        <f t="shared" si="12"/>
        <v>9.7739888977002379E-2</v>
      </c>
      <c r="H74" s="7">
        <f t="shared" si="13"/>
        <v>0.17492730637060533</v>
      </c>
      <c r="I74" s="7">
        <f t="shared" si="14"/>
        <v>3.191911181601903E-2</v>
      </c>
      <c r="J74" s="7">
        <f t="shared" si="15"/>
        <v>0.13421887390959555</v>
      </c>
      <c r="K74" s="7">
        <f t="shared" si="16"/>
        <v>7.2693629394660328E-2</v>
      </c>
      <c r="L74" s="7">
        <f t="shared" si="17"/>
        <v>0.19627279936558287</v>
      </c>
      <c r="M74" s="7">
        <f t="shared" si="18"/>
        <v>1.1646110837033383E-2</v>
      </c>
      <c r="N74" s="6">
        <v>1.3106396974181879E-2</v>
      </c>
      <c r="O74" s="7">
        <f t="shared" si="0"/>
        <v>0.13324124321657621</v>
      </c>
      <c r="P74" s="7">
        <f t="shared" si="1"/>
        <v>2.4864331524420327E-3</v>
      </c>
      <c r="Q74" s="7">
        <f t="shared" si="2"/>
        <v>9.8131886202927149E-2</v>
      </c>
      <c r="R74" s="7">
        <f t="shared" si="3"/>
        <v>0.10670284492682125</v>
      </c>
      <c r="S74" s="7">
        <f t="shared" si="4"/>
        <v>0.39928959052787372</v>
      </c>
      <c r="T74" s="7">
        <f t="shared" si="5"/>
        <v>0.14569643150797565</v>
      </c>
      <c r="U74" s="7">
        <f t="shared" si="6"/>
        <v>3.9927643479690841E-2</v>
      </c>
      <c r="AA74" s="6" t="e">
        <f>ROUND(SUM(B74+M74+#REF!+O74+P74+Q74+R74+S74+T74+U74), 4)</f>
        <v>#REF!</v>
      </c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</row>
    <row r="75" spans="1:79">
      <c r="A75" s="6" t="s">
        <v>191</v>
      </c>
      <c r="B75" s="7">
        <f t="shared" si="7"/>
        <v>5.507415078572845E-2</v>
      </c>
      <c r="C75" s="7">
        <f t="shared" si="8"/>
        <v>8.5606328964458606E-3</v>
      </c>
      <c r="D75" s="7">
        <f t="shared" si="9"/>
        <v>6.0750974140984765E-2</v>
      </c>
      <c r="E75" s="7">
        <f t="shared" si="10"/>
        <v>8.7200377848624389E-2</v>
      </c>
      <c r="F75" s="7">
        <f t="shared" si="11"/>
        <v>0.12008501594048884</v>
      </c>
      <c r="G75" s="7">
        <f t="shared" si="12"/>
        <v>0.11311843192820877</v>
      </c>
      <c r="H75" s="7">
        <f t="shared" si="13"/>
        <v>0.16566300625811783</v>
      </c>
      <c r="I75" s="7">
        <f t="shared" si="14"/>
        <v>2.8633841067422363E-2</v>
      </c>
      <c r="J75" s="7">
        <f t="shared" si="15"/>
        <v>0.12581178415397332</v>
      </c>
      <c r="K75" s="7">
        <f t="shared" si="16"/>
        <v>7.3090093281379151E-2</v>
      </c>
      <c r="L75" s="7">
        <f t="shared" si="17"/>
        <v>0.2171448813319164</v>
      </c>
      <c r="M75" s="7">
        <f t="shared" si="18"/>
        <v>1.2349251663962491E-2</v>
      </c>
      <c r="N75" s="6">
        <v>1.0203252164695706E-2</v>
      </c>
      <c r="O75" s="7">
        <f t="shared" si="0"/>
        <v>0.12613924935538728</v>
      </c>
      <c r="P75" s="7">
        <f t="shared" si="1"/>
        <v>2.3573479348006333E-3</v>
      </c>
      <c r="Q75" s="7">
        <f t="shared" si="2"/>
        <v>0.10087498252311014</v>
      </c>
      <c r="R75" s="7">
        <f t="shared" si="3"/>
        <v>0.10497839368685966</v>
      </c>
      <c r="S75" s="7">
        <f t="shared" si="4"/>
        <v>0.4008662034342495</v>
      </c>
      <c r="T75" s="7">
        <f t="shared" si="5"/>
        <v>0.15057112850310031</v>
      </c>
      <c r="U75" s="7">
        <f t="shared" si="6"/>
        <v>3.6582788433713001E-2</v>
      </c>
      <c r="AA75" s="6" t="e">
        <f>ROUND(SUM(B75+M75+#REF!+O75+P75+Q75+R75+S75+T75+U75), 4)</f>
        <v>#REF!</v>
      </c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</row>
    <row r="76" spans="1:79">
      <c r="A76" s="6" t="s">
        <v>192</v>
      </c>
      <c r="B76" s="7">
        <f t="shared" si="7"/>
        <v>5.9968733289509982E-2</v>
      </c>
      <c r="C76" s="7">
        <f t="shared" si="8"/>
        <v>8.9169080479354797E-3</v>
      </c>
      <c r="D76" s="7">
        <f t="shared" si="9"/>
        <v>5.1400011359118529E-2</v>
      </c>
      <c r="E76" s="7">
        <f t="shared" si="10"/>
        <v>9.0248196739932979E-2</v>
      </c>
      <c r="F76" s="7">
        <f t="shared" si="11"/>
        <v>0.10688930538990174</v>
      </c>
      <c r="G76" s="7">
        <f t="shared" si="12"/>
        <v>0.11858919747827569</v>
      </c>
      <c r="H76" s="7">
        <f t="shared" si="13"/>
        <v>0.17646390640086329</v>
      </c>
      <c r="I76" s="7">
        <f t="shared" si="14"/>
        <v>2.7773044811722609E-2</v>
      </c>
      <c r="J76" s="7">
        <f t="shared" si="15"/>
        <v>0.12540466859771682</v>
      </c>
      <c r="K76" s="7">
        <f t="shared" si="16"/>
        <v>7.6958028057022773E-2</v>
      </c>
      <c r="L76" s="7">
        <f t="shared" si="17"/>
        <v>0.21718634633952405</v>
      </c>
      <c r="M76" s="7">
        <f t="shared" si="18"/>
        <v>1.1835710125577737E-2</v>
      </c>
      <c r="N76" s="6">
        <v>1.1093210900433579E-2</v>
      </c>
      <c r="O76" s="7">
        <f t="shared" si="0"/>
        <v>7.8704917865280666E-2</v>
      </c>
      <c r="P76" s="7">
        <f t="shared" si="1"/>
        <v>2.6089651672496533E-3</v>
      </c>
      <c r="Q76" s="7">
        <f t="shared" si="2"/>
        <v>0.11338780598290889</v>
      </c>
      <c r="R76" s="7">
        <f t="shared" si="3"/>
        <v>0.11716160938410029</v>
      </c>
      <c r="S76" s="7">
        <f t="shared" si="4"/>
        <v>0.40785005602803787</v>
      </c>
      <c r="T76" s="7">
        <f t="shared" si="5"/>
        <v>0.15680357489535188</v>
      </c>
      <c r="U76" s="7">
        <f t="shared" si="6"/>
        <v>4.0578604442052704E-2</v>
      </c>
      <c r="AA76" s="6" t="e">
        <f>ROUND(SUM(B76+M76+#REF!+O76+P76+Q76+R76+S76+T76+U76), 4)</f>
        <v>#REF!</v>
      </c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</row>
    <row r="77" spans="1:79">
      <c r="A77" s="6" t="s">
        <v>193</v>
      </c>
      <c r="B77" s="7">
        <f t="shared" si="7"/>
        <v>4.9692036555896726E-2</v>
      </c>
      <c r="C77" s="7">
        <f t="shared" si="8"/>
        <v>9.5063985374771488E-3</v>
      </c>
      <c r="D77" s="7">
        <f t="shared" si="9"/>
        <v>5.8866544789762339E-2</v>
      </c>
      <c r="E77" s="7">
        <f t="shared" si="10"/>
        <v>8.762949421084705E-2</v>
      </c>
      <c r="F77" s="7">
        <f t="shared" si="11"/>
        <v>0.11419865935405241</v>
      </c>
      <c r="G77" s="7">
        <f t="shared" si="12"/>
        <v>0.10524070688604509</v>
      </c>
      <c r="H77" s="7">
        <f t="shared" si="13"/>
        <v>0.17288238878732481</v>
      </c>
      <c r="I77" s="7">
        <f t="shared" si="14"/>
        <v>2.9920780012187689E-2</v>
      </c>
      <c r="J77" s="7">
        <f t="shared" si="15"/>
        <v>0.13187081048141377</v>
      </c>
      <c r="K77" s="7">
        <f t="shared" si="16"/>
        <v>7.4344911639244365E-2</v>
      </c>
      <c r="L77" s="7">
        <f t="shared" si="17"/>
        <v>0.2154174283973187</v>
      </c>
      <c r="M77" s="7">
        <f t="shared" si="18"/>
        <v>1.0444109328536734E-2</v>
      </c>
      <c r="N77" s="6">
        <v>1.2860577650998989E-2</v>
      </c>
      <c r="O77" s="7">
        <f t="shared" si="0"/>
        <v>0.10462883894450602</v>
      </c>
      <c r="P77" s="7">
        <f t="shared" si="1"/>
        <v>2.516397463616708E-3</v>
      </c>
      <c r="Q77" s="7">
        <f t="shared" si="2"/>
        <v>0.11210535559633472</v>
      </c>
      <c r="R77" s="7">
        <f t="shared" si="3"/>
        <v>0.11197211674146211</v>
      </c>
      <c r="S77" s="7">
        <f t="shared" si="4"/>
        <v>0.4100274350914806</v>
      </c>
      <c r="T77" s="7">
        <f t="shared" si="5"/>
        <v>0.15180447803678604</v>
      </c>
      <c r="U77" s="7">
        <f t="shared" si="6"/>
        <v>3.3948654590381364E-2</v>
      </c>
      <c r="AA77" s="6" t="e">
        <f>ROUND(SUM(B77+M77+#REF!+O77+P77+Q77+R77+S77+T77+U77), 4)</f>
        <v>#REF!</v>
      </c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</row>
    <row r="78" spans="1:79">
      <c r="A78" s="6" t="s">
        <v>194</v>
      </c>
      <c r="B78" s="7">
        <f t="shared" si="7"/>
        <v>4.6805530908724656E-2</v>
      </c>
      <c r="C78" s="7">
        <f t="shared" si="8"/>
        <v>8.5562045291525772E-3</v>
      </c>
      <c r="D78" s="7">
        <f t="shared" si="9"/>
        <v>5.4821190695768011E-2</v>
      </c>
      <c r="E78" s="7">
        <f t="shared" si="10"/>
        <v>9.2683676606209658E-2</v>
      </c>
      <c r="F78" s="7">
        <f t="shared" si="11"/>
        <v>0.12547392150835127</v>
      </c>
      <c r="G78" s="7">
        <f t="shared" si="12"/>
        <v>0.10303309765344811</v>
      </c>
      <c r="H78" s="7">
        <f t="shared" si="13"/>
        <v>0.162055538477303</v>
      </c>
      <c r="I78" s="7">
        <f t="shared" si="14"/>
        <v>2.8947638077671891E-2</v>
      </c>
      <c r="J78" s="7">
        <f t="shared" si="15"/>
        <v>0.13146838815452402</v>
      </c>
      <c r="K78" s="7">
        <f t="shared" si="16"/>
        <v>8.5049697714929803E-2</v>
      </c>
      <c r="L78" s="7">
        <f t="shared" si="17"/>
        <v>0.20816682037093964</v>
      </c>
      <c r="M78" s="7">
        <f t="shared" si="18"/>
        <v>9.2325696279634151E-3</v>
      </c>
      <c r="N78" s="6">
        <v>1.1158219864652928E-2</v>
      </c>
      <c r="O78" s="7">
        <f t="shared" si="0"/>
        <v>0.15780739660721052</v>
      </c>
      <c r="P78" s="7">
        <f t="shared" si="1"/>
        <v>2.6234886163615523E-3</v>
      </c>
      <c r="Q78" s="7">
        <f t="shared" si="2"/>
        <v>0.12324401321816203</v>
      </c>
      <c r="R78" s="7">
        <f t="shared" si="3"/>
        <v>0.10556544093313701</v>
      </c>
      <c r="S78" s="7">
        <f t="shared" si="4"/>
        <v>0.37625718821492465</v>
      </c>
      <c r="T78" s="7">
        <f t="shared" si="5"/>
        <v>0.13783147323034423</v>
      </c>
      <c r="U78" s="7">
        <f t="shared" si="6"/>
        <v>2.9477076848552285E-2</v>
      </c>
      <c r="AA78" s="6" t="e">
        <f>ROUND(SUM(B78+M78+#REF!+O78+P78+Q78+R78+S78+T78+U78), 4)</f>
        <v>#REF!</v>
      </c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</row>
    <row r="79" spans="1:79">
      <c r="A79" s="6" t="s">
        <v>195</v>
      </c>
      <c r="B79" s="7">
        <f t="shared" si="7"/>
        <v>4.7560943197001951E-2</v>
      </c>
      <c r="C79" s="7">
        <f t="shared" si="8"/>
        <v>1.0770168664905507E-2</v>
      </c>
      <c r="D79" s="7">
        <f t="shared" si="9"/>
        <v>5.2580776264986792E-2</v>
      </c>
      <c r="E79" s="7">
        <f t="shared" si="10"/>
        <v>0.10333265596423491</v>
      </c>
      <c r="F79" s="7">
        <f t="shared" si="11"/>
        <v>0.11328998171103434</v>
      </c>
      <c r="G79" s="7">
        <f t="shared" si="12"/>
        <v>0.10851452956716115</v>
      </c>
      <c r="H79" s="7">
        <f t="shared" si="13"/>
        <v>0.17100182889656573</v>
      </c>
      <c r="I79" s="7">
        <f t="shared" si="14"/>
        <v>3.1040438935175777E-2</v>
      </c>
      <c r="J79" s="7">
        <f t="shared" si="15"/>
        <v>0.13117252590936801</v>
      </c>
      <c r="K79" s="7">
        <f t="shared" si="16"/>
        <v>7.3054257264783581E-2</v>
      </c>
      <c r="L79" s="7">
        <f t="shared" si="17"/>
        <v>0.20498882340987604</v>
      </c>
      <c r="M79" s="7">
        <f t="shared" si="18"/>
        <v>8.5002742413662295E-3</v>
      </c>
      <c r="N79" s="6">
        <v>9.4981745431525436E-3</v>
      </c>
      <c r="O79" s="7">
        <f t="shared" si="0"/>
        <v>0.14654637095312767</v>
      </c>
      <c r="P79" s="7">
        <f t="shared" si="1"/>
        <v>2.3872288091159278E-3</v>
      </c>
      <c r="Q79" s="7">
        <f t="shared" si="2"/>
        <v>0.10348926834336469</v>
      </c>
      <c r="R79" s="7">
        <f t="shared" si="3"/>
        <v>9.8195322674566113E-2</v>
      </c>
      <c r="S79" s="7">
        <f t="shared" si="4"/>
        <v>0.41886442328369605</v>
      </c>
      <c r="T79" s="7">
        <f t="shared" si="5"/>
        <v>0.13457881600216492</v>
      </c>
      <c r="U79" s="7">
        <f t="shared" si="6"/>
        <v>3.0384010399425905E-2</v>
      </c>
      <c r="AA79" s="6" t="e">
        <f>ROUND(SUM(B79+M79+#REF!+O79+P79+Q79+R79+S79+T79+U79), 4)</f>
        <v>#REF!</v>
      </c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</row>
    <row r="80" spans="1:79">
      <c r="A80" s="6" t="s">
        <v>275</v>
      </c>
      <c r="B80" s="7">
        <f t="shared" si="7"/>
        <v>5.1883808549234849E-2</v>
      </c>
      <c r="C80" s="7">
        <f t="shared" si="8"/>
        <v>9.0098166659195837E-3</v>
      </c>
      <c r="D80" s="7">
        <f t="shared" si="9"/>
        <v>5.6120848088215519E-2</v>
      </c>
      <c r="E80" s="7">
        <f t="shared" si="10"/>
        <v>8.6736294768927344E-2</v>
      </c>
      <c r="F80" s="7">
        <f t="shared" si="11"/>
        <v>0.10829709982518267</v>
      </c>
      <c r="G80" s="7">
        <f t="shared" si="12"/>
        <v>0.11327267022278005</v>
      </c>
      <c r="H80" s="7">
        <f t="shared" si="13"/>
        <v>0.17540006275494197</v>
      </c>
      <c r="I80" s="7">
        <f t="shared" si="14"/>
        <v>3.0839571473396388E-2</v>
      </c>
      <c r="J80" s="7">
        <f t="shared" si="15"/>
        <v>0.14568111524496841</v>
      </c>
      <c r="K80" s="7">
        <f t="shared" si="16"/>
        <v>7.38267067102963E-2</v>
      </c>
      <c r="L80" s="7">
        <f t="shared" si="17"/>
        <v>0.20086063920390873</v>
      </c>
      <c r="M80" s="7">
        <f t="shared" si="18"/>
        <v>7.7887343597376618E-3</v>
      </c>
      <c r="N80" s="6">
        <v>9.5795153262942471E-3</v>
      </c>
      <c r="O80" s="7">
        <f t="shared" si="0"/>
        <v>0.13201311688915762</v>
      </c>
      <c r="P80" s="7">
        <f t="shared" si="1"/>
        <v>2.9233917856644493E-3</v>
      </c>
      <c r="Q80" s="7">
        <f t="shared" si="2"/>
        <v>0.10471417275222103</v>
      </c>
      <c r="R80" s="7">
        <f t="shared" si="3"/>
        <v>0.1014419275315131</v>
      </c>
      <c r="S80" s="7">
        <f t="shared" si="4"/>
        <v>0.42030559560909808</v>
      </c>
      <c r="T80" s="7">
        <f t="shared" si="5"/>
        <v>0.13794595097446394</v>
      </c>
      <c r="U80" s="7">
        <f t="shared" si="6"/>
        <v>3.1415414670449789E-2</v>
      </c>
      <c r="AA80" s="6" t="e">
        <f>ROUND(SUM(B80+M80+#REF!+O80+P80+Q80+R80+S80+T80+U80), 4)</f>
        <v>#REF!</v>
      </c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</row>
    <row r="81" spans="71:79">
      <c r="BS81"/>
      <c r="BT81"/>
      <c r="BU81"/>
      <c r="BV81"/>
      <c r="BW81"/>
      <c r="BX81"/>
      <c r="BY81"/>
      <c r="BZ81"/>
      <c r="CA81"/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7BC2-9A70-44C8-8193-F9EBC3400639}">
  <dimension ref="A1:CA39"/>
  <sheetViews>
    <sheetView topLeftCell="AY19" workbookViewId="0">
      <selection activeCell="CA4" sqref="CA4:CA39"/>
    </sheetView>
  </sheetViews>
  <sheetFormatPr defaultRowHeight="15"/>
  <cols>
    <col min="1" max="79" width="9.140625" style="6"/>
  </cols>
  <sheetData>
    <row r="1" spans="1:79">
      <c r="A1" s="8" t="s">
        <v>196</v>
      </c>
      <c r="B1" s="8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8" t="s">
        <v>12</v>
      </c>
      <c r="N1" s="6" t="s">
        <v>13</v>
      </c>
      <c r="O1" s="6" t="s">
        <v>14</v>
      </c>
      <c r="P1" s="8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8" t="s">
        <v>25</v>
      </c>
      <c r="AA1" s="6" t="s">
        <v>26</v>
      </c>
      <c r="AB1" s="6" t="s">
        <v>27</v>
      </c>
      <c r="AC1" s="6" t="s">
        <v>28</v>
      </c>
      <c r="AD1" s="8" t="s">
        <v>29</v>
      </c>
      <c r="AE1" s="6" t="s">
        <v>30</v>
      </c>
      <c r="AF1" s="6" t="s">
        <v>31</v>
      </c>
      <c r="AG1" s="6" t="s">
        <v>32</v>
      </c>
      <c r="AH1" s="8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8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8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8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8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8" t="s">
        <v>78</v>
      </c>
    </row>
    <row r="2" spans="1:79">
      <c r="A2" s="6" t="s">
        <v>79</v>
      </c>
      <c r="B2" s="6" t="s">
        <v>80</v>
      </c>
      <c r="C2" s="6" t="s">
        <v>80</v>
      </c>
      <c r="D2" s="6" t="s">
        <v>80</v>
      </c>
      <c r="E2" s="6" t="s">
        <v>80</v>
      </c>
      <c r="F2" s="6" t="s">
        <v>80</v>
      </c>
      <c r="G2" s="6" t="s">
        <v>80</v>
      </c>
      <c r="H2" s="6" t="s">
        <v>80</v>
      </c>
      <c r="I2" s="6" t="s">
        <v>80</v>
      </c>
      <c r="J2" s="6" t="s">
        <v>80</v>
      </c>
      <c r="K2" s="6" t="s">
        <v>80</v>
      </c>
      <c r="L2" s="6" t="s">
        <v>80</v>
      </c>
      <c r="M2" s="6" t="s">
        <v>80</v>
      </c>
      <c r="N2" s="6" t="s">
        <v>80</v>
      </c>
      <c r="O2" s="6" t="s">
        <v>80</v>
      </c>
      <c r="P2" s="6" t="s">
        <v>80</v>
      </c>
      <c r="Q2" s="6" t="s">
        <v>80</v>
      </c>
      <c r="R2" s="6" t="s">
        <v>80</v>
      </c>
      <c r="S2" s="6" t="s">
        <v>80</v>
      </c>
      <c r="T2" s="6" t="s">
        <v>80</v>
      </c>
      <c r="U2" s="6" t="s">
        <v>80</v>
      </c>
      <c r="V2" s="6" t="s">
        <v>80</v>
      </c>
      <c r="W2" s="6" t="s">
        <v>80</v>
      </c>
      <c r="X2" s="6" t="s">
        <v>80</v>
      </c>
      <c r="Y2" s="6" t="s">
        <v>80</v>
      </c>
      <c r="Z2" s="6" t="s">
        <v>80</v>
      </c>
      <c r="AA2" s="6" t="s">
        <v>80</v>
      </c>
      <c r="AB2" s="6" t="s">
        <v>80</v>
      </c>
      <c r="AC2" s="6" t="s">
        <v>80</v>
      </c>
      <c r="AD2" s="6" t="s">
        <v>80</v>
      </c>
      <c r="AE2" s="6" t="s">
        <v>80</v>
      </c>
      <c r="AF2" s="6" t="s">
        <v>80</v>
      </c>
      <c r="AG2" s="6" t="s">
        <v>80</v>
      </c>
      <c r="AH2" s="6" t="s">
        <v>80</v>
      </c>
      <c r="AI2" s="6" t="s">
        <v>80</v>
      </c>
      <c r="AJ2" s="6" t="s">
        <v>80</v>
      </c>
      <c r="AK2" s="6" t="s">
        <v>80</v>
      </c>
      <c r="AL2" s="6" t="s">
        <v>80</v>
      </c>
      <c r="AM2" s="6" t="s">
        <v>80</v>
      </c>
      <c r="AN2" s="6" t="s">
        <v>80</v>
      </c>
      <c r="AO2" s="6" t="s">
        <v>80</v>
      </c>
      <c r="AP2" s="6" t="s">
        <v>80</v>
      </c>
      <c r="AQ2" s="6" t="s">
        <v>80</v>
      </c>
      <c r="AR2" s="6" t="s">
        <v>80</v>
      </c>
      <c r="AS2" s="6" t="s">
        <v>80</v>
      </c>
      <c r="AT2" s="6" t="s">
        <v>80</v>
      </c>
      <c r="AU2" s="6" t="s">
        <v>80</v>
      </c>
      <c r="AV2" s="6" t="s">
        <v>80</v>
      </c>
      <c r="AW2" s="6" t="s">
        <v>80</v>
      </c>
      <c r="AX2" s="6" t="s">
        <v>80</v>
      </c>
      <c r="AY2" s="6" t="s">
        <v>80</v>
      </c>
      <c r="AZ2" s="6" t="s">
        <v>80</v>
      </c>
      <c r="BA2" s="6" t="s">
        <v>80</v>
      </c>
      <c r="BB2" s="6" t="s">
        <v>80</v>
      </c>
      <c r="BC2" s="6" t="s">
        <v>80</v>
      </c>
      <c r="BD2" s="6" t="s">
        <v>80</v>
      </c>
      <c r="BE2" s="6" t="s">
        <v>80</v>
      </c>
      <c r="BF2" s="6" t="s">
        <v>80</v>
      </c>
      <c r="BG2" s="6" t="s">
        <v>80</v>
      </c>
      <c r="BH2" s="6" t="s">
        <v>80</v>
      </c>
      <c r="BI2" s="6" t="s">
        <v>80</v>
      </c>
      <c r="BJ2" s="6" t="s">
        <v>80</v>
      </c>
      <c r="BK2" s="6" t="s">
        <v>80</v>
      </c>
      <c r="BL2" s="6" t="s">
        <v>80</v>
      </c>
      <c r="BM2" s="6" t="s">
        <v>80</v>
      </c>
      <c r="BN2" s="6" t="s">
        <v>80</v>
      </c>
      <c r="BO2" s="6" t="s">
        <v>80</v>
      </c>
      <c r="BP2" s="6" t="s">
        <v>80</v>
      </c>
      <c r="BQ2" s="6" t="s">
        <v>80</v>
      </c>
      <c r="BR2" s="6" t="s">
        <v>80</v>
      </c>
      <c r="BS2" s="6" t="s">
        <v>80</v>
      </c>
      <c r="BT2" s="6" t="s">
        <v>80</v>
      </c>
      <c r="BU2" s="6" t="s">
        <v>80</v>
      </c>
      <c r="BV2" s="6" t="s">
        <v>80</v>
      </c>
      <c r="BW2" s="6" t="s">
        <v>80</v>
      </c>
      <c r="BX2" s="6" t="s">
        <v>80</v>
      </c>
      <c r="BY2" s="6" t="s">
        <v>80</v>
      </c>
      <c r="BZ2" s="6" t="s">
        <v>80</v>
      </c>
      <c r="CA2" s="6" t="s">
        <v>80</v>
      </c>
    </row>
    <row r="3" spans="1:79">
      <c r="A3" s="6" t="s">
        <v>81</v>
      </c>
      <c r="B3" s="6" t="s">
        <v>197</v>
      </c>
      <c r="C3" s="6" t="s">
        <v>198</v>
      </c>
      <c r="D3" s="6" t="s">
        <v>199</v>
      </c>
      <c r="E3" s="6" t="s">
        <v>200</v>
      </c>
      <c r="F3" s="6" t="s">
        <v>201</v>
      </c>
      <c r="G3" s="6" t="s">
        <v>202</v>
      </c>
      <c r="H3" s="6" t="s">
        <v>203</v>
      </c>
      <c r="I3" s="6" t="s">
        <v>204</v>
      </c>
      <c r="J3" s="6" t="s">
        <v>205</v>
      </c>
      <c r="K3" s="6" t="s">
        <v>206</v>
      </c>
      <c r="L3" s="6" t="s">
        <v>207</v>
      </c>
      <c r="M3" s="6" t="s">
        <v>208</v>
      </c>
      <c r="N3" s="6" t="s">
        <v>209</v>
      </c>
      <c r="O3" s="6" t="s">
        <v>210</v>
      </c>
      <c r="P3" s="6" t="s">
        <v>211</v>
      </c>
      <c r="Q3" s="6" t="s">
        <v>212</v>
      </c>
      <c r="R3" s="6" t="s">
        <v>213</v>
      </c>
      <c r="S3" s="6" t="s">
        <v>214</v>
      </c>
      <c r="T3" s="6" t="s">
        <v>215</v>
      </c>
      <c r="U3" s="6" t="s">
        <v>216</v>
      </c>
      <c r="V3" s="6" t="s">
        <v>217</v>
      </c>
      <c r="W3" s="6" t="s">
        <v>218</v>
      </c>
      <c r="X3" s="6" t="s">
        <v>219</v>
      </c>
      <c r="Y3" s="6" t="s">
        <v>220</v>
      </c>
      <c r="Z3" s="6" t="s">
        <v>221</v>
      </c>
      <c r="AA3" s="6" t="s">
        <v>222</v>
      </c>
      <c r="AB3" s="6" t="s">
        <v>223</v>
      </c>
      <c r="AC3" s="6" t="s">
        <v>224</v>
      </c>
      <c r="AD3" s="6" t="s">
        <v>225</v>
      </c>
      <c r="AE3" s="6" t="s">
        <v>226</v>
      </c>
      <c r="AF3" s="6" t="s">
        <v>227</v>
      </c>
      <c r="AG3" s="6" t="s">
        <v>228</v>
      </c>
      <c r="AH3" s="6" t="s">
        <v>229</v>
      </c>
      <c r="AI3" s="6" t="s">
        <v>230</v>
      </c>
      <c r="AJ3" s="6" t="s">
        <v>231</v>
      </c>
      <c r="AK3" s="6" t="s">
        <v>232</v>
      </c>
      <c r="AL3" s="6" t="s">
        <v>233</v>
      </c>
      <c r="AM3" s="6" t="s">
        <v>234</v>
      </c>
      <c r="AN3" s="6" t="s">
        <v>235</v>
      </c>
      <c r="AO3" s="6" t="s">
        <v>236</v>
      </c>
      <c r="AP3" s="6" t="s">
        <v>237</v>
      </c>
      <c r="AQ3" s="6" t="s">
        <v>238</v>
      </c>
      <c r="AR3" s="6" t="s">
        <v>239</v>
      </c>
      <c r="AS3" s="6" t="s">
        <v>240</v>
      </c>
      <c r="AT3" s="6" t="s">
        <v>241</v>
      </c>
      <c r="AU3" s="6" t="s">
        <v>242</v>
      </c>
      <c r="AV3" s="6" t="s">
        <v>243</v>
      </c>
      <c r="AW3" s="6" t="s">
        <v>244</v>
      </c>
      <c r="AX3" s="6" t="s">
        <v>245</v>
      </c>
      <c r="AY3" s="6" t="s">
        <v>246</v>
      </c>
      <c r="AZ3" s="6" t="s">
        <v>247</v>
      </c>
      <c r="BA3" s="6" t="s">
        <v>248</v>
      </c>
      <c r="BB3" s="6" t="s">
        <v>249</v>
      </c>
      <c r="BC3" s="6" t="s">
        <v>250</v>
      </c>
      <c r="BD3" s="6" t="s">
        <v>251</v>
      </c>
      <c r="BE3" s="6" t="s">
        <v>252</v>
      </c>
      <c r="BF3" s="6" t="s">
        <v>253</v>
      </c>
      <c r="BG3" s="6" t="s">
        <v>254</v>
      </c>
      <c r="BH3" s="6" t="s">
        <v>255</v>
      </c>
      <c r="BI3" s="6" t="s">
        <v>256</v>
      </c>
      <c r="BJ3" s="6" t="s">
        <v>257</v>
      </c>
      <c r="BK3" s="6" t="s">
        <v>258</v>
      </c>
      <c r="BL3" s="6" t="s">
        <v>259</v>
      </c>
      <c r="BM3" s="6" t="s">
        <v>260</v>
      </c>
      <c r="BN3" s="6" t="s">
        <v>261</v>
      </c>
      <c r="BO3" s="6" t="s">
        <v>262</v>
      </c>
      <c r="BP3" s="6" t="s">
        <v>263</v>
      </c>
      <c r="BQ3" s="6" t="s">
        <v>264</v>
      </c>
      <c r="BR3" s="6" t="s">
        <v>265</v>
      </c>
      <c r="BS3" s="6" t="s">
        <v>266</v>
      </c>
      <c r="BT3" s="6" t="s">
        <v>267</v>
      </c>
      <c r="BU3" s="6" t="s">
        <v>268</v>
      </c>
      <c r="BV3" s="6" t="s">
        <v>269</v>
      </c>
      <c r="BW3" s="6" t="s">
        <v>270</v>
      </c>
      <c r="BX3" s="6" t="s">
        <v>271</v>
      </c>
      <c r="BY3" s="6" t="s">
        <v>272</v>
      </c>
      <c r="BZ3" s="6" t="s">
        <v>273</v>
      </c>
      <c r="CA3" s="6" t="s">
        <v>274</v>
      </c>
    </row>
    <row r="4" spans="1:79">
      <c r="A4" s="6" t="s">
        <v>161</v>
      </c>
      <c r="B4" s="6" cm="1">
        <f t="array" aca="1" ref="B4" ca="1">IFERROR( INDIRECT(ADDRESS(ROW()+1, COLUMN(), 4, TRUE, "Export-dataset")) / INDIRECT(ADDRESS(ROW(), COLUMN(), 4, TRUE, "Export-dataset")), "" )</f>
        <v>1.2001770359129995</v>
      </c>
      <c r="C4" s="6" cm="1">
        <f t="array" aca="1" ref="C4" ca="1">IFERROR( INDIRECT(ADDRESS(ROW()+1, COLUMN(), 4, TRUE, "Export-dataset")) / INDIRECT(ADDRESS(ROW(), COLUMN(), 4, TRUE, "Export-dataset")), "" )</f>
        <v>0.75776397515527949</v>
      </c>
      <c r="D4" s="6" cm="1">
        <f t="array" aca="1" ref="D4" ca="1">IFERROR( INDIRECT(ADDRESS(ROW()+1, COLUMN(), 4, TRUE, "Export-dataset")) / INDIRECT(ADDRESS(ROW(), COLUMN(), 4, TRUE, "Export-dataset")), "" )</f>
        <v>1.0891456871646719</v>
      </c>
      <c r="E4" s="6" cm="1">
        <f t="array" aca="1" ref="E4" ca="1">IFERROR( INDIRECT(ADDRESS(ROW()+1, COLUMN(), 4, TRUE, "Export-dataset")) / INDIRECT(ADDRESS(ROW(), COLUMN(), 4, TRUE, "Export-dataset")), "" )</f>
        <v>1.2892249527410209</v>
      </c>
      <c r="F4" s="6" cm="1">
        <f t="array" aca="1" ref="F4" ca="1">IFERROR( INDIRECT(ADDRESS(ROW()+1, COLUMN(), 4, TRUE, "Export-dataset")) / INDIRECT(ADDRESS(ROW(), COLUMN(), 4, TRUE, "Export-dataset")), "" )</f>
        <v>0.97435897435897434</v>
      </c>
      <c r="G4" s="6" cm="1">
        <f t="array" aca="1" ref="G4" ca="1">IFERROR( INDIRECT(ADDRESS(ROW()+1, COLUMN(), 4, TRUE, "Export-dataset")) / INDIRECT(ADDRESS(ROW(), COLUMN(), 4, TRUE, "Export-dataset")), "" )</f>
        <v>1.5475615644616127</v>
      </c>
      <c r="H4" s="6" cm="1">
        <f t="array" aca="1" ref="H4" ca="1">IFERROR( INDIRECT(ADDRESS(ROW()+1, COLUMN(), 4, TRUE, "Export-dataset")) / INDIRECT(ADDRESS(ROW(), COLUMN(), 4, TRUE, "Export-dataset")), "" )</f>
        <v>0.85099337748344372</v>
      </c>
      <c r="I4" s="6" cm="1">
        <f t="array" aca="1" ref="I4" ca="1">IFERROR( INDIRECT(ADDRESS(ROW()+1, COLUMN(), 4, TRUE, "Export-dataset")) / INDIRECT(ADDRESS(ROW(), COLUMN(), 4, TRUE, "Export-dataset")), "" )</f>
        <v>1.3131548311990686</v>
      </c>
      <c r="J4" s="6" cm="1">
        <f t="array" aca="1" ref="J4" ca="1">IFERROR( INDIRECT(ADDRESS(ROW()+1, COLUMN(), 4, TRUE, "Export-dataset")) / INDIRECT(ADDRESS(ROW(), COLUMN(), 4, TRUE, "Export-dataset")), "" )</f>
        <v>0.95588235294117652</v>
      </c>
      <c r="K4" s="6" cm="1">
        <f t="array" aca="1" ref="K4" ca="1">IFERROR( INDIRECT(ADDRESS(ROW()+1, COLUMN(), 4, TRUE, "Export-dataset")) / INDIRECT(ADDRESS(ROW(), COLUMN(), 4, TRUE, "Export-dataset")), "" )</f>
        <v>0.97802197802197799</v>
      </c>
      <c r="L4" s="6" cm="1">
        <f t="array" aca="1" ref="L4" ca="1">IFERROR( INDIRECT(ADDRESS(ROW()+1, COLUMN(), 4, TRUE, "Export-dataset")) / INDIRECT(ADDRESS(ROW(), COLUMN(), 4, TRUE, "Export-dataset")), "" )</f>
        <v>1.0659340659340659</v>
      </c>
      <c r="M4" s="6" cm="1">
        <f t="array" aca="1" ref="M4" ca="1">IFERROR( INDIRECT(ADDRESS(ROW()+1, COLUMN(), 4, TRUE, "Export-dataset")) / INDIRECT(ADDRESS(ROW(), COLUMN(), 4, TRUE, "Export-dataset")), "" )</f>
        <v>0.83150183150183155</v>
      </c>
      <c r="N4" s="6" cm="1">
        <f t="array" aca="1" ref="N4" ca="1">IFERROR( INDIRECT(ADDRESS(ROW()+1, COLUMN(), 4, TRUE, "Export-dataset")) / INDIRECT(ADDRESS(ROW(), COLUMN(), 4, TRUE, "Export-dataset")), "" )</f>
        <v>0.84399999999999997</v>
      </c>
      <c r="O4" s="6" cm="1">
        <f t="array" aca="1" ref="O4" ca="1">IFERROR( INDIRECT(ADDRESS(ROW()+1, COLUMN(), 4, TRUE, "Export-dataset")) / INDIRECT(ADDRESS(ROW(), COLUMN(), 4, TRUE, "Export-dataset")), "" )</f>
        <v>0.77272727272727271</v>
      </c>
      <c r="P4" s="6" cm="1">
        <f t="array" aca="1" ref="P4" ca="1">IFERROR( INDIRECT(ADDRESS(ROW()+1, COLUMN(), 4, TRUE, "Export-dataset")) / INDIRECT(ADDRESS(ROW(), COLUMN(), 4, TRUE, "Export-dataset")), "" )</f>
        <v>1.0560747663551402</v>
      </c>
      <c r="Q4" s="6" cm="1">
        <f t="array" aca="1" ref="Q4" ca="1">IFERROR( INDIRECT(ADDRESS(ROW()+1, COLUMN(), 4, TRUE, "Export-dataset")) / INDIRECT(ADDRESS(ROW(), COLUMN(), 4, TRUE, "Export-dataset")), "" )</f>
        <v>0.83876221498371339</v>
      </c>
      <c r="R4" s="6" cm="1">
        <f t="array" aca="1" ref="R4" ca="1">IFERROR( INDIRECT(ADDRESS(ROW()+1, COLUMN(), 4, TRUE, "Export-dataset")) / INDIRECT(ADDRESS(ROW(), COLUMN(), 4, TRUE, "Export-dataset")), "" )</f>
        <v>0.69841269841269837</v>
      </c>
      <c r="S4" s="6" cm="1">
        <f t="array" aca="1" ref="S4" ca="1">IFERROR( INDIRECT(ADDRESS(ROW()+1, COLUMN(), 4, TRUE, "Export-dataset")) / INDIRECT(ADDRESS(ROW(), COLUMN(), 4, TRUE, "Export-dataset")), "" )</f>
        <v>1.4</v>
      </c>
      <c r="T4" s="6" cm="1">
        <f t="array" aca="1" ref="T4" ca="1">IFERROR( INDIRECT(ADDRESS(ROW()+1, COLUMN(), 4, TRUE, "Export-dataset")) / INDIRECT(ADDRESS(ROW(), COLUMN(), 4, TRUE, "Export-dataset")), "" )</f>
        <v>0.93166287015945326</v>
      </c>
      <c r="U4" s="6" cm="1">
        <f t="array" aca="1" ref="U4" ca="1">IFERROR( INDIRECT(ADDRESS(ROW()+1, COLUMN(), 4, TRUE, "Export-dataset")) / INDIRECT(ADDRESS(ROW(), COLUMN(), 4, TRUE, "Export-dataset")), "" )</f>
        <v>0.89189189189189189</v>
      </c>
      <c r="V4" s="6" cm="1">
        <f t="array" aca="1" ref="V4" ca="1">IFERROR( INDIRECT(ADDRESS(ROW()+1, COLUMN(), 4, TRUE, "Export-dataset")) / INDIRECT(ADDRESS(ROW(), COLUMN(), 4, TRUE, "Export-dataset")), "" )</f>
        <v>0.89984051036682611</v>
      </c>
      <c r="W4" s="6" cm="1">
        <f t="array" aca="1" ref="W4" ca="1">IFERROR( INDIRECT(ADDRESS(ROW()+1, COLUMN(), 4, TRUE, "Export-dataset")) / INDIRECT(ADDRESS(ROW(), COLUMN(), 4, TRUE, "Export-dataset")), "" )</f>
        <v>0.9321266968325792</v>
      </c>
      <c r="X4" s="6" cm="1">
        <f t="array" aca="1" ref="X4" ca="1">IFERROR( INDIRECT(ADDRESS(ROW()+1, COLUMN(), 4, TRUE, "Export-dataset")) / INDIRECT(ADDRESS(ROW(), COLUMN(), 4, TRUE, "Export-dataset")), "" )</f>
        <v>1.2739946380697051</v>
      </c>
      <c r="Y4" s="6" cm="1">
        <f t="array" aca="1" ref="Y4" ca="1">IFERROR( INDIRECT(ADDRESS(ROW()+1, COLUMN(), 4, TRUE, "Export-dataset")) / INDIRECT(ADDRESS(ROW(), COLUMN(), 4, TRUE, "Export-dataset")), "" )</f>
        <v>1.0725806451612903</v>
      </c>
      <c r="Z4" s="6" cm="1">
        <f t="array" aca="1" ref="Z4" ca="1">IFERROR( INDIRECT(ADDRESS(ROW()+1, COLUMN(), 4, TRUE, "Export-dataset")) / INDIRECT(ADDRESS(ROW(), COLUMN(), 4, TRUE, "Export-dataset")), "" )</f>
        <v>1.1198513471663054</v>
      </c>
      <c r="AA4" s="6" cm="1">
        <f t="array" aca="1" ref="AA4" ca="1">IFERROR( INDIRECT(ADDRESS(ROW()+1, COLUMN(), 4, TRUE, "Export-dataset")) / INDIRECT(ADDRESS(ROW(), COLUMN(), 4, TRUE, "Export-dataset")), "" )</f>
        <v>1.1462467644521139</v>
      </c>
      <c r="AB4" s="6" cm="1">
        <f t="array" aca="1" ref="AB4" ca="1">IFERROR( INDIRECT(ADDRESS(ROW()+1, COLUMN(), 4, TRUE, "Export-dataset")) / INDIRECT(ADDRESS(ROW(), COLUMN(), 4, TRUE, "Export-dataset")), "" )</f>
        <v>1.0278637770897834</v>
      </c>
      <c r="AC4" s="6" cm="1">
        <f t="array" aca="1" ref="AC4" ca="1">IFERROR( INDIRECT(ADDRESS(ROW()+1, COLUMN(), 4, TRUE, "Export-dataset")) / INDIRECT(ADDRESS(ROW(), COLUMN(), 4, TRUE, "Export-dataset")), "" )</f>
        <v>1.2380952380952381</v>
      </c>
      <c r="AD4" s="6" cm="1">
        <f t="array" aca="1" ref="AD4" ca="1">IFERROR( INDIRECT(ADDRESS(ROW()+1, COLUMN(), 4, TRUE, "Export-dataset")) / INDIRECT(ADDRESS(ROW(), COLUMN(), 4, TRUE, "Export-dataset")), "" )</f>
        <v>0.76551724137931032</v>
      </c>
      <c r="AE4" s="6" cm="1">
        <f t="array" aca="1" ref="AE4" ca="1">IFERROR( INDIRECT(ADDRESS(ROW()+1, COLUMN(), 4, TRUE, "Export-dataset")) / INDIRECT(ADDRESS(ROW(), COLUMN(), 4, TRUE, "Export-dataset")), "" )</f>
        <v>0.81967213114754101</v>
      </c>
      <c r="AF4" s="6" cm="1">
        <f t="array" aca="1" ref="AF4" ca="1">IFERROR( INDIRECT(ADDRESS(ROW()+1, COLUMN(), 4, TRUE, "Export-dataset")) / INDIRECT(ADDRESS(ROW(), COLUMN(), 4, TRUE, "Export-dataset")), "" )</f>
        <v>7.1428571428571425E-2</v>
      </c>
      <c r="AG4" s="6" cm="1">
        <f t="array" aca="1" ref="AG4" ca="1">IFERROR( INDIRECT(ADDRESS(ROW()+1, COLUMN(), 4, TRUE, "Export-dataset")) / INDIRECT(ADDRESS(ROW(), COLUMN(), 4, TRUE, "Export-dataset")), "" )</f>
        <v>1</v>
      </c>
      <c r="AH4" s="6" cm="1">
        <f t="array" aca="1" ref="AH4" ca="1">IFERROR( INDIRECT(ADDRESS(ROW()+1, COLUMN(), 4, TRUE, "Export-dataset")) / INDIRECT(ADDRESS(ROW(), COLUMN(), 4, TRUE, "Export-dataset")), "" )</f>
        <v>1.1287223823246877</v>
      </c>
      <c r="AI4" s="6" cm="1">
        <f t="array" aca="1" ref="AI4" ca="1">IFERROR( INDIRECT(ADDRESS(ROW()+1, COLUMN(), 4, TRUE, "Export-dataset")) / INDIRECT(ADDRESS(ROW(), COLUMN(), 4, TRUE, "Export-dataset")), "" )</f>
        <v>0.88235294117647056</v>
      </c>
      <c r="AJ4" s="6" cm="1">
        <f t="array" aca="1" ref="AJ4" ca="1">IFERROR( INDIRECT(ADDRESS(ROW()+1, COLUMN(), 4, TRUE, "Export-dataset")) / INDIRECT(ADDRESS(ROW(), COLUMN(), 4, TRUE, "Export-dataset")), "" )</f>
        <v>1.3604651162790697</v>
      </c>
      <c r="AK4" s="6" cm="1">
        <f t="array" aca="1" ref="AK4" ca="1">IFERROR( INDIRECT(ADDRESS(ROW()+1, COLUMN(), 4, TRUE, "Export-dataset")) / INDIRECT(ADDRESS(ROW(), COLUMN(), 4, TRUE, "Export-dataset")), "" )</f>
        <v>2.165137614678899</v>
      </c>
      <c r="AL4" s="6" cm="1">
        <f t="array" aca="1" ref="AL4" ca="1">IFERROR( INDIRECT(ADDRESS(ROW()+1, COLUMN(), 4, TRUE, "Export-dataset")) / INDIRECT(ADDRESS(ROW(), COLUMN(), 4, TRUE, "Export-dataset")), "" )</f>
        <v>1.0742358078602621</v>
      </c>
      <c r="AM4" s="6" cm="1">
        <f t="array" aca="1" ref="AM4" ca="1">IFERROR( INDIRECT(ADDRESS(ROW()+1, COLUMN(), 4, TRUE, "Export-dataset")) / INDIRECT(ADDRESS(ROW(), COLUMN(), 4, TRUE, "Export-dataset")), "" )</f>
        <v>1.0337078651685394</v>
      </c>
      <c r="AN4" s="6" cm="1">
        <f t="array" aca="1" ref="AN4" ca="1">IFERROR( INDIRECT(ADDRESS(ROW()+1, COLUMN(), 4, TRUE, "Export-dataset")) / INDIRECT(ADDRESS(ROW(), COLUMN(), 4, TRUE, "Export-dataset")), "" )</f>
        <v>1</v>
      </c>
      <c r="AO4" s="6" cm="1">
        <f t="array" aca="1" ref="AO4" ca="1">IFERROR( INDIRECT(ADDRESS(ROW()+1, COLUMN(), 4, TRUE, "Export-dataset")) / INDIRECT(ADDRESS(ROW(), COLUMN(), 4, TRUE, "Export-dataset")), "" )</f>
        <v>0.92356687898089174</v>
      </c>
      <c r="AP4" s="6" cm="1">
        <f t="array" aca="1" ref="AP4" ca="1">IFERROR( INDIRECT(ADDRESS(ROW()+1, COLUMN(), 4, TRUE, "Export-dataset")) / INDIRECT(ADDRESS(ROW(), COLUMN(), 4, TRUE, "Export-dataset")), "" )</f>
        <v>0.93442622950819676</v>
      </c>
      <c r="AQ4" s="6" cm="1">
        <f t="array" aca="1" ref="AQ4" ca="1">IFERROR( INDIRECT(ADDRESS(ROW()+1, COLUMN(), 4, TRUE, "Export-dataset")) / INDIRECT(ADDRESS(ROW(), COLUMN(), 4, TRUE, "Export-dataset")), "" )</f>
        <v>0.914572864321608</v>
      </c>
      <c r="AR4" s="6" cm="1">
        <f t="array" aca="1" ref="AR4" ca="1">IFERROR( INDIRECT(ADDRESS(ROW()+1, COLUMN(), 4, TRUE, "Export-dataset")) / INDIRECT(ADDRESS(ROW(), COLUMN(), 4, TRUE, "Export-dataset")), "" )</f>
        <v>1.1352059925093634</v>
      </c>
      <c r="AS4" s="6" cm="1">
        <f t="array" aca="1" ref="AS4" ca="1">IFERROR( INDIRECT(ADDRESS(ROW()+1, COLUMN(), 4, TRUE, "Export-dataset")) / INDIRECT(ADDRESS(ROW(), COLUMN(), 4, TRUE, "Export-dataset")), "" )</f>
        <v>0.91515151515151516</v>
      </c>
      <c r="AT4" s="6" cm="1">
        <f t="array" aca="1" ref="AT4" ca="1">IFERROR( INDIRECT(ADDRESS(ROW()+1, COLUMN(), 4, TRUE, "Export-dataset")) / INDIRECT(ADDRESS(ROW(), COLUMN(), 4, TRUE, "Export-dataset")), "" )</f>
        <v>0.86111111111111116</v>
      </c>
      <c r="AU4" s="6" cm="1">
        <f t="array" aca="1" ref="AU4" ca="1">IFERROR( INDIRECT(ADDRESS(ROW()+1, COLUMN(), 4, TRUE, "Export-dataset")) / INDIRECT(ADDRESS(ROW(), COLUMN(), 4, TRUE, "Export-dataset")), "" )</f>
        <v>0.8666666666666667</v>
      </c>
      <c r="AV4" s="6" cm="1">
        <f t="array" aca="1" ref="AV4" ca="1">IFERROR( INDIRECT(ADDRESS(ROW()+1, COLUMN(), 4, TRUE, "Export-dataset")) / INDIRECT(ADDRESS(ROW(), COLUMN(), 4, TRUE, "Export-dataset")), "" )</f>
        <v>1.1810344827586208</v>
      </c>
      <c r="AW4" s="6" cm="1">
        <f t="array" aca="1" ref="AW4" ca="1">IFERROR( INDIRECT(ADDRESS(ROW()+1, COLUMN(), 4, TRUE, "Export-dataset")) / INDIRECT(ADDRESS(ROW(), COLUMN(), 4, TRUE, "Export-dataset")), "" )</f>
        <v>1.1351351351351351</v>
      </c>
      <c r="AX4" s="6" cm="1">
        <f t="array" aca="1" ref="AX4" ca="1">IFERROR( INDIRECT(ADDRESS(ROW()+1, COLUMN(), 4, TRUE, "Export-dataset")) / INDIRECT(ADDRESS(ROW(), COLUMN(), 4, TRUE, "Export-dataset")), "" )</f>
        <v>1.4056603773584906</v>
      </c>
      <c r="AY4" s="6" cm="1">
        <f t="array" aca="1" ref="AY4" ca="1">IFERROR( INDIRECT(ADDRESS(ROW()+1, COLUMN(), 4, TRUE, "Export-dataset")) / INDIRECT(ADDRESS(ROW(), COLUMN(), 4, TRUE, "Export-dataset")), "" )</f>
        <v>1.1656686626746506</v>
      </c>
      <c r="AZ4" s="6" cm="1">
        <f t="array" aca="1" ref="AZ4" ca="1">IFERROR( INDIRECT(ADDRESS(ROW()+1, COLUMN(), 4, TRUE, "Export-dataset")) / INDIRECT(ADDRESS(ROW(), COLUMN(), 4, TRUE, "Export-dataset")), "" )</f>
        <v>1.1215230893869834</v>
      </c>
      <c r="BA4" s="6" cm="1">
        <f t="array" aca="1" ref="BA4" ca="1">IFERROR( INDIRECT(ADDRESS(ROW()+1, COLUMN(), 4, TRUE, "Export-dataset")) / INDIRECT(ADDRESS(ROW(), COLUMN(), 4, TRUE, "Export-dataset")), "" )</f>
        <v>1.1372549019607843</v>
      </c>
      <c r="BB4" s="6" cm="1">
        <f t="array" aca="1" ref="BB4" ca="1">IFERROR( INDIRECT(ADDRESS(ROW()+1, COLUMN(), 4, TRUE, "Export-dataset")) / INDIRECT(ADDRESS(ROW(), COLUMN(), 4, TRUE, "Export-dataset")), "" )</f>
        <v>1.1983953318745442</v>
      </c>
      <c r="BC4" s="6" cm="1">
        <f t="array" aca="1" ref="BC4" ca="1">IFERROR( INDIRECT(ADDRESS(ROW()+1, COLUMN(), 4, TRUE, "Export-dataset")) / INDIRECT(ADDRESS(ROW(), COLUMN(), 4, TRUE, "Export-dataset")), "" )</f>
        <v>1.0327868852459017</v>
      </c>
      <c r="BD4" s="6" cm="1">
        <f t="array" aca="1" ref="BD4" ca="1">IFERROR( INDIRECT(ADDRESS(ROW()+1, COLUMN(), 4, TRUE, "Export-dataset")) / INDIRECT(ADDRESS(ROW(), COLUMN(), 4, TRUE, "Export-dataset")), "" )</f>
        <v>1.1369047619047619</v>
      </c>
      <c r="BE4" s="6" cm="1">
        <f t="array" aca="1" ref="BE4" ca="1">IFERROR( INDIRECT(ADDRESS(ROW()+1, COLUMN(), 4, TRUE, "Export-dataset")) / INDIRECT(ADDRESS(ROW(), COLUMN(), 4, TRUE, "Export-dataset")), "" )</f>
        <v>1.3846153846153846</v>
      </c>
      <c r="BF4" s="6" cm="1">
        <f t="array" aca="1" ref="BF4" ca="1">IFERROR( INDIRECT(ADDRESS(ROW()+1, COLUMN(), 4, TRUE, "Export-dataset")) / INDIRECT(ADDRESS(ROW(), COLUMN(), 4, TRUE, "Export-dataset")), "" )</f>
        <v>1.0900621118012421</v>
      </c>
      <c r="BG4" s="6" cm="1">
        <f t="array" aca="1" ref="BG4" ca="1">IFERROR( INDIRECT(ADDRESS(ROW()+1, COLUMN(), 4, TRUE, "Export-dataset")) / INDIRECT(ADDRESS(ROW(), COLUMN(), 4, TRUE, "Export-dataset")), "" )</f>
        <v>1.1822660098522169</v>
      </c>
      <c r="BH4" s="6" cm="1">
        <f t="array" aca="1" ref="BH4" ca="1">IFERROR( INDIRECT(ADDRESS(ROW()+1, COLUMN(), 4, TRUE, "Export-dataset")) / INDIRECT(ADDRESS(ROW(), COLUMN(), 4, TRUE, "Export-dataset")), "" )</f>
        <v>1.5422535211267605</v>
      </c>
      <c r="BI4" s="6" cm="1">
        <f t="array" aca="1" ref="BI4" ca="1">IFERROR( INDIRECT(ADDRESS(ROW()+1, COLUMN(), 4, TRUE, "Export-dataset")) / INDIRECT(ADDRESS(ROW(), COLUMN(), 4, TRUE, "Export-dataset")), "" )</f>
        <v>1.1678571428571429</v>
      </c>
      <c r="BJ4" s="6" cm="1">
        <f t="array" aca="1" ref="BJ4" ca="1">IFERROR( INDIRECT(ADDRESS(ROW()+1, COLUMN(), 4, TRUE, "Export-dataset")) / INDIRECT(ADDRESS(ROW(), COLUMN(), 4, TRUE, "Export-dataset")), "" )</f>
        <v>1.2959183673469388</v>
      </c>
      <c r="BK4" s="6" cm="1">
        <f t="array" aca="1" ref="BK4" ca="1">IFERROR( INDIRECT(ADDRESS(ROW()+1, COLUMN(), 4, TRUE, "Export-dataset")) / INDIRECT(ADDRESS(ROW(), COLUMN(), 4, TRUE, "Export-dataset")), "" )</f>
        <v>1.2733188720173536</v>
      </c>
      <c r="BL4" s="6" cm="1">
        <f t="array" aca="1" ref="BL4" ca="1">IFERROR( INDIRECT(ADDRESS(ROW()+1, COLUMN(), 4, TRUE, "Export-dataset")) / INDIRECT(ADDRESS(ROW(), COLUMN(), 4, TRUE, "Export-dataset")), "" )</f>
        <v>1.1708449396471681</v>
      </c>
      <c r="BM4" s="6" cm="1">
        <f t="array" aca="1" ref="BM4" ca="1">IFERROR( INDIRECT(ADDRESS(ROW()+1, COLUMN(), 4, TRUE, "Export-dataset")) / INDIRECT(ADDRESS(ROW(), COLUMN(), 4, TRUE, "Export-dataset")), "" )</f>
        <v>0.90322580645161288</v>
      </c>
      <c r="BN4" s="6" cm="1">
        <f t="array" aca="1" ref="BN4" ca="1">IFERROR( INDIRECT(ADDRESS(ROW()+1, COLUMN(), 4, TRUE, "Export-dataset")) / INDIRECT(ADDRESS(ROW(), COLUMN(), 4, TRUE, "Export-dataset")), "" )</f>
        <v>0.97222222222222221</v>
      </c>
      <c r="BO4" s="6" cm="1">
        <f t="array" aca="1" ref="BO4" ca="1">IFERROR( INDIRECT(ADDRESS(ROW()+1, COLUMN(), 4, TRUE, "Export-dataset")) / INDIRECT(ADDRESS(ROW(), COLUMN(), 4, TRUE, "Export-dataset")), "" )</f>
        <v>1.5</v>
      </c>
      <c r="BP4" s="6" cm="1">
        <f t="array" aca="1" ref="BP4" ca="1">IFERROR( INDIRECT(ADDRESS(ROW()+1, COLUMN(), 4, TRUE, "Export-dataset")) / INDIRECT(ADDRESS(ROW(), COLUMN(), 4, TRUE, "Export-dataset")), "" )</f>
        <v>1.3538461538461539</v>
      </c>
      <c r="BQ4" s="6" cm="1">
        <f t="array" aca="1" ref="BQ4" ca="1">IFERROR( INDIRECT(ADDRESS(ROW()+1, COLUMN(), 4, TRUE, "Export-dataset")) / INDIRECT(ADDRESS(ROW(), COLUMN(), 4, TRUE, "Export-dataset")), "" )</f>
        <v>1.6428571428571428</v>
      </c>
      <c r="BR4" s="6" cm="1">
        <f t="array" aca="1" ref="BR4" ca="1">IFERROR( INDIRECT(ADDRESS(ROW()+1, COLUMN(), 4, TRUE, "Export-dataset")) / INDIRECT(ADDRESS(ROW(), COLUMN(), 4, TRUE, "Export-dataset")), "" )</f>
        <v>1.2295918367346939</v>
      </c>
      <c r="BS4" s="6" cm="1">
        <f t="array" aca="1" ref="BS4" ca="1">IFERROR( INDIRECT(ADDRESS(ROW()+1, COLUMN(), 4, TRUE, "Export-dataset")) / INDIRECT(ADDRESS(ROW(), COLUMN(), 4, TRUE, "Export-dataset")), "" )</f>
        <v>0.90252707581227432</v>
      </c>
      <c r="BT4" s="6" cm="1">
        <f t="array" aca="1" ref="BT4" ca="1">IFERROR( INDIRECT(ADDRESS(ROW()+1, COLUMN(), 4, TRUE, "Export-dataset")) / INDIRECT(ADDRESS(ROW(), COLUMN(), 4, TRUE, "Export-dataset")), "" )</f>
        <v>1.2973568281938326</v>
      </c>
      <c r="BU4" s="6" cm="1">
        <f t="array" aca="1" ref="BU4" ca="1">IFERROR( INDIRECT(ADDRESS(ROW()+1, COLUMN(), 4, TRUE, "Export-dataset")) / INDIRECT(ADDRESS(ROW(), COLUMN(), 4, TRUE, "Export-dataset")), "" )</f>
        <v>1.0082438171371471</v>
      </c>
      <c r="BV4" s="6" cm="1">
        <f t="array" aca="1" ref="BV4" ca="1">IFERROR( INDIRECT(ADDRESS(ROW()+1, COLUMN(), 4, TRUE, "Export-dataset")) / INDIRECT(ADDRESS(ROW(), COLUMN(), 4, TRUE, "Export-dataset")), "" )</f>
        <v>0.98076923076923073</v>
      </c>
      <c r="BW4" s="6" cm="1">
        <f t="array" aca="1" ref="BW4" ca="1">IFERROR( INDIRECT(ADDRESS(ROW()+1, COLUMN(), 4, TRUE, "Export-dataset")) / INDIRECT(ADDRESS(ROW(), COLUMN(), 4, TRUE, "Export-dataset")), "" )</f>
        <v>1.0459183673469388</v>
      </c>
      <c r="BX4" s="6" cm="1">
        <f t="array" aca="1" ref="BX4" ca="1">IFERROR( INDIRECT(ADDRESS(ROW()+1, COLUMN(), 4, TRUE, "Export-dataset")) / INDIRECT(ADDRESS(ROW(), COLUMN(), 4, TRUE, "Export-dataset")), "" )</f>
        <v>0</v>
      </c>
      <c r="BY4" s="6" cm="1">
        <f t="array" aca="1" ref="BY4" ca="1">IFERROR( INDIRECT(ADDRESS(ROW()+1, COLUMN(), 4, TRUE, "Export-dataset")) / INDIRECT(ADDRESS(ROW(), COLUMN(), 4, TRUE, "Export-dataset")), "" )</f>
        <v>0.96858638743455494</v>
      </c>
      <c r="BZ4" s="6" cm="1">
        <f t="array" aca="1" ref="BZ4" ca="1">IFERROR( INDIRECT(ADDRESS(ROW()+1, COLUMN(), 4, TRUE, "Export-dataset")) / INDIRECT(ADDRESS(ROW(), COLUMN(), 4, TRUE, "Export-dataset")), "" )</f>
        <v>1.1103166496424923</v>
      </c>
      <c r="CA4" s="6" cm="1">
        <f t="array" aca="1" ref="CA4" ca="1">IFERROR( INDIRECT(ADDRESS(ROW()+1, COLUMN(), 4, TRUE, "Export-dataset")) / INDIRECT(ADDRESS(ROW(), COLUMN(), 4, TRUE, "Export-dataset")), "" )</f>
        <v>1.1094406419636536</v>
      </c>
    </row>
    <row r="5" spans="1:79">
      <c r="A5" s="6" t="s">
        <v>162</v>
      </c>
      <c r="B5" s="6" cm="1">
        <f t="array" aca="1" ref="B5" ca="1">IFERROR( INDIRECT(ADDRESS(ROW()+1, COLUMN(), 4, TRUE, "Export-dataset")) / INDIRECT(ADDRESS(ROW(), COLUMN(), 4, TRUE, "Export-dataset")), "" )</f>
        <v>1.0247602992308502</v>
      </c>
      <c r="C5" s="6" cm="1">
        <f t="array" aca="1" ref="C5" ca="1">IFERROR( INDIRECT(ADDRESS(ROW()+1, COLUMN(), 4, TRUE, "Export-dataset")) / INDIRECT(ADDRESS(ROW(), COLUMN(), 4, TRUE, "Export-dataset")), "" )</f>
        <v>0.66803278688524592</v>
      </c>
      <c r="D5" s="6" cm="1">
        <f t="array" aca="1" ref="D5" ca="1">IFERROR( INDIRECT(ADDRESS(ROW()+1, COLUMN(), 4, TRUE, "Export-dataset")) / INDIRECT(ADDRESS(ROW(), COLUMN(), 4, TRUE, "Export-dataset")), "" )</f>
        <v>1.1708980674497915</v>
      </c>
      <c r="E5" s="6" cm="1">
        <f t="array" aca="1" ref="E5" ca="1">IFERROR( INDIRECT(ADDRESS(ROW()+1, COLUMN(), 4, TRUE, "Export-dataset")) / INDIRECT(ADDRESS(ROW(), COLUMN(), 4, TRUE, "Export-dataset")), "" )</f>
        <v>0.99120234604105573</v>
      </c>
      <c r="F5" s="6" cm="1">
        <f t="array" aca="1" ref="F5" ca="1">IFERROR( INDIRECT(ADDRESS(ROW()+1, COLUMN(), 4, TRUE, "Export-dataset")) / INDIRECT(ADDRESS(ROW(), COLUMN(), 4, TRUE, "Export-dataset")), "" )</f>
        <v>1.0464396284829722</v>
      </c>
      <c r="G5" s="6" cm="1">
        <f t="array" aca="1" ref="G5" ca="1">IFERROR( INDIRECT(ADDRESS(ROW()+1, COLUMN(), 4, TRUE, "Export-dataset")) / INDIRECT(ADDRESS(ROW(), COLUMN(), 4, TRUE, "Export-dataset")), "" )</f>
        <v>0.94040561622464902</v>
      </c>
      <c r="H5" s="6" cm="1">
        <f t="array" aca="1" ref="H5" ca="1">IFERROR( INDIRECT(ADDRESS(ROW()+1, COLUMN(), 4, TRUE, "Export-dataset")) / INDIRECT(ADDRESS(ROW(), COLUMN(), 4, TRUE, "Export-dataset")), "" )</f>
        <v>1.1303501945525292</v>
      </c>
      <c r="I5" s="6" cm="1">
        <f t="array" aca="1" ref="I5" ca="1">IFERROR( INDIRECT(ADDRESS(ROW()+1, COLUMN(), 4, TRUE, "Export-dataset")) / INDIRECT(ADDRESS(ROW(), COLUMN(), 4, TRUE, "Export-dataset")), "" )</f>
        <v>0.97606382978723405</v>
      </c>
      <c r="J5" s="6" cm="1">
        <f t="array" aca="1" ref="J5" ca="1">IFERROR( INDIRECT(ADDRESS(ROW()+1, COLUMN(), 4, TRUE, "Export-dataset")) / INDIRECT(ADDRESS(ROW(), COLUMN(), 4, TRUE, "Export-dataset")), "" )</f>
        <v>1.2615384615384615</v>
      </c>
      <c r="K5" s="6" cm="1">
        <f t="array" aca="1" ref="K5" ca="1">IFERROR( INDIRECT(ADDRESS(ROW()+1, COLUMN(), 4, TRUE, "Export-dataset")) / INDIRECT(ADDRESS(ROW(), COLUMN(), 4, TRUE, "Export-dataset")), "" )</f>
        <v>0.89138576779026213</v>
      </c>
      <c r="L5" s="6" cm="1">
        <f t="array" aca="1" ref="L5" ca="1">IFERROR( INDIRECT(ADDRESS(ROW()+1, COLUMN(), 4, TRUE, "Export-dataset")) / INDIRECT(ADDRESS(ROW(), COLUMN(), 4, TRUE, "Export-dataset")), "" )</f>
        <v>1.0824742268041236</v>
      </c>
      <c r="M5" s="6" cm="1">
        <f t="array" aca="1" ref="M5" ca="1">IFERROR( INDIRECT(ADDRESS(ROW()+1, COLUMN(), 4, TRUE, "Export-dataset")) / INDIRECT(ADDRESS(ROW(), COLUMN(), 4, TRUE, "Export-dataset")), "" )</f>
        <v>1.2555066079295154</v>
      </c>
      <c r="N5" s="6" cm="1">
        <f t="array" aca="1" ref="N5" ca="1">IFERROR( INDIRECT(ADDRESS(ROW()+1, COLUMN(), 4, TRUE, "Export-dataset")) / INDIRECT(ADDRESS(ROW(), COLUMN(), 4, TRUE, "Export-dataset")), "" )</f>
        <v>1.2606635071090047</v>
      </c>
      <c r="O5" s="6" cm="1">
        <f t="array" aca="1" ref="O5" ca="1">IFERROR( INDIRECT(ADDRESS(ROW()+1, COLUMN(), 4, TRUE, "Export-dataset")) / INDIRECT(ADDRESS(ROW(), COLUMN(), 4, TRUE, "Export-dataset")), "" )</f>
        <v>1.1176470588235294</v>
      </c>
      <c r="P5" s="6" cm="1">
        <f t="array" aca="1" ref="P5" ca="1">IFERROR( INDIRECT(ADDRESS(ROW()+1, COLUMN(), 4, TRUE, "Export-dataset")) / INDIRECT(ADDRESS(ROW(), COLUMN(), 4, TRUE, "Export-dataset")), "" )</f>
        <v>0.95284955752212386</v>
      </c>
      <c r="Q5" s="6" cm="1">
        <f t="array" aca="1" ref="Q5" ca="1">IFERROR( INDIRECT(ADDRESS(ROW()+1, COLUMN(), 4, TRUE, "Export-dataset")) / INDIRECT(ADDRESS(ROW(), COLUMN(), 4, TRUE, "Export-dataset")), "" )</f>
        <v>1.025242718446602</v>
      </c>
      <c r="R5" s="6" cm="1">
        <f t="array" aca="1" ref="R5" ca="1">IFERROR( INDIRECT(ADDRESS(ROW()+1, COLUMN(), 4, TRUE, "Export-dataset")) / INDIRECT(ADDRESS(ROW(), COLUMN(), 4, TRUE, "Export-dataset")), "" )</f>
        <v>1.1590909090909092</v>
      </c>
      <c r="S5" s="6" cm="1">
        <f t="array" aca="1" ref="S5" ca="1">IFERROR( INDIRECT(ADDRESS(ROW()+1, COLUMN(), 4, TRUE, "Export-dataset")) / INDIRECT(ADDRESS(ROW(), COLUMN(), 4, TRUE, "Export-dataset")), "" )</f>
        <v>0.5714285714285714</v>
      </c>
      <c r="T5" s="6" cm="1">
        <f t="array" aca="1" ref="T5" ca="1">IFERROR( INDIRECT(ADDRESS(ROW()+1, COLUMN(), 4, TRUE, "Export-dataset")) / INDIRECT(ADDRESS(ROW(), COLUMN(), 4, TRUE, "Export-dataset")), "" )</f>
        <v>0.9828850855745721</v>
      </c>
      <c r="U5" s="6" cm="1">
        <f t="array" aca="1" ref="U5" ca="1">IFERROR( INDIRECT(ADDRESS(ROW()+1, COLUMN(), 4, TRUE, "Export-dataset")) / INDIRECT(ADDRESS(ROW(), COLUMN(), 4, TRUE, "Export-dataset")), "" )</f>
        <v>0.63636363636363635</v>
      </c>
      <c r="V5" s="6" cm="1">
        <f t="array" aca="1" ref="V5" ca="1">IFERROR( INDIRECT(ADDRESS(ROW()+1, COLUMN(), 4, TRUE, "Export-dataset")) / INDIRECT(ADDRESS(ROW(), COLUMN(), 4, TRUE, "Export-dataset")), "" )</f>
        <v>0.6981566820276498</v>
      </c>
      <c r="W5" s="6" cm="1">
        <f t="array" aca="1" ref="W5" ca="1">IFERROR( INDIRECT(ADDRESS(ROW()+1, COLUMN(), 4, TRUE, "Export-dataset")) / INDIRECT(ADDRESS(ROW(), COLUMN(), 4, TRUE, "Export-dataset")), "" )</f>
        <v>1.1650485436893203</v>
      </c>
      <c r="X5" s="6" cm="1">
        <f t="array" aca="1" ref="X5" ca="1">IFERROR( INDIRECT(ADDRESS(ROW()+1, COLUMN(), 4, TRUE, "Export-dataset")) / INDIRECT(ADDRESS(ROW(), COLUMN(), 4, TRUE, "Export-dataset")), "" )</f>
        <v>1.1381874298540966</v>
      </c>
      <c r="Y5" s="6" cm="1">
        <f t="array" aca="1" ref="Y5" ca="1">IFERROR( INDIRECT(ADDRESS(ROW()+1, COLUMN(), 4, TRUE, "Export-dataset")) / INDIRECT(ADDRESS(ROW(), COLUMN(), 4, TRUE, "Export-dataset")), "" )</f>
        <v>1.1954887218045114</v>
      </c>
      <c r="Z5" s="6" cm="1">
        <f t="array" aca="1" ref="Z5" ca="1">IFERROR( INDIRECT(ADDRESS(ROW()+1, COLUMN(), 4, TRUE, "Export-dataset")) / INDIRECT(ADDRESS(ROW(), COLUMN(), 4, TRUE, "Export-dataset")), "" )</f>
        <v>1.3266039823008851</v>
      </c>
      <c r="AA5" s="6" cm="1">
        <f t="array" aca="1" ref="AA5" ca="1">IFERROR( INDIRECT(ADDRESS(ROW()+1, COLUMN(), 4, TRUE, "Export-dataset")) / INDIRECT(ADDRESS(ROW(), COLUMN(), 4, TRUE, "Export-dataset")), "" )</f>
        <v>1.1336093338351525</v>
      </c>
      <c r="AB5" s="6" cm="1">
        <f t="array" aca="1" ref="AB5" ca="1">IFERROR( INDIRECT(ADDRESS(ROW()+1, COLUMN(), 4, TRUE, "Export-dataset")) / INDIRECT(ADDRESS(ROW(), COLUMN(), 4, TRUE, "Export-dataset")), "" )</f>
        <v>1.736144578313253</v>
      </c>
      <c r="AC5" s="6" cm="1">
        <f t="array" aca="1" ref="AC5" ca="1">IFERROR( INDIRECT(ADDRESS(ROW()+1, COLUMN(), 4, TRUE, "Export-dataset")) / INDIRECT(ADDRESS(ROW(), COLUMN(), 4, TRUE, "Export-dataset")), "" )</f>
        <v>2.6538461538461537</v>
      </c>
      <c r="AD5" s="6" cm="1">
        <f t="array" aca="1" ref="AD5" ca="1">IFERROR( INDIRECT(ADDRESS(ROW()+1, COLUMN(), 4, TRUE, "Export-dataset")) / INDIRECT(ADDRESS(ROW(), COLUMN(), 4, TRUE, "Export-dataset")), "" )</f>
        <v>1.1801801801801801</v>
      </c>
      <c r="AE5" s="6" cm="1">
        <f t="array" aca="1" ref="AE5" ca="1">IFERROR( INDIRECT(ADDRESS(ROW()+1, COLUMN(), 4, TRUE, "Export-dataset")) / INDIRECT(ADDRESS(ROW(), COLUMN(), 4, TRUE, "Export-dataset")), "" )</f>
        <v>1.1299999999999999</v>
      </c>
      <c r="AF5" s="6" cm="1">
        <f t="array" aca="1" ref="AF5" ca="1">IFERROR( INDIRECT(ADDRESS(ROW()+1, COLUMN(), 4, TRUE, "Export-dataset")) / INDIRECT(ADDRESS(ROW(), COLUMN(), 4, TRUE, "Export-dataset")), "" )</f>
        <v>1</v>
      </c>
      <c r="AG5" s="6" cm="1">
        <f t="array" aca="1" ref="AG5" ca="1">IFERROR( INDIRECT(ADDRESS(ROW()+1, COLUMN(), 4, TRUE, "Export-dataset")) / INDIRECT(ADDRESS(ROW(), COLUMN(), 4, TRUE, "Export-dataset")), "" )</f>
        <v>1.2</v>
      </c>
      <c r="AH5" s="6" cm="1">
        <f t="array" aca="1" ref="AH5" ca="1">IFERROR( INDIRECT(ADDRESS(ROW()+1, COLUMN(), 4, TRUE, "Export-dataset")) / INDIRECT(ADDRESS(ROW(), COLUMN(), 4, TRUE, "Export-dataset")), "" )</f>
        <v>1.102127659574468</v>
      </c>
      <c r="AI5" s="6" cm="1">
        <f t="array" aca="1" ref="AI5" ca="1">IFERROR( INDIRECT(ADDRESS(ROW()+1, COLUMN(), 4, TRUE, "Export-dataset")) / INDIRECT(ADDRESS(ROW(), COLUMN(), 4, TRUE, "Export-dataset")), "" )</f>
        <v>1.1777777777777778</v>
      </c>
      <c r="AJ5" s="6" cm="1">
        <f t="array" aca="1" ref="AJ5" ca="1">IFERROR( INDIRECT(ADDRESS(ROW()+1, COLUMN(), 4, TRUE, "Export-dataset")) / INDIRECT(ADDRESS(ROW(), COLUMN(), 4, TRUE, "Export-dataset")), "" )</f>
        <v>1.4957264957264957</v>
      </c>
      <c r="AK5" s="6" cm="1">
        <f t="array" aca="1" ref="AK5" ca="1">IFERROR( INDIRECT(ADDRESS(ROW()+1, COLUMN(), 4, TRUE, "Export-dataset")) / INDIRECT(ADDRESS(ROW(), COLUMN(), 4, TRUE, "Export-dataset")), "" )</f>
        <v>0.93644067796610164</v>
      </c>
      <c r="AL5" s="6" cm="1">
        <f t="array" aca="1" ref="AL5" ca="1">IFERROR( INDIRECT(ADDRESS(ROW()+1, COLUMN(), 4, TRUE, "Export-dataset")) / INDIRECT(ADDRESS(ROW(), COLUMN(), 4, TRUE, "Export-dataset")), "" )</f>
        <v>1.1910569105691058</v>
      </c>
      <c r="AM5" s="6" cm="1">
        <f t="array" aca="1" ref="AM5" ca="1">IFERROR( INDIRECT(ADDRESS(ROW()+1, COLUMN(), 4, TRUE, "Export-dataset")) / INDIRECT(ADDRESS(ROW(), COLUMN(), 4, TRUE, "Export-dataset")), "" )</f>
        <v>1.1413043478260869</v>
      </c>
      <c r="AN5" s="6" cm="1">
        <f t="array" aca="1" ref="AN5" ca="1">IFERROR( INDIRECT(ADDRESS(ROW()+1, COLUMN(), 4, TRUE, "Export-dataset")) / INDIRECT(ADDRESS(ROW(), COLUMN(), 4, TRUE, "Export-dataset")), "" )</f>
        <v>1.3333333333333333</v>
      </c>
      <c r="AO5" s="6" cm="1">
        <f t="array" aca="1" ref="AO5" ca="1">IFERROR( INDIRECT(ADDRESS(ROW()+1, COLUMN(), 4, TRUE, "Export-dataset")) / INDIRECT(ADDRESS(ROW(), COLUMN(), 4, TRUE, "Export-dataset")), "" )</f>
        <v>0.93793103448275861</v>
      </c>
      <c r="AP5" s="6" cm="1">
        <f t="array" aca="1" ref="AP5" ca="1">IFERROR( INDIRECT(ADDRESS(ROW()+1, COLUMN(), 4, TRUE, "Export-dataset")) / INDIRECT(ADDRESS(ROW(), COLUMN(), 4, TRUE, "Export-dataset")), "" )</f>
        <v>1.3333333333333333</v>
      </c>
      <c r="AQ5" s="6" cm="1">
        <f t="array" aca="1" ref="AQ5" ca="1">IFERROR( INDIRECT(ADDRESS(ROW()+1, COLUMN(), 4, TRUE, "Export-dataset")) / INDIRECT(ADDRESS(ROW(), COLUMN(), 4, TRUE, "Export-dataset")), "" )</f>
        <v>0.93956043956043955</v>
      </c>
      <c r="AR5" s="6" cm="1">
        <f t="array" aca="1" ref="AR5" ca="1">IFERROR( INDIRECT(ADDRESS(ROW()+1, COLUMN(), 4, TRUE, "Export-dataset")) / INDIRECT(ADDRESS(ROW(), COLUMN(), 4, TRUE, "Export-dataset")), "" )</f>
        <v>1.0321676014516661</v>
      </c>
      <c r="AS5" s="6" cm="1">
        <f t="array" aca="1" ref="AS5" ca="1">IFERROR( INDIRECT(ADDRESS(ROW()+1, COLUMN(), 4, TRUE, "Export-dataset")) / INDIRECT(ADDRESS(ROW(), COLUMN(), 4, TRUE, "Export-dataset")), "" )</f>
        <v>1.1920529801324504</v>
      </c>
      <c r="AT5" s="6" cm="1">
        <f t="array" aca="1" ref="AT5" ca="1">IFERROR( INDIRECT(ADDRESS(ROW()+1, COLUMN(), 4, TRUE, "Export-dataset")) / INDIRECT(ADDRESS(ROW(), COLUMN(), 4, TRUE, "Export-dataset")), "" )</f>
        <v>1.0806451612903225</v>
      </c>
      <c r="AU5" s="6" cm="1">
        <f t="array" aca="1" ref="AU5" ca="1">IFERROR( INDIRECT(ADDRESS(ROW()+1, COLUMN(), 4, TRUE, "Export-dataset")) / INDIRECT(ADDRESS(ROW(), COLUMN(), 4, TRUE, "Export-dataset")), "" )</f>
        <v>2.5384615384615383</v>
      </c>
      <c r="AV5" s="6" cm="1">
        <f t="array" aca="1" ref="AV5" ca="1">IFERROR( INDIRECT(ADDRESS(ROW()+1, COLUMN(), 4, TRUE, "Export-dataset")) / INDIRECT(ADDRESS(ROW(), COLUMN(), 4, TRUE, "Export-dataset")), "" )</f>
        <v>1.2262773722627738</v>
      </c>
      <c r="AW5" s="6" cm="1">
        <f t="array" aca="1" ref="AW5" ca="1">IFERROR( INDIRECT(ADDRESS(ROW()+1, COLUMN(), 4, TRUE, "Export-dataset")) / INDIRECT(ADDRESS(ROW(), COLUMN(), 4, TRUE, "Export-dataset")), "" )</f>
        <v>1.1666666666666667</v>
      </c>
      <c r="AX5" s="6" cm="1">
        <f t="array" aca="1" ref="AX5" ca="1">IFERROR( INDIRECT(ADDRESS(ROW()+1, COLUMN(), 4, TRUE, "Export-dataset")) / INDIRECT(ADDRESS(ROW(), COLUMN(), 4, TRUE, "Export-dataset")), "" )</f>
        <v>1.0380313199105144</v>
      </c>
      <c r="AY5" s="6" cm="1">
        <f t="array" aca="1" ref="AY5" ca="1">IFERROR( INDIRECT(ADDRESS(ROW()+1, COLUMN(), 4, TRUE, "Export-dataset")) / INDIRECT(ADDRESS(ROW(), COLUMN(), 4, TRUE, "Export-dataset")), "" )</f>
        <v>1.5565068493150684</v>
      </c>
      <c r="AZ5" s="6" cm="1">
        <f t="array" aca="1" ref="AZ5" ca="1">IFERROR( INDIRECT(ADDRESS(ROW()+1, COLUMN(), 4, TRUE, "Export-dataset")) / INDIRECT(ADDRESS(ROW(), COLUMN(), 4, TRUE, "Export-dataset")), "" )</f>
        <v>0.92294726703587771</v>
      </c>
      <c r="BA5" s="6" cm="1">
        <f t="array" aca="1" ref="BA5" ca="1">IFERROR( INDIRECT(ADDRESS(ROW()+1, COLUMN(), 4, TRUE, "Export-dataset")) / INDIRECT(ADDRESS(ROW(), COLUMN(), 4, TRUE, "Export-dataset")), "" )</f>
        <v>1.1695402298850575</v>
      </c>
      <c r="BB5" s="6" cm="1">
        <f t="array" aca="1" ref="BB5" ca="1">IFERROR( INDIRECT(ADDRESS(ROW()+1, COLUMN(), 4, TRUE, "Export-dataset")) / INDIRECT(ADDRESS(ROW(), COLUMN(), 4, TRUE, "Export-dataset")), "" )</f>
        <v>1.2531953743152768</v>
      </c>
      <c r="BC5" s="6" cm="1">
        <f t="array" aca="1" ref="BC5" ca="1">IFERROR( INDIRECT(ADDRESS(ROW()+1, COLUMN(), 4, TRUE, "Export-dataset")) / INDIRECT(ADDRESS(ROW(), COLUMN(), 4, TRUE, "Export-dataset")), "" )</f>
        <v>1.2962962962962963</v>
      </c>
      <c r="BD5" s="6" cm="1">
        <f t="array" aca="1" ref="BD5" ca="1">IFERROR( INDIRECT(ADDRESS(ROW()+1, COLUMN(), 4, TRUE, "Export-dataset")) / INDIRECT(ADDRESS(ROW(), COLUMN(), 4, TRUE, "Export-dataset")), "" )</f>
        <v>1.2015706806282722</v>
      </c>
      <c r="BE5" s="6" cm="1">
        <f t="array" aca="1" ref="BE5" ca="1">IFERROR( INDIRECT(ADDRESS(ROW()+1, COLUMN(), 4, TRUE, "Export-dataset")) / INDIRECT(ADDRESS(ROW(), COLUMN(), 4, TRUE, "Export-dataset")), "" )</f>
        <v>1.4814814814814814</v>
      </c>
      <c r="BF5" s="6" cm="1">
        <f t="array" aca="1" ref="BF5" ca="1">IFERROR( INDIRECT(ADDRESS(ROW()+1, COLUMN(), 4, TRUE, "Export-dataset")) / INDIRECT(ADDRESS(ROW(), COLUMN(), 4, TRUE, "Export-dataset")), "" )</f>
        <v>1.225071225071225</v>
      </c>
      <c r="BG5" s="6" cm="1">
        <f t="array" aca="1" ref="BG5" ca="1">IFERROR( INDIRECT(ADDRESS(ROW()+1, COLUMN(), 4, TRUE, "Export-dataset")) / INDIRECT(ADDRESS(ROW(), COLUMN(), 4, TRUE, "Export-dataset")), "" )</f>
        <v>1.3229166666666667</v>
      </c>
      <c r="BH5" s="6" cm="1">
        <f t="array" aca="1" ref="BH5" ca="1">IFERROR( INDIRECT(ADDRESS(ROW()+1, COLUMN(), 4, TRUE, "Export-dataset")) / INDIRECT(ADDRESS(ROW(), COLUMN(), 4, TRUE, "Export-dataset")), "" )</f>
        <v>1.3287671232876712</v>
      </c>
      <c r="BI5" s="6" cm="1">
        <f t="array" aca="1" ref="BI5" ca="1">IFERROR( INDIRECT(ADDRESS(ROW()+1, COLUMN(), 4, TRUE, "Export-dataset")) / INDIRECT(ADDRESS(ROW(), COLUMN(), 4, TRUE, "Export-dataset")), "" )</f>
        <v>1.2629969418960245</v>
      </c>
      <c r="BJ5" s="6" cm="1">
        <f t="array" aca="1" ref="BJ5" ca="1">IFERROR( INDIRECT(ADDRESS(ROW()+1, COLUMN(), 4, TRUE, "Export-dataset")) / INDIRECT(ADDRESS(ROW(), COLUMN(), 4, TRUE, "Export-dataset")), "" )</f>
        <v>1.4488188976377954</v>
      </c>
      <c r="BK5" s="6" cm="1">
        <f t="array" aca="1" ref="BK5" ca="1">IFERROR( INDIRECT(ADDRESS(ROW()+1, COLUMN(), 4, TRUE, "Export-dataset")) / INDIRECT(ADDRESS(ROW(), COLUMN(), 4, TRUE, "Export-dataset")), "" )</f>
        <v>0.99318568994889267</v>
      </c>
      <c r="BL5" s="6" cm="1">
        <f t="array" aca="1" ref="BL5" ca="1">IFERROR( INDIRECT(ADDRESS(ROW()+1, COLUMN(), 4, TRUE, "Export-dataset")) / INDIRECT(ADDRESS(ROW(), COLUMN(), 4, TRUE, "Export-dataset")), "" )</f>
        <v>1.0348929421094371</v>
      </c>
      <c r="BM5" s="6" cm="1">
        <f t="array" aca="1" ref="BM5" ca="1">IFERROR( INDIRECT(ADDRESS(ROW()+1, COLUMN(), 4, TRUE, "Export-dataset")) / INDIRECT(ADDRESS(ROW(), COLUMN(), 4, TRUE, "Export-dataset")), "" )</f>
        <v>1.3214285714285714</v>
      </c>
      <c r="BN5" s="6" cm="1">
        <f t="array" aca="1" ref="BN5" ca="1">IFERROR( INDIRECT(ADDRESS(ROW()+1, COLUMN(), 4, TRUE, "Export-dataset")) / INDIRECT(ADDRESS(ROW(), COLUMN(), 4, TRUE, "Export-dataset")), "" )</f>
        <v>1.2</v>
      </c>
      <c r="BO5" s="6" cm="1">
        <f t="array" aca="1" ref="BO5" ca="1">IFERROR( INDIRECT(ADDRESS(ROW()+1, COLUMN(), 4, TRUE, "Export-dataset")) / INDIRECT(ADDRESS(ROW(), COLUMN(), 4, TRUE, "Export-dataset")), "" )</f>
        <v>1.6666666666666667</v>
      </c>
      <c r="BP5" s="6" cm="1">
        <f t="array" aca="1" ref="BP5" ca="1">IFERROR( INDIRECT(ADDRESS(ROW()+1, COLUMN(), 4, TRUE, "Export-dataset")) / INDIRECT(ADDRESS(ROW(), COLUMN(), 4, TRUE, "Export-dataset")), "" )</f>
        <v>1.4204545454545454</v>
      </c>
      <c r="BQ5" s="6" cm="1">
        <f t="array" aca="1" ref="BQ5" ca="1">IFERROR( INDIRECT(ADDRESS(ROW()+1, COLUMN(), 4, TRUE, "Export-dataset")) / INDIRECT(ADDRESS(ROW(), COLUMN(), 4, TRUE, "Export-dataset")), "" )</f>
        <v>0.95652173913043481</v>
      </c>
      <c r="BR5" s="6" cm="1">
        <f t="array" aca="1" ref="BR5" ca="1">IFERROR( INDIRECT(ADDRESS(ROW()+1, COLUMN(), 4, TRUE, "Export-dataset")) / INDIRECT(ADDRESS(ROW(), COLUMN(), 4, TRUE, "Export-dataset")), "" )</f>
        <v>1.045643153526971</v>
      </c>
      <c r="BS5" s="6" cm="1">
        <f t="array" aca="1" ref="BS5" ca="1">IFERROR( INDIRECT(ADDRESS(ROW()+1, COLUMN(), 4, TRUE, "Export-dataset")) / INDIRECT(ADDRESS(ROW(), COLUMN(), 4, TRUE, "Export-dataset")), "" )</f>
        <v>0.96399999999999997</v>
      </c>
      <c r="BT5" s="6" cm="1">
        <f t="array" aca="1" ref="BT5" ca="1">IFERROR( INDIRECT(ADDRESS(ROW()+1, COLUMN(), 4, TRUE, "Export-dataset")) / INDIRECT(ADDRESS(ROW(), COLUMN(), 4, TRUE, "Export-dataset")), "" )</f>
        <v>0.98811544991511036</v>
      </c>
      <c r="BU5" s="6" cm="1">
        <f t="array" aca="1" ref="BU5" ca="1">IFERROR( INDIRECT(ADDRESS(ROW()+1, COLUMN(), 4, TRUE, "Export-dataset")) / INDIRECT(ADDRESS(ROW(), COLUMN(), 4, TRUE, "Export-dataset")), "" )</f>
        <v>1.169970267591675</v>
      </c>
      <c r="BV5" s="6" cm="1">
        <f t="array" aca="1" ref="BV5" ca="1">IFERROR( INDIRECT(ADDRESS(ROW()+1, COLUMN(), 4, TRUE, "Export-dataset")) / INDIRECT(ADDRESS(ROW(), COLUMN(), 4, TRUE, "Export-dataset")), "" )</f>
        <v>1.2156862745098038</v>
      </c>
      <c r="BW5" s="6" cm="1">
        <f t="array" aca="1" ref="BW5" ca="1">IFERROR( INDIRECT(ADDRESS(ROW()+1, COLUMN(), 4, TRUE, "Export-dataset")) / INDIRECT(ADDRESS(ROW(), COLUMN(), 4, TRUE, "Export-dataset")), "" )</f>
        <v>1.2195121951219512</v>
      </c>
      <c r="BX5" s="6" t="str" cm="1">
        <f t="array" aca="1" ref="BX5" ca="1">IFERROR( INDIRECT(ADDRESS(ROW()+1, COLUMN(), 4, TRUE, "Export-dataset")) / INDIRECT(ADDRESS(ROW(), COLUMN(), 4, TRUE, "Export-dataset")), "" )</f>
        <v/>
      </c>
      <c r="BY5" s="6" cm="1">
        <f t="array" aca="1" ref="BY5" ca="1">IFERROR( INDIRECT(ADDRESS(ROW()+1, COLUMN(), 4, TRUE, "Export-dataset")) / INDIRECT(ADDRESS(ROW(), COLUMN(), 4, TRUE, "Export-dataset")), "" )</f>
        <v>1.3281853281853282</v>
      </c>
      <c r="BZ5" s="6" cm="1">
        <f t="array" aca="1" ref="BZ5" ca="1">IFERROR( INDIRECT(ADDRESS(ROW()+1, COLUMN(), 4, TRUE, "Export-dataset")) / INDIRECT(ADDRESS(ROW(), COLUMN(), 4, TRUE, "Export-dataset")), "" )</f>
        <v>0.77736890524379021</v>
      </c>
      <c r="CA5" s="6" cm="1">
        <f t="array" aca="1" ref="CA5" ca="1">IFERROR( INDIRECT(ADDRESS(ROW()+1, COLUMN(), 4, TRUE, "Export-dataset")) / INDIRECT(ADDRESS(ROW(), COLUMN(), 4, TRUE, "Export-dataset")), "" )</f>
        <v>1.0826259918735508</v>
      </c>
    </row>
    <row r="6" spans="1:79">
      <c r="A6" s="6" t="s">
        <v>163</v>
      </c>
      <c r="B6" s="6" cm="1">
        <f t="array" aca="1" ref="B6" ca="1">IFERROR( INDIRECT(ADDRESS(ROW()+1, COLUMN(), 4, TRUE, "Export-dataset")) / INDIRECT(ADDRESS(ROW(), COLUMN(), 4, TRUE, "Export-dataset")), "" )</f>
        <v>0.95743368291178288</v>
      </c>
      <c r="C6" s="6" cm="1">
        <f t="array" aca="1" ref="C6" ca="1">IFERROR( INDIRECT(ADDRESS(ROW()+1, COLUMN(), 4, TRUE, "Export-dataset")) / INDIRECT(ADDRESS(ROW(), COLUMN(), 4, TRUE, "Export-dataset")), "" )</f>
        <v>1.1165644171779141</v>
      </c>
      <c r="D6" s="6" cm="1">
        <f t="array" aca="1" ref="D6" ca="1">IFERROR( INDIRECT(ADDRESS(ROW()+1, COLUMN(), 4, TRUE, "Export-dataset")) / INDIRECT(ADDRESS(ROW(), COLUMN(), 4, TRUE, "Export-dataset")), "" )</f>
        <v>1.0482200647249191</v>
      </c>
      <c r="E6" s="6" cm="1">
        <f t="array" aca="1" ref="E6" ca="1">IFERROR( INDIRECT(ADDRESS(ROW()+1, COLUMN(), 4, TRUE, "Export-dataset")) / INDIRECT(ADDRESS(ROW(), COLUMN(), 4, TRUE, "Export-dataset")), "" )</f>
        <v>1.1730769230769231</v>
      </c>
      <c r="F6" s="6" cm="1">
        <f t="array" aca="1" ref="F6" ca="1">IFERROR( INDIRECT(ADDRESS(ROW()+1, COLUMN(), 4, TRUE, "Export-dataset")) / INDIRECT(ADDRESS(ROW(), COLUMN(), 4, TRUE, "Export-dataset")), "" )</f>
        <v>1.0931952662721893</v>
      </c>
      <c r="G6" s="6" cm="1">
        <f t="array" aca="1" ref="G6" ca="1">IFERROR( INDIRECT(ADDRESS(ROW()+1, COLUMN(), 4, TRUE, "Export-dataset")) / INDIRECT(ADDRESS(ROW(), COLUMN(), 4, TRUE, "Export-dataset")), "" )</f>
        <v>0.79993364299933645</v>
      </c>
      <c r="H6" s="6" cm="1">
        <f t="array" aca="1" ref="H6" ca="1">IFERROR( INDIRECT(ADDRESS(ROW()+1, COLUMN(), 4, TRUE, "Export-dataset")) / INDIRECT(ADDRESS(ROW(), COLUMN(), 4, TRUE, "Export-dataset")), "" )</f>
        <v>1.1204819277108433</v>
      </c>
      <c r="I6" s="6" cm="1">
        <f t="array" aca="1" ref="I6" ca="1">IFERROR( INDIRECT(ADDRESS(ROW()+1, COLUMN(), 4, TRUE, "Export-dataset")) / INDIRECT(ADDRESS(ROW(), COLUMN(), 4, TRUE, "Export-dataset")), "" )</f>
        <v>0.69482288828337879</v>
      </c>
      <c r="J6" s="6" cm="1">
        <f t="array" aca="1" ref="J6" ca="1">IFERROR( INDIRECT(ADDRESS(ROW()+1, COLUMN(), 4, TRUE, "Export-dataset")) / INDIRECT(ADDRESS(ROW(), COLUMN(), 4, TRUE, "Export-dataset")), "" )</f>
        <v>1.1219512195121952</v>
      </c>
      <c r="K6" s="6" cm="1">
        <f t="array" aca="1" ref="K6" ca="1">IFERROR( INDIRECT(ADDRESS(ROW()+1, COLUMN(), 4, TRUE, "Export-dataset")) / INDIRECT(ADDRESS(ROW(), COLUMN(), 4, TRUE, "Export-dataset")), "" )</f>
        <v>1.2773109243697478</v>
      </c>
      <c r="L6" s="6" cm="1">
        <f t="array" aca="1" ref="L6" ca="1">IFERROR( INDIRECT(ADDRESS(ROW()+1, COLUMN(), 4, TRUE, "Export-dataset")) / INDIRECT(ADDRESS(ROW(), COLUMN(), 4, TRUE, "Export-dataset")), "" )</f>
        <v>1.2857142857142858</v>
      </c>
      <c r="M6" s="6" cm="1">
        <f t="array" aca="1" ref="M6" ca="1">IFERROR( INDIRECT(ADDRESS(ROW()+1, COLUMN(), 4, TRUE, "Export-dataset")) / INDIRECT(ADDRESS(ROW(), COLUMN(), 4, TRUE, "Export-dataset")), "" )</f>
        <v>1.1649122807017545</v>
      </c>
      <c r="N6" s="6" cm="1">
        <f t="array" aca="1" ref="N6" ca="1">IFERROR( INDIRECT(ADDRESS(ROW()+1, COLUMN(), 4, TRUE, "Export-dataset")) / INDIRECT(ADDRESS(ROW(), COLUMN(), 4, TRUE, "Export-dataset")), "" )</f>
        <v>1.1766917293233083</v>
      </c>
      <c r="O6" s="6" cm="1">
        <f t="array" aca="1" ref="O6" ca="1">IFERROR( INDIRECT(ADDRESS(ROW()+1, COLUMN(), 4, TRUE, "Export-dataset")) / INDIRECT(ADDRESS(ROW(), COLUMN(), 4, TRUE, "Export-dataset")), "" )</f>
        <v>1.1052631578947369</v>
      </c>
      <c r="P6" s="6" cm="1">
        <f t="array" aca="1" ref="P6" ca="1">IFERROR( INDIRECT(ADDRESS(ROW()+1, COLUMN(), 4, TRUE, "Export-dataset")) / INDIRECT(ADDRESS(ROW(), COLUMN(), 4, TRUE, "Export-dataset")), "" )</f>
        <v>1.0161973400698416</v>
      </c>
      <c r="Q6" s="6" cm="1">
        <f t="array" aca="1" ref="Q6" ca="1">IFERROR( INDIRECT(ADDRESS(ROW()+1, COLUMN(), 4, TRUE, "Export-dataset")) / INDIRECT(ADDRESS(ROW(), COLUMN(), 4, TRUE, "Export-dataset")), "" )</f>
        <v>0.65530303030303028</v>
      </c>
      <c r="R6" s="6" cm="1">
        <f t="array" aca="1" ref="R6" ca="1">IFERROR( INDIRECT(ADDRESS(ROW()+1, COLUMN(), 4, TRUE, "Export-dataset")) / INDIRECT(ADDRESS(ROW(), COLUMN(), 4, TRUE, "Export-dataset")), "" )</f>
        <v>1.1568627450980393</v>
      </c>
      <c r="S6" s="6" cm="1">
        <f t="array" aca="1" ref="S6" ca="1">IFERROR( INDIRECT(ADDRESS(ROW()+1, COLUMN(), 4, TRUE, "Export-dataset")) / INDIRECT(ADDRESS(ROW(), COLUMN(), 4, TRUE, "Export-dataset")), "" )</f>
        <v>1</v>
      </c>
      <c r="T6" s="6" cm="1">
        <f t="array" aca="1" ref="T6" ca="1">IFERROR( INDIRECT(ADDRESS(ROW()+1, COLUMN(), 4, TRUE, "Export-dataset")) / INDIRECT(ADDRESS(ROW(), COLUMN(), 4, TRUE, "Export-dataset")), "" )</f>
        <v>1.1467661691542288</v>
      </c>
      <c r="U6" s="6" cm="1">
        <f t="array" aca="1" ref="U6" ca="1">IFERROR( INDIRECT(ADDRESS(ROW()+1, COLUMN(), 4, TRUE, "Export-dataset")) / INDIRECT(ADDRESS(ROW(), COLUMN(), 4, TRUE, "Export-dataset")), "" )</f>
        <v>0.95238095238095233</v>
      </c>
      <c r="V6" s="6" cm="1">
        <f t="array" aca="1" ref="V6" ca="1">IFERROR( INDIRECT(ADDRESS(ROW()+1, COLUMN(), 4, TRUE, "Export-dataset")) / INDIRECT(ADDRESS(ROW(), COLUMN(), 4, TRUE, "Export-dataset")), "" )</f>
        <v>1.1096725057121097</v>
      </c>
      <c r="W6" s="6" cm="1">
        <f t="array" aca="1" ref="W6" ca="1">IFERROR( INDIRECT(ADDRESS(ROW()+1, COLUMN(), 4, TRUE, "Export-dataset")) / INDIRECT(ADDRESS(ROW(), COLUMN(), 4, TRUE, "Export-dataset")), "" )</f>
        <v>1.2083333333333333</v>
      </c>
      <c r="X6" s="6" cm="1">
        <f t="array" aca="1" ref="X6" ca="1">IFERROR( INDIRECT(ADDRESS(ROW()+1, COLUMN(), 4, TRUE, "Export-dataset")) / INDIRECT(ADDRESS(ROW(), COLUMN(), 4, TRUE, "Export-dataset")), "" )</f>
        <v>0.9805250831998028</v>
      </c>
      <c r="Y6" s="6" cm="1">
        <f t="array" aca="1" ref="Y6" ca="1">IFERROR( INDIRECT(ADDRESS(ROW()+1, COLUMN(), 4, TRUE, "Export-dataset")) / INDIRECT(ADDRESS(ROW(), COLUMN(), 4, TRUE, "Export-dataset")), "" )</f>
        <v>1.0251572327044025</v>
      </c>
      <c r="Z6" s="6" cm="1">
        <f t="array" aca="1" ref="Z6" ca="1">IFERROR( INDIRECT(ADDRESS(ROW()+1, COLUMN(), 4, TRUE, "Export-dataset")) / INDIRECT(ADDRESS(ROW(), COLUMN(), 4, TRUE, "Export-dataset")), "" )</f>
        <v>1.1339378778403169</v>
      </c>
      <c r="AA6" s="6" cm="1">
        <f t="array" aca="1" ref="AA6" ca="1">IFERROR( INDIRECT(ADDRESS(ROW()+1, COLUMN(), 4, TRUE, "Export-dataset")) / INDIRECT(ADDRESS(ROW(), COLUMN(), 4, TRUE, "Export-dataset")), "" )</f>
        <v>1.1382802124833997</v>
      </c>
      <c r="AB6" s="6" cm="1">
        <f t="array" aca="1" ref="AB6" ca="1">IFERROR( INDIRECT(ADDRESS(ROW()+1, COLUMN(), 4, TRUE, "Export-dataset")) / INDIRECT(ADDRESS(ROW(), COLUMN(), 4, TRUE, "Export-dataset")), "" )</f>
        <v>1.0114503816793894</v>
      </c>
      <c r="AC6" s="6" cm="1">
        <f t="array" aca="1" ref="AC6" ca="1">IFERROR( INDIRECT(ADDRESS(ROW()+1, COLUMN(), 4, TRUE, "Export-dataset")) / INDIRECT(ADDRESS(ROW(), COLUMN(), 4, TRUE, "Export-dataset")), "" )</f>
        <v>1.6014492753623188</v>
      </c>
      <c r="AD6" s="6" cm="1">
        <f t="array" aca="1" ref="AD6" ca="1">IFERROR( INDIRECT(ADDRESS(ROW()+1, COLUMN(), 4, TRUE, "Export-dataset")) / INDIRECT(ADDRESS(ROW(), COLUMN(), 4, TRUE, "Export-dataset")), "" )</f>
        <v>1.0381679389312977</v>
      </c>
      <c r="AE6" s="6" cm="1">
        <f t="array" aca="1" ref="AE6" ca="1">IFERROR( INDIRECT(ADDRESS(ROW()+1, COLUMN(), 4, TRUE, "Export-dataset")) / INDIRECT(ADDRESS(ROW(), COLUMN(), 4, TRUE, "Export-dataset")), "" )</f>
        <v>1.0353982300884956</v>
      </c>
      <c r="AF6" s="6" cm="1">
        <f t="array" aca="1" ref="AF6" ca="1">IFERROR( INDIRECT(ADDRESS(ROW()+1, COLUMN(), 4, TRUE, "Export-dataset")) / INDIRECT(ADDRESS(ROW(), COLUMN(), 4, TRUE, "Export-dataset")), "" )</f>
        <v>1</v>
      </c>
      <c r="AG6" s="6" cm="1">
        <f t="array" aca="1" ref="AG6" ca="1">IFERROR( INDIRECT(ADDRESS(ROW()+1, COLUMN(), 4, TRUE, "Export-dataset")) / INDIRECT(ADDRESS(ROW(), COLUMN(), 4, TRUE, "Export-dataset")), "" )</f>
        <v>1.5</v>
      </c>
      <c r="AH6" s="6" cm="1">
        <f t="array" aca="1" ref="AH6" ca="1">IFERROR( INDIRECT(ADDRESS(ROW()+1, COLUMN(), 4, TRUE, "Export-dataset")) / INDIRECT(ADDRESS(ROW(), COLUMN(), 4, TRUE, "Export-dataset")), "" )</f>
        <v>1.1845559845559845</v>
      </c>
      <c r="AI6" s="6" cm="1">
        <f t="array" aca="1" ref="AI6" ca="1">IFERROR( INDIRECT(ADDRESS(ROW()+1, COLUMN(), 4, TRUE, "Export-dataset")) / INDIRECT(ADDRESS(ROW(), COLUMN(), 4, TRUE, "Export-dataset")), "" )</f>
        <v>1</v>
      </c>
      <c r="AJ6" s="6" cm="1">
        <f t="array" aca="1" ref="AJ6" ca="1">IFERROR( INDIRECT(ADDRESS(ROW()+1, COLUMN(), 4, TRUE, "Export-dataset")) / INDIRECT(ADDRESS(ROW(), COLUMN(), 4, TRUE, "Export-dataset")), "" )</f>
        <v>1.4457142857142857</v>
      </c>
      <c r="AK6" s="6" cm="1">
        <f t="array" aca="1" ref="AK6" ca="1">IFERROR( INDIRECT(ADDRESS(ROW()+1, COLUMN(), 4, TRUE, "Export-dataset")) / INDIRECT(ADDRESS(ROW(), COLUMN(), 4, TRUE, "Export-dataset")), "" )</f>
        <v>0.85067873303167418</v>
      </c>
      <c r="AL6" s="6" cm="1">
        <f t="array" aca="1" ref="AL6" ca="1">IFERROR( INDIRECT(ADDRESS(ROW()+1, COLUMN(), 4, TRUE, "Export-dataset")) / INDIRECT(ADDRESS(ROW(), COLUMN(), 4, TRUE, "Export-dataset")), "" )</f>
        <v>1.3003412969283277</v>
      </c>
      <c r="AM6" s="6" cm="1">
        <f t="array" aca="1" ref="AM6" ca="1">IFERROR( INDIRECT(ADDRESS(ROW()+1, COLUMN(), 4, TRUE, "Export-dataset")) / INDIRECT(ADDRESS(ROW(), COLUMN(), 4, TRUE, "Export-dataset")), "" )</f>
        <v>1.1904761904761905</v>
      </c>
      <c r="AN6" s="6" cm="1">
        <f t="array" aca="1" ref="AN6" ca="1">IFERROR( INDIRECT(ADDRESS(ROW()+1, COLUMN(), 4, TRUE, "Export-dataset")) / INDIRECT(ADDRESS(ROW(), COLUMN(), 4, TRUE, "Export-dataset")), "" )</f>
        <v>1.4166666666666667</v>
      </c>
      <c r="AO6" s="6" cm="1">
        <f t="array" aca="1" ref="AO6" ca="1">IFERROR( INDIRECT(ADDRESS(ROW()+1, COLUMN(), 4, TRUE, "Export-dataset")) / INDIRECT(ADDRESS(ROW(), COLUMN(), 4, TRUE, "Export-dataset")), "" )</f>
        <v>1.3308823529411764</v>
      </c>
      <c r="AP6" s="6" cm="1">
        <f t="array" aca="1" ref="AP6" ca="1">IFERROR( INDIRECT(ADDRESS(ROW()+1, COLUMN(), 4, TRUE, "Export-dataset")) / INDIRECT(ADDRESS(ROW(), COLUMN(), 4, TRUE, "Export-dataset")), "" )</f>
        <v>1.0789473684210527</v>
      </c>
      <c r="AQ6" s="6" cm="1">
        <f t="array" aca="1" ref="AQ6" ca="1">IFERROR( INDIRECT(ADDRESS(ROW()+1, COLUMN(), 4, TRUE, "Export-dataset")) / INDIRECT(ADDRESS(ROW(), COLUMN(), 4, TRUE, "Export-dataset")), "" )</f>
        <v>1.1578947368421053</v>
      </c>
      <c r="AR6" s="6" cm="1">
        <f t="array" aca="1" ref="AR6" ca="1">IFERROR( INDIRECT(ADDRESS(ROW()+1, COLUMN(), 4, TRUE, "Export-dataset")) / INDIRECT(ADDRESS(ROW(), COLUMN(), 4, TRUE, "Export-dataset")), "" )</f>
        <v>1.0356400831069204</v>
      </c>
      <c r="AS6" s="6" cm="1">
        <f t="array" aca="1" ref="AS6" ca="1">IFERROR( INDIRECT(ADDRESS(ROW()+1, COLUMN(), 4, TRUE, "Export-dataset")) / INDIRECT(ADDRESS(ROW(), COLUMN(), 4, TRUE, "Export-dataset")), "" )</f>
        <v>1.038888888888889</v>
      </c>
      <c r="AT6" s="6" cm="1">
        <f t="array" aca="1" ref="AT6" ca="1">IFERROR( INDIRECT(ADDRESS(ROW()+1, COLUMN(), 4, TRUE, "Export-dataset")) / INDIRECT(ADDRESS(ROW(), COLUMN(), 4, TRUE, "Export-dataset")), "" )</f>
        <v>1</v>
      </c>
      <c r="AU6" s="6" cm="1">
        <f t="array" aca="1" ref="AU6" ca="1">IFERROR( INDIRECT(ADDRESS(ROW()+1, COLUMN(), 4, TRUE, "Export-dataset")) / INDIRECT(ADDRESS(ROW(), COLUMN(), 4, TRUE, "Export-dataset")), "" )</f>
        <v>1.5151515151515151</v>
      </c>
      <c r="AV6" s="6" cm="1">
        <f t="array" aca="1" ref="AV6" ca="1">IFERROR( INDIRECT(ADDRESS(ROW()+1, COLUMN(), 4, TRUE, "Export-dataset")) / INDIRECT(ADDRESS(ROW(), COLUMN(), 4, TRUE, "Export-dataset")), "" )</f>
        <v>1.2440476190476191</v>
      </c>
      <c r="AW6" s="6" cm="1">
        <f t="array" aca="1" ref="AW6" ca="1">IFERROR( INDIRECT(ADDRESS(ROW()+1, COLUMN(), 4, TRUE, "Export-dataset")) / INDIRECT(ADDRESS(ROW(), COLUMN(), 4, TRUE, "Export-dataset")), "" )</f>
        <v>1.1122448979591837</v>
      </c>
      <c r="AX6" s="6" cm="1">
        <f t="array" aca="1" ref="AX6" ca="1">IFERROR( INDIRECT(ADDRESS(ROW()+1, COLUMN(), 4, TRUE, "Export-dataset")) / INDIRECT(ADDRESS(ROW(), COLUMN(), 4, TRUE, "Export-dataset")), "" )</f>
        <v>1.1982758620689655</v>
      </c>
      <c r="AY6" s="6" cm="1">
        <f t="array" aca="1" ref="AY6" ca="1">IFERROR( INDIRECT(ADDRESS(ROW()+1, COLUMN(), 4, TRUE, "Export-dataset")) / INDIRECT(ADDRESS(ROW(), COLUMN(), 4, TRUE, "Export-dataset")), "" )</f>
        <v>1.1298129812981299</v>
      </c>
      <c r="AZ6" s="6" cm="1">
        <f t="array" aca="1" ref="AZ6" ca="1">IFERROR( INDIRECT(ADDRESS(ROW()+1, COLUMN(), 4, TRUE, "Export-dataset")) / INDIRECT(ADDRESS(ROW(), COLUMN(), 4, TRUE, "Export-dataset")), "" )</f>
        <v>0.94469084268197234</v>
      </c>
      <c r="BA6" s="6" cm="1">
        <f t="array" aca="1" ref="BA6" ca="1">IFERROR( INDIRECT(ADDRESS(ROW()+1, COLUMN(), 4, TRUE, "Export-dataset")) / INDIRECT(ADDRESS(ROW(), COLUMN(), 4, TRUE, "Export-dataset")), "" )</f>
        <v>1.348894348894349</v>
      </c>
      <c r="BB6" s="6" cm="1">
        <f t="array" aca="1" ref="BB6" ca="1">IFERROR( INDIRECT(ADDRESS(ROW()+1, COLUMN(), 4, TRUE, "Export-dataset")) / INDIRECT(ADDRESS(ROW(), COLUMN(), 4, TRUE, "Export-dataset")), "" )</f>
        <v>1.1818844099077221</v>
      </c>
      <c r="BC6" s="6" cm="1">
        <f t="array" aca="1" ref="BC6" ca="1">IFERROR( INDIRECT(ADDRESS(ROW()+1, COLUMN(), 4, TRUE, "Export-dataset")) / INDIRECT(ADDRESS(ROW(), COLUMN(), 4, TRUE, "Export-dataset")), "" )</f>
        <v>1.1551020408163266</v>
      </c>
      <c r="BD6" s="6" cm="1">
        <f t="array" aca="1" ref="BD6" ca="1">IFERROR( INDIRECT(ADDRESS(ROW()+1, COLUMN(), 4, TRUE, "Export-dataset")) / INDIRECT(ADDRESS(ROW(), COLUMN(), 4, TRUE, "Export-dataset")), "" )</f>
        <v>1.1394335511982572</v>
      </c>
      <c r="BE6" s="6" cm="1">
        <f t="array" aca="1" ref="BE6" ca="1">IFERROR( INDIRECT(ADDRESS(ROW()+1, COLUMN(), 4, TRUE, "Export-dataset")) / INDIRECT(ADDRESS(ROW(), COLUMN(), 4, TRUE, "Export-dataset")), "" )</f>
        <v>0.98750000000000004</v>
      </c>
      <c r="BF6" s="6" cm="1">
        <f t="array" aca="1" ref="BF6" ca="1">IFERROR( INDIRECT(ADDRESS(ROW()+1, COLUMN(), 4, TRUE, "Export-dataset")) / INDIRECT(ADDRESS(ROW(), COLUMN(), 4, TRUE, "Export-dataset")), "" )</f>
        <v>1.1883720930232557</v>
      </c>
      <c r="BG6" s="6" cm="1">
        <f t="array" aca="1" ref="BG6" ca="1">IFERROR( INDIRECT(ADDRESS(ROW()+1, COLUMN(), 4, TRUE, "Export-dataset")) / INDIRECT(ADDRESS(ROW(), COLUMN(), 4, TRUE, "Export-dataset")), "" )</f>
        <v>1.2724409448818899</v>
      </c>
      <c r="BH6" s="6" cm="1">
        <f t="array" aca="1" ref="BH6" ca="1">IFERROR( INDIRECT(ADDRESS(ROW()+1, COLUMN(), 4, TRUE, "Export-dataset")) / INDIRECT(ADDRESS(ROW(), COLUMN(), 4, TRUE, "Export-dataset")), "" )</f>
        <v>1.0893470790378006</v>
      </c>
      <c r="BI6" s="6" cm="1">
        <f t="array" aca="1" ref="BI6" ca="1">IFERROR( INDIRECT(ADDRESS(ROW()+1, COLUMN(), 4, TRUE, "Export-dataset")) / INDIRECT(ADDRESS(ROW(), COLUMN(), 4, TRUE, "Export-dataset")), "" )</f>
        <v>1.3123486682808716</v>
      </c>
      <c r="BJ6" s="6" cm="1">
        <f t="array" aca="1" ref="BJ6" ca="1">IFERROR( INDIRECT(ADDRESS(ROW()+1, COLUMN(), 4, TRUE, "Export-dataset")) / INDIRECT(ADDRESS(ROW(), COLUMN(), 4, TRUE, "Export-dataset")), "" )</f>
        <v>1.1141304347826086</v>
      </c>
      <c r="BK6" s="6" cm="1">
        <f t="array" aca="1" ref="BK6" ca="1">IFERROR( INDIRECT(ADDRESS(ROW()+1, COLUMN(), 4, TRUE, "Export-dataset")) / INDIRECT(ADDRESS(ROW(), COLUMN(), 4, TRUE, "Export-dataset")), "" )</f>
        <v>1.1938250428816466</v>
      </c>
      <c r="BL6" s="6" cm="1">
        <f t="array" aca="1" ref="BL6" ca="1">IFERROR( INDIRECT(ADDRESS(ROW()+1, COLUMN(), 4, TRUE, "Export-dataset")) / INDIRECT(ADDRESS(ROW(), COLUMN(), 4, TRUE, "Export-dataset")), "" )</f>
        <v>1.0934865900383142</v>
      </c>
      <c r="BM6" s="6" cm="1">
        <f t="array" aca="1" ref="BM6" ca="1">IFERROR( INDIRECT(ADDRESS(ROW()+1, COLUMN(), 4, TRUE, "Export-dataset")) / INDIRECT(ADDRESS(ROW(), COLUMN(), 4, TRUE, "Export-dataset")), "" )</f>
        <v>1.027027027027027</v>
      </c>
      <c r="BN6" s="6" cm="1">
        <f t="array" aca="1" ref="BN6" ca="1">IFERROR( INDIRECT(ADDRESS(ROW()+1, COLUMN(), 4, TRUE, "Export-dataset")) / INDIRECT(ADDRESS(ROW(), COLUMN(), 4, TRUE, "Export-dataset")), "" )</f>
        <v>0.8571428571428571</v>
      </c>
      <c r="BO6" s="6" cm="1">
        <f t="array" aca="1" ref="BO6" ca="1">IFERROR( INDIRECT(ADDRESS(ROW()+1, COLUMN(), 4, TRUE, "Export-dataset")) / INDIRECT(ADDRESS(ROW(), COLUMN(), 4, TRUE, "Export-dataset")), "" )</f>
        <v>0.4</v>
      </c>
      <c r="BP6" s="6" cm="1">
        <f t="array" aca="1" ref="BP6" ca="1">IFERROR( INDIRECT(ADDRESS(ROW()+1, COLUMN(), 4, TRUE, "Export-dataset")) / INDIRECT(ADDRESS(ROW(), COLUMN(), 4, TRUE, "Export-dataset")), "" )</f>
        <v>1.1359999999999999</v>
      </c>
      <c r="BQ6" s="6" cm="1">
        <f t="array" aca="1" ref="BQ6" ca="1">IFERROR( INDIRECT(ADDRESS(ROW()+1, COLUMN(), 4, TRUE, "Export-dataset")) / INDIRECT(ADDRESS(ROW(), COLUMN(), 4, TRUE, "Export-dataset")), "" )</f>
        <v>1.3636363636363635</v>
      </c>
      <c r="BR6" s="6" cm="1">
        <f t="array" aca="1" ref="BR6" ca="1">IFERROR( INDIRECT(ADDRESS(ROW()+1, COLUMN(), 4, TRUE, "Export-dataset")) / INDIRECT(ADDRESS(ROW(), COLUMN(), 4, TRUE, "Export-dataset")), "" )</f>
        <v>1.2341269841269842</v>
      </c>
      <c r="BS6" s="6" cm="1">
        <f t="array" aca="1" ref="BS6" ca="1">IFERROR( INDIRECT(ADDRESS(ROW()+1, COLUMN(), 4, TRUE, "Export-dataset")) / INDIRECT(ADDRESS(ROW(), COLUMN(), 4, TRUE, "Export-dataset")), "" )</f>
        <v>1.0788381742738589</v>
      </c>
      <c r="BT6" s="6" cm="1">
        <f t="array" aca="1" ref="BT6" ca="1">IFERROR( INDIRECT(ADDRESS(ROW()+1, COLUMN(), 4, TRUE, "Export-dataset")) / INDIRECT(ADDRESS(ROW(), COLUMN(), 4, TRUE, "Export-dataset")), "" )</f>
        <v>1.0378006872852235</v>
      </c>
      <c r="BU6" s="6" cm="1">
        <f t="array" aca="1" ref="BU6" ca="1">IFERROR( INDIRECT(ADDRESS(ROW()+1, COLUMN(), 4, TRUE, "Export-dataset")) / INDIRECT(ADDRESS(ROW(), COLUMN(), 4, TRUE, "Export-dataset")), "" )</f>
        <v>1.0741211351122406</v>
      </c>
      <c r="BV6" s="6" cm="1">
        <f t="array" aca="1" ref="BV6" ca="1">IFERROR( INDIRECT(ADDRESS(ROW()+1, COLUMN(), 4, TRUE, "Export-dataset")) / INDIRECT(ADDRESS(ROW(), COLUMN(), 4, TRUE, "Export-dataset")), "" )</f>
        <v>1.0591397849462365</v>
      </c>
      <c r="BW6" s="6" cm="1">
        <f t="array" aca="1" ref="BW6" ca="1">IFERROR( INDIRECT(ADDRESS(ROW()+1, COLUMN(), 4, TRUE, "Export-dataset")) / INDIRECT(ADDRESS(ROW(), COLUMN(), 4, TRUE, "Export-dataset")), "" )</f>
        <v>1.284</v>
      </c>
      <c r="BX6" s="6" cm="1">
        <f t="array" aca="1" ref="BX6" ca="1">IFERROR( INDIRECT(ADDRESS(ROW()+1, COLUMN(), 4, TRUE, "Export-dataset")) / INDIRECT(ADDRESS(ROW(), COLUMN(), 4, TRUE, "Export-dataset")), "" )</f>
        <v>0</v>
      </c>
      <c r="BY6" s="6" cm="1">
        <f t="array" aca="1" ref="BY6" ca="1">IFERROR( INDIRECT(ADDRESS(ROW()+1, COLUMN(), 4, TRUE, "Export-dataset")) / INDIRECT(ADDRESS(ROW(), COLUMN(), 4, TRUE, "Export-dataset")), "" )</f>
        <v>1.0761627906976745</v>
      </c>
      <c r="BZ6" s="6" cm="1">
        <f t="array" aca="1" ref="BZ6" ca="1">IFERROR( INDIRECT(ADDRESS(ROW()+1, COLUMN(), 4, TRUE, "Export-dataset")) / INDIRECT(ADDRESS(ROW(), COLUMN(), 4, TRUE, "Export-dataset")), "" )</f>
        <v>1.0106508875739646</v>
      </c>
      <c r="CA6" s="6" cm="1">
        <f t="array" aca="1" ref="CA6" ca="1">IFERROR( INDIRECT(ADDRESS(ROW()+1, COLUMN(), 4, TRUE, "Export-dataset")) / INDIRECT(ADDRESS(ROW(), COLUMN(), 4, TRUE, "Export-dataset")), "" )</f>
        <v>1.0556090467862687</v>
      </c>
    </row>
    <row r="7" spans="1:79">
      <c r="A7" s="6" t="s">
        <v>164</v>
      </c>
      <c r="B7" s="6" cm="1">
        <f t="array" aca="1" ref="B7" ca="1">IFERROR( INDIRECT(ADDRESS(ROW()+1, COLUMN(), 4, TRUE, "Export-dataset")) / INDIRECT(ADDRESS(ROW(), COLUMN(), 4, TRUE, "Export-dataset")), "" )</f>
        <v>1.1365979381443299</v>
      </c>
      <c r="C7" s="6" cm="1">
        <f t="array" aca="1" ref="C7" ca="1">IFERROR( INDIRECT(ADDRESS(ROW()+1, COLUMN(), 4, TRUE, "Export-dataset")) / INDIRECT(ADDRESS(ROW(), COLUMN(), 4, TRUE, "Export-dataset")), "" )</f>
        <v>1.2417582417582418</v>
      </c>
      <c r="D7" s="6" cm="1">
        <f t="array" aca="1" ref="D7" ca="1">IFERROR( INDIRECT(ADDRESS(ROW()+1, COLUMN(), 4, TRUE, "Export-dataset")) / INDIRECT(ADDRESS(ROW(), COLUMN(), 4, TRUE, "Export-dataset")), "" )</f>
        <v>1.1327570237727693</v>
      </c>
      <c r="E7" s="6" cm="1">
        <f t="array" aca="1" ref="E7" ca="1">IFERROR( INDIRECT(ADDRESS(ROW()+1, COLUMN(), 4, TRUE, "Export-dataset")) / INDIRECT(ADDRESS(ROW(), COLUMN(), 4, TRUE, "Export-dataset")), "" )</f>
        <v>1.2068095838587642</v>
      </c>
      <c r="F7" s="6" cm="1">
        <f t="array" aca="1" ref="F7" ca="1">IFERROR( INDIRECT(ADDRESS(ROW()+1, COLUMN(), 4, TRUE, "Export-dataset")) / INDIRECT(ADDRESS(ROW(), COLUMN(), 4, TRUE, "Export-dataset")), "" )</f>
        <v>1.2354533152909337</v>
      </c>
      <c r="G7" s="6" cm="1">
        <f t="array" aca="1" ref="G7" ca="1">IFERROR( INDIRECT(ADDRESS(ROW()+1, COLUMN(), 4, TRUE, "Export-dataset")) / INDIRECT(ADDRESS(ROW(), COLUMN(), 4, TRUE, "Export-dataset")), "" )</f>
        <v>1.0157610949813356</v>
      </c>
      <c r="H7" s="6" cm="1">
        <f t="array" aca="1" ref="H7" ca="1">IFERROR( INDIRECT(ADDRESS(ROW()+1, COLUMN(), 4, TRUE, "Export-dataset")) / INDIRECT(ADDRESS(ROW(), COLUMN(), 4, TRUE, "Export-dataset")), "" )</f>
        <v>1.2672811059907834</v>
      </c>
      <c r="I7" s="6" cm="1">
        <f t="array" aca="1" ref="I7" ca="1">IFERROR( INDIRECT(ADDRESS(ROW()+1, COLUMN(), 4, TRUE, "Export-dataset")) / INDIRECT(ADDRESS(ROW(), COLUMN(), 4, TRUE, "Export-dataset")), "" )</f>
        <v>1.1607843137254903</v>
      </c>
      <c r="J7" s="6" cm="1">
        <f t="array" aca="1" ref="J7" ca="1">IFERROR( INDIRECT(ADDRESS(ROW()+1, COLUMN(), 4, TRUE, "Export-dataset")) / INDIRECT(ADDRESS(ROW(), COLUMN(), 4, TRUE, "Export-dataset")), "" )</f>
        <v>1.2173913043478262</v>
      </c>
      <c r="K7" s="6" cm="1">
        <f t="array" aca="1" ref="K7" ca="1">IFERROR( INDIRECT(ADDRESS(ROW()+1, COLUMN(), 4, TRUE, "Export-dataset")) / INDIRECT(ADDRESS(ROW(), COLUMN(), 4, TRUE, "Export-dataset")), "" )</f>
        <v>1.3322368421052631</v>
      </c>
      <c r="L7" s="6" cm="1">
        <f t="array" aca="1" ref="L7" ca="1">IFERROR( INDIRECT(ADDRESS(ROW()+1, COLUMN(), 4, TRUE, "Export-dataset")) / INDIRECT(ADDRESS(ROW(), COLUMN(), 4, TRUE, "Export-dataset")), "" )</f>
        <v>1.0444444444444445</v>
      </c>
      <c r="M7" s="6" cm="1">
        <f t="array" aca="1" ref="M7" ca="1">IFERROR( INDIRECT(ADDRESS(ROW()+1, COLUMN(), 4, TRUE, "Export-dataset")) / INDIRECT(ADDRESS(ROW(), COLUMN(), 4, TRUE, "Export-dataset")), "" )</f>
        <v>1.1385542168674698</v>
      </c>
      <c r="N7" s="6" cm="1">
        <f t="array" aca="1" ref="N7" ca="1">IFERROR( INDIRECT(ADDRESS(ROW()+1, COLUMN(), 4, TRUE, "Export-dataset")) / INDIRECT(ADDRESS(ROW(), COLUMN(), 4, TRUE, "Export-dataset")), "" )</f>
        <v>1.134185303514377</v>
      </c>
      <c r="O7" s="6" cm="1">
        <f t="array" aca="1" ref="O7" ca="1">IFERROR( INDIRECT(ADDRESS(ROW()+1, COLUMN(), 4, TRUE, "Export-dataset")) / INDIRECT(ADDRESS(ROW(), COLUMN(), 4, TRUE, "Export-dataset")), "" )</f>
        <v>1.0476190476190477</v>
      </c>
      <c r="P7" s="6" cm="1">
        <f t="array" aca="1" ref="P7" ca="1">IFERROR( INDIRECT(ADDRESS(ROW()+1, COLUMN(), 4, TRUE, "Export-dataset")) / INDIRECT(ADDRESS(ROW(), COLUMN(), 4, TRUE, "Export-dataset")), "" )</f>
        <v>0.98669298822841267</v>
      </c>
      <c r="Q7" s="6" cm="1">
        <f t="array" aca="1" ref="Q7" ca="1">IFERROR( INDIRECT(ADDRESS(ROW()+1, COLUMN(), 4, TRUE, "Export-dataset")) / INDIRECT(ADDRESS(ROW(), COLUMN(), 4, TRUE, "Export-dataset")), "" )</f>
        <v>1.1502890173410405</v>
      </c>
      <c r="R7" s="6" cm="1">
        <f t="array" aca="1" ref="R7" ca="1">IFERROR( INDIRECT(ADDRESS(ROW()+1, COLUMN(), 4, TRUE, "Export-dataset")) / INDIRECT(ADDRESS(ROW(), COLUMN(), 4, TRUE, "Export-dataset")), "" )</f>
        <v>1.0338983050847457</v>
      </c>
      <c r="S7" s="6" cm="1">
        <f t="array" aca="1" ref="S7" ca="1">IFERROR( INDIRECT(ADDRESS(ROW()+1, COLUMN(), 4, TRUE, "Export-dataset")) / INDIRECT(ADDRESS(ROW(), COLUMN(), 4, TRUE, "Export-dataset")), "" )</f>
        <v>1.375</v>
      </c>
      <c r="T7" s="6" cm="1">
        <f t="array" aca="1" ref="T7" ca="1">IFERROR( INDIRECT(ADDRESS(ROW()+1, COLUMN(), 4, TRUE, "Export-dataset")) / INDIRECT(ADDRESS(ROW(), COLUMN(), 4, TRUE, "Export-dataset")), "" )</f>
        <v>0.90889370932754876</v>
      </c>
      <c r="U7" s="6" cm="1">
        <f t="array" aca="1" ref="U7" ca="1">IFERROR( INDIRECT(ADDRESS(ROW()+1, COLUMN(), 4, TRUE, "Export-dataset")) / INDIRECT(ADDRESS(ROW(), COLUMN(), 4, TRUE, "Export-dataset")), "" )</f>
        <v>0.45</v>
      </c>
      <c r="V7" s="6" cm="1">
        <f t="array" aca="1" ref="V7" ca="1">IFERROR( INDIRECT(ADDRESS(ROW()+1, COLUMN(), 4, TRUE, "Export-dataset")) / INDIRECT(ADDRESS(ROW(), COLUMN(), 4, TRUE, "Export-dataset")), "" )</f>
        <v>1.0384351407000687</v>
      </c>
      <c r="W7" s="6" cm="1">
        <f t="array" aca="1" ref="W7" ca="1">IFERROR( INDIRECT(ADDRESS(ROW()+1, COLUMN(), 4, TRUE, "Export-dataset")) / INDIRECT(ADDRESS(ROW(), COLUMN(), 4, TRUE, "Export-dataset")), "" )</f>
        <v>1.1310344827586207</v>
      </c>
      <c r="X7" s="6" cm="1">
        <f t="array" aca="1" ref="X7" ca="1">IFERROR( INDIRECT(ADDRESS(ROW()+1, COLUMN(), 4, TRUE, "Export-dataset")) / INDIRECT(ADDRESS(ROW(), COLUMN(), 4, TRUE, "Export-dataset")), "" )</f>
        <v>0.94770584538026403</v>
      </c>
      <c r="Y7" s="6" cm="1">
        <f t="array" aca="1" ref="Y7" ca="1">IFERROR( INDIRECT(ADDRESS(ROW()+1, COLUMN(), 4, TRUE, "Export-dataset")) / INDIRECT(ADDRESS(ROW(), COLUMN(), 4, TRUE, "Export-dataset")), "" )</f>
        <v>1.1840490797546013</v>
      </c>
      <c r="Z7" s="6" cm="1">
        <f t="array" aca="1" ref="Z7" ca="1">IFERROR( INDIRECT(ADDRESS(ROW()+1, COLUMN(), 4, TRUE, "Export-dataset")) / INDIRECT(ADDRESS(ROW(), COLUMN(), 4, TRUE, "Export-dataset")), "" )</f>
        <v>1.0674694365290927</v>
      </c>
      <c r="AA7" s="6" cm="1">
        <f t="array" aca="1" ref="AA7" ca="1">IFERROR( INDIRECT(ADDRESS(ROW()+1, COLUMN(), 4, TRUE, "Export-dataset")) / INDIRECT(ADDRESS(ROW(), COLUMN(), 4, TRUE, "Export-dataset")), "" )</f>
        <v>1.0711681493364444</v>
      </c>
      <c r="AB7" s="6" cm="1">
        <f t="array" aca="1" ref="AB7" ca="1">IFERROR( INDIRECT(ADDRESS(ROW()+1, COLUMN(), 4, TRUE, "Export-dataset")) / INDIRECT(ADDRESS(ROW(), COLUMN(), 4, TRUE, "Export-dataset")), "" )</f>
        <v>1.0713550600343054</v>
      </c>
      <c r="AC7" s="6" cm="1">
        <f t="array" aca="1" ref="AC7" ca="1">IFERROR( INDIRECT(ADDRESS(ROW()+1, COLUMN(), 4, TRUE, "Export-dataset")) / INDIRECT(ADDRESS(ROW(), COLUMN(), 4, TRUE, "Export-dataset")), "" )</f>
        <v>1.0352941176470589</v>
      </c>
      <c r="AD7" s="6" cm="1">
        <f t="array" aca="1" ref="AD7" ca="1">IFERROR( INDIRECT(ADDRESS(ROW()+1, COLUMN(), 4, TRUE, "Export-dataset")) / INDIRECT(ADDRESS(ROW(), COLUMN(), 4, TRUE, "Export-dataset")), "" )</f>
        <v>1.1544117647058822</v>
      </c>
      <c r="AE7" s="6" cm="1">
        <f t="array" aca="1" ref="AE7" ca="1">IFERROR( INDIRECT(ADDRESS(ROW()+1, COLUMN(), 4, TRUE, "Export-dataset")) / INDIRECT(ADDRESS(ROW(), COLUMN(), 4, TRUE, "Export-dataset")), "" )</f>
        <v>1.1196581196581197</v>
      </c>
      <c r="AF7" s="6" cm="1">
        <f t="array" aca="1" ref="AF7" ca="1">IFERROR( INDIRECT(ADDRESS(ROW()+1, COLUMN(), 4, TRUE, "Export-dataset")) / INDIRECT(ADDRESS(ROW(), COLUMN(), 4, TRUE, "Export-dataset")), "" )</f>
        <v>1</v>
      </c>
      <c r="AG7" s="6" cm="1">
        <f t="array" aca="1" ref="AG7" ca="1">IFERROR( INDIRECT(ADDRESS(ROW()+1, COLUMN(), 4, TRUE, "Export-dataset")) / INDIRECT(ADDRESS(ROW(), COLUMN(), 4, TRUE, "Export-dataset")), "" )</f>
        <v>1.2222222222222223</v>
      </c>
      <c r="AH7" s="6" cm="1">
        <f t="array" aca="1" ref="AH7" ca="1">IFERROR( INDIRECT(ADDRESS(ROW()+1, COLUMN(), 4, TRUE, "Export-dataset")) / INDIRECT(ADDRESS(ROW(), COLUMN(), 4, TRUE, "Export-dataset")), "" )</f>
        <v>1.1851368970013039</v>
      </c>
      <c r="AI7" s="6" cm="1">
        <f t="array" aca="1" ref="AI7" ca="1">IFERROR( INDIRECT(ADDRESS(ROW()+1, COLUMN(), 4, TRUE, "Export-dataset")) / INDIRECT(ADDRESS(ROW(), COLUMN(), 4, TRUE, "Export-dataset")), "" )</f>
        <v>0.72641509433962259</v>
      </c>
      <c r="AJ7" s="6" cm="1">
        <f t="array" aca="1" ref="AJ7" ca="1">IFERROR( INDIRECT(ADDRESS(ROW()+1, COLUMN(), 4, TRUE, "Export-dataset")) / INDIRECT(ADDRESS(ROW(), COLUMN(), 4, TRUE, "Export-dataset")), "" )</f>
        <v>0.77075098814229248</v>
      </c>
      <c r="AK7" s="6" cm="1">
        <f t="array" aca="1" ref="AK7" ca="1">IFERROR( INDIRECT(ADDRESS(ROW()+1, COLUMN(), 4, TRUE, "Export-dataset")) / INDIRECT(ADDRESS(ROW(), COLUMN(), 4, TRUE, "Export-dataset")), "" )</f>
        <v>1.5797872340425532</v>
      </c>
      <c r="AL7" s="6" cm="1">
        <f t="array" aca="1" ref="AL7" ca="1">IFERROR( INDIRECT(ADDRESS(ROW()+1, COLUMN(), 4, TRUE, "Export-dataset")) / INDIRECT(ADDRESS(ROW(), COLUMN(), 4, TRUE, "Export-dataset")), "" )</f>
        <v>1.3569553805774279</v>
      </c>
      <c r="AM7" s="6" cm="1">
        <f t="array" aca="1" ref="AM7" ca="1">IFERROR( INDIRECT(ADDRESS(ROW()+1, COLUMN(), 4, TRUE, "Export-dataset")) / INDIRECT(ADDRESS(ROW(), COLUMN(), 4, TRUE, "Export-dataset")), "" )</f>
        <v>1.24</v>
      </c>
      <c r="AN7" s="6" cm="1">
        <f t="array" aca="1" ref="AN7" ca="1">IFERROR( INDIRECT(ADDRESS(ROW()+1, COLUMN(), 4, TRUE, "Export-dataset")) / INDIRECT(ADDRESS(ROW(), COLUMN(), 4, TRUE, "Export-dataset")), "" )</f>
        <v>0.88235294117647056</v>
      </c>
      <c r="AO7" s="6" cm="1">
        <f t="array" aca="1" ref="AO7" ca="1">IFERROR( INDIRECT(ADDRESS(ROW()+1, COLUMN(), 4, TRUE, "Export-dataset")) / INDIRECT(ADDRESS(ROW(), COLUMN(), 4, TRUE, "Export-dataset")), "" )</f>
        <v>1.0607734806629834</v>
      </c>
      <c r="AP7" s="6" cm="1">
        <f t="array" aca="1" ref="AP7" ca="1">IFERROR( INDIRECT(ADDRESS(ROW()+1, COLUMN(), 4, TRUE, "Export-dataset")) / INDIRECT(ADDRESS(ROW(), COLUMN(), 4, TRUE, "Export-dataset")), "" )</f>
        <v>1.1463414634146341</v>
      </c>
      <c r="AQ7" s="6" cm="1">
        <f t="array" aca="1" ref="AQ7" ca="1">IFERROR( INDIRECT(ADDRESS(ROW()+1, COLUMN(), 4, TRUE, "Export-dataset")) / INDIRECT(ADDRESS(ROW(), COLUMN(), 4, TRUE, "Export-dataset")), "" )</f>
        <v>1.3888888888888888</v>
      </c>
      <c r="AR7" s="6" cm="1">
        <f t="array" aca="1" ref="AR7" ca="1">IFERROR( INDIRECT(ADDRESS(ROW()+1, COLUMN(), 4, TRUE, "Export-dataset")) / INDIRECT(ADDRESS(ROW(), COLUMN(), 4, TRUE, "Export-dataset")), "" )</f>
        <v>1.0922839506172839</v>
      </c>
      <c r="AS7" s="6" cm="1">
        <f t="array" aca="1" ref="AS7" ca="1">IFERROR( INDIRECT(ADDRESS(ROW()+1, COLUMN(), 4, TRUE, "Export-dataset")) / INDIRECT(ADDRESS(ROW(), COLUMN(), 4, TRUE, "Export-dataset")), "" )</f>
        <v>1.3850267379679144</v>
      </c>
      <c r="AT7" s="6" cm="1">
        <f t="array" aca="1" ref="AT7" ca="1">IFERROR( INDIRECT(ADDRESS(ROW()+1, COLUMN(), 4, TRUE, "Export-dataset")) / INDIRECT(ADDRESS(ROW(), COLUMN(), 4, TRUE, "Export-dataset")), "" )</f>
        <v>1.4626865671641791</v>
      </c>
      <c r="AU7" s="6" cm="1">
        <f t="array" aca="1" ref="AU7" ca="1">IFERROR( INDIRECT(ADDRESS(ROW()+1, COLUMN(), 4, TRUE, "Export-dataset")) / INDIRECT(ADDRESS(ROW(), COLUMN(), 4, TRUE, "Export-dataset")), "" )</f>
        <v>1.22</v>
      </c>
      <c r="AV7" s="6" cm="1">
        <f t="array" aca="1" ref="AV7" ca="1">IFERROR( INDIRECT(ADDRESS(ROW()+1, COLUMN(), 4, TRUE, "Export-dataset")) / INDIRECT(ADDRESS(ROW(), COLUMN(), 4, TRUE, "Export-dataset")), "" )</f>
        <v>1.1818181818181819</v>
      </c>
      <c r="AW7" s="6" cm="1">
        <f t="array" aca="1" ref="AW7" ca="1">IFERROR( INDIRECT(ADDRESS(ROW()+1, COLUMN(), 4, TRUE, "Export-dataset")) / INDIRECT(ADDRESS(ROW(), COLUMN(), 4, TRUE, "Export-dataset")), "" )</f>
        <v>1.2293577981651376</v>
      </c>
      <c r="AX7" s="6" cm="1">
        <f t="array" aca="1" ref="AX7" ca="1">IFERROR( INDIRECT(ADDRESS(ROW()+1, COLUMN(), 4, TRUE, "Export-dataset")) / INDIRECT(ADDRESS(ROW(), COLUMN(), 4, TRUE, "Export-dataset")), "" )</f>
        <v>1.0845323741007193</v>
      </c>
      <c r="AY7" s="6" cm="1">
        <f t="array" aca="1" ref="AY7" ca="1">IFERROR( INDIRECT(ADDRESS(ROW()+1, COLUMN(), 4, TRUE, "Export-dataset")) / INDIRECT(ADDRESS(ROW(), COLUMN(), 4, TRUE, "Export-dataset")), "" )</f>
        <v>1.1480038948393378</v>
      </c>
      <c r="AZ7" s="6" cm="1">
        <f t="array" aca="1" ref="AZ7" ca="1">IFERROR( INDIRECT(ADDRESS(ROW()+1, COLUMN(), 4, TRUE, "Export-dataset")) / INDIRECT(ADDRESS(ROW(), COLUMN(), 4, TRUE, "Export-dataset")), "" )</f>
        <v>1.0538525269262635</v>
      </c>
      <c r="BA7" s="6" cm="1">
        <f t="array" aca="1" ref="BA7" ca="1">IFERROR( INDIRECT(ADDRESS(ROW()+1, COLUMN(), 4, TRUE, "Export-dataset")) / INDIRECT(ADDRESS(ROW(), COLUMN(), 4, TRUE, "Export-dataset")), "" )</f>
        <v>0.99635701275045541</v>
      </c>
      <c r="BB7" s="6" cm="1">
        <f t="array" aca="1" ref="BB7" ca="1">IFERROR( INDIRECT(ADDRESS(ROW()+1, COLUMN(), 4, TRUE, "Export-dataset")) / INDIRECT(ADDRESS(ROW(), COLUMN(), 4, TRUE, "Export-dataset")), "" )</f>
        <v>1.1752619683583316</v>
      </c>
      <c r="BC7" s="6" cm="1">
        <f t="array" aca="1" ref="BC7" ca="1">IFERROR( INDIRECT(ADDRESS(ROW()+1, COLUMN(), 4, TRUE, "Export-dataset")) / INDIRECT(ADDRESS(ROW(), COLUMN(), 4, TRUE, "Export-dataset")), "" )</f>
        <v>1.0848056537102473</v>
      </c>
      <c r="BD7" s="6" cm="1">
        <f t="array" aca="1" ref="BD7" ca="1">IFERROR( INDIRECT(ADDRESS(ROW()+1, COLUMN(), 4, TRUE, "Export-dataset")) / INDIRECT(ADDRESS(ROW(), COLUMN(), 4, TRUE, "Export-dataset")), "" )</f>
        <v>1.2026768642447419</v>
      </c>
      <c r="BE7" s="6" cm="1">
        <f t="array" aca="1" ref="BE7" ca="1">IFERROR( INDIRECT(ADDRESS(ROW()+1, COLUMN(), 4, TRUE, "Export-dataset")) / INDIRECT(ADDRESS(ROW(), COLUMN(), 4, TRUE, "Export-dataset")), "" )</f>
        <v>1.2025316455696202</v>
      </c>
      <c r="BF7" s="6" cm="1">
        <f t="array" aca="1" ref="BF7" ca="1">IFERROR( INDIRECT(ADDRESS(ROW()+1, COLUMN(), 4, TRUE, "Export-dataset")) / INDIRECT(ADDRESS(ROW(), COLUMN(), 4, TRUE, "Export-dataset")), "" )</f>
        <v>1.2093933463796478</v>
      </c>
      <c r="BG7" s="6" cm="1">
        <f t="array" aca="1" ref="BG7" ca="1">IFERROR( INDIRECT(ADDRESS(ROW()+1, COLUMN(), 4, TRUE, "Export-dataset")) / INDIRECT(ADDRESS(ROW(), COLUMN(), 4, TRUE, "Export-dataset")), "" )</f>
        <v>1.1188118811881189</v>
      </c>
      <c r="BH7" s="6" cm="1">
        <f t="array" aca="1" ref="BH7" ca="1">IFERROR( INDIRECT(ADDRESS(ROW()+1, COLUMN(), 4, TRUE, "Export-dataset")) / INDIRECT(ADDRESS(ROW(), COLUMN(), 4, TRUE, "Export-dataset")), "" )</f>
        <v>1.2649842271293374</v>
      </c>
      <c r="BI7" s="6" cm="1">
        <f t="array" aca="1" ref="BI7" ca="1">IFERROR( INDIRECT(ADDRESS(ROW()+1, COLUMN(), 4, TRUE, "Export-dataset")) / INDIRECT(ADDRESS(ROW(), COLUMN(), 4, TRUE, "Export-dataset")), "" )</f>
        <v>1.2103321033210332</v>
      </c>
      <c r="BJ7" s="6" cm="1">
        <f t="array" aca="1" ref="BJ7" ca="1">IFERROR( INDIRECT(ADDRESS(ROW()+1, COLUMN(), 4, TRUE, "Export-dataset")) / INDIRECT(ADDRESS(ROW(), COLUMN(), 4, TRUE, "Export-dataset")), "" )</f>
        <v>1.0817073170731708</v>
      </c>
      <c r="BK7" s="6" cm="1">
        <f t="array" aca="1" ref="BK7" ca="1">IFERROR( INDIRECT(ADDRESS(ROW()+1, COLUMN(), 4, TRUE, "Export-dataset")) / INDIRECT(ADDRESS(ROW(), COLUMN(), 4, TRUE, "Export-dataset")), "" )</f>
        <v>1.3175287356321839</v>
      </c>
      <c r="BL7" s="6" cm="1">
        <f t="array" aca="1" ref="BL7" ca="1">IFERROR( INDIRECT(ADDRESS(ROW()+1, COLUMN(), 4, TRUE, "Export-dataset")) / INDIRECT(ADDRESS(ROW(), COLUMN(), 4, TRUE, "Export-dataset")), "" )</f>
        <v>1.2459705676243868</v>
      </c>
      <c r="BM7" s="6" cm="1">
        <f t="array" aca="1" ref="BM7" ca="1">IFERROR( INDIRECT(ADDRESS(ROW()+1, COLUMN(), 4, TRUE, "Export-dataset")) / INDIRECT(ADDRESS(ROW(), COLUMN(), 4, TRUE, "Export-dataset")), "" )</f>
        <v>2.3947368421052633</v>
      </c>
      <c r="BN7" s="6" cm="1">
        <f t="array" aca="1" ref="BN7" ca="1">IFERROR( INDIRECT(ADDRESS(ROW()+1, COLUMN(), 4, TRUE, "Export-dataset")) / INDIRECT(ADDRESS(ROW(), COLUMN(), 4, TRUE, "Export-dataset")), "" )</f>
        <v>1.25</v>
      </c>
      <c r="BO7" s="6" cm="1">
        <f t="array" aca="1" ref="BO7" ca="1">IFERROR( INDIRECT(ADDRESS(ROW()+1, COLUMN(), 4, TRUE, "Export-dataset")) / INDIRECT(ADDRESS(ROW(), COLUMN(), 4, TRUE, "Export-dataset")), "" )</f>
        <v>2</v>
      </c>
      <c r="BP7" s="6" cm="1">
        <f t="array" aca="1" ref="BP7" ca="1">IFERROR( INDIRECT(ADDRESS(ROW()+1, COLUMN(), 4, TRUE, "Export-dataset")) / INDIRECT(ADDRESS(ROW(), COLUMN(), 4, TRUE, "Export-dataset")), "" )</f>
        <v>1.232394366197183</v>
      </c>
      <c r="BQ7" s="6" cm="1">
        <f t="array" aca="1" ref="BQ7" ca="1">IFERROR( INDIRECT(ADDRESS(ROW()+1, COLUMN(), 4, TRUE, "Export-dataset")) / INDIRECT(ADDRESS(ROW(), COLUMN(), 4, TRUE, "Export-dataset")), "" )</f>
        <v>1.2</v>
      </c>
      <c r="BR7" s="6" cm="1">
        <f t="array" aca="1" ref="BR7" ca="1">IFERROR( INDIRECT(ADDRESS(ROW()+1, COLUMN(), 4, TRUE, "Export-dataset")) / INDIRECT(ADDRESS(ROW(), COLUMN(), 4, TRUE, "Export-dataset")), "" )</f>
        <v>1.180064308681672</v>
      </c>
      <c r="BS7" s="6" cm="1">
        <f t="array" aca="1" ref="BS7" ca="1">IFERROR( INDIRECT(ADDRESS(ROW()+1, COLUMN(), 4, TRUE, "Export-dataset")) / INDIRECT(ADDRESS(ROW(), COLUMN(), 4, TRUE, "Export-dataset")), "" )</f>
        <v>1.3</v>
      </c>
      <c r="BT7" s="6" cm="1">
        <f t="array" aca="1" ref="BT7" ca="1">IFERROR( INDIRECT(ADDRESS(ROW()+1, COLUMN(), 4, TRUE, "Export-dataset")) / INDIRECT(ADDRESS(ROW(), COLUMN(), 4, TRUE, "Export-dataset")), "" )</f>
        <v>1.185430463576159</v>
      </c>
      <c r="BU7" s="6" cm="1">
        <f t="array" aca="1" ref="BU7" ca="1">IFERROR( INDIRECT(ADDRESS(ROW()+1, COLUMN(), 4, TRUE, "Export-dataset")) / INDIRECT(ADDRESS(ROW(), COLUMN(), 4, TRUE, "Export-dataset")), "" )</f>
        <v>1.1354495268138802</v>
      </c>
      <c r="BV7" s="6" cm="1">
        <f t="array" aca="1" ref="BV7" ca="1">IFERROR( INDIRECT(ADDRESS(ROW()+1, COLUMN(), 4, TRUE, "Export-dataset")) / INDIRECT(ADDRESS(ROW(), COLUMN(), 4, TRUE, "Export-dataset")), "" )</f>
        <v>1.0304568527918783</v>
      </c>
      <c r="BW7" s="6" cm="1">
        <f t="array" aca="1" ref="BW7" ca="1">IFERROR( INDIRECT(ADDRESS(ROW()+1, COLUMN(), 4, TRUE, "Export-dataset")) / INDIRECT(ADDRESS(ROW(), COLUMN(), 4, TRUE, "Export-dataset")), "" )</f>
        <v>0.90031152647975077</v>
      </c>
      <c r="BX7" s="6" t="str" cm="1">
        <f t="array" aca="1" ref="BX7" ca="1">IFERROR( INDIRECT(ADDRESS(ROW()+1, COLUMN(), 4, TRUE, "Export-dataset")) / INDIRECT(ADDRESS(ROW(), COLUMN(), 4, TRUE, "Export-dataset")), "" )</f>
        <v/>
      </c>
      <c r="BY7" s="6" cm="1">
        <f t="array" aca="1" ref="BY7" ca="1">IFERROR( INDIRECT(ADDRESS(ROW()+1, COLUMN(), 4, TRUE, "Export-dataset")) / INDIRECT(ADDRESS(ROW(), COLUMN(), 4, TRUE, "Export-dataset")), "" )</f>
        <v>1.2090761750405186</v>
      </c>
      <c r="BZ7" s="6" cm="1">
        <f t="array" aca="1" ref="BZ7" ca="1">IFERROR( INDIRECT(ADDRESS(ROW()+1, COLUMN(), 4, TRUE, "Export-dataset")) / INDIRECT(ADDRESS(ROW(), COLUMN(), 4, TRUE, "Export-dataset")), "" )</f>
        <v>0.92622950819672134</v>
      </c>
      <c r="CA7" s="6" cm="1">
        <f t="array" aca="1" ref="CA7" ca="1">IFERROR( INDIRECT(ADDRESS(ROW()+1, COLUMN(), 4, TRUE, "Export-dataset")) / INDIRECT(ADDRESS(ROW(), COLUMN(), 4, TRUE, "Export-dataset")), "" )</f>
        <v>1.0866700173116659</v>
      </c>
    </row>
    <row r="8" spans="1:79">
      <c r="A8" s="6" t="s">
        <v>165</v>
      </c>
      <c r="B8" s="6" cm="1">
        <f t="array" aca="1" ref="B8" ca="1">IFERROR( INDIRECT(ADDRESS(ROW()+1, COLUMN(), 4, TRUE, "Export-dataset")) / INDIRECT(ADDRESS(ROW(), COLUMN(), 4, TRUE, "Export-dataset")), "" )</f>
        <v>1.1753590325018897</v>
      </c>
      <c r="C8" s="6" cm="1">
        <f t="array" aca="1" ref="C8" ca="1">IFERROR( INDIRECT(ADDRESS(ROW()+1, COLUMN(), 4, TRUE, "Export-dataset")) / INDIRECT(ADDRESS(ROW(), COLUMN(), 4, TRUE, "Export-dataset")), "" )</f>
        <v>1.2787610619469028</v>
      </c>
      <c r="D8" s="6" cm="1">
        <f t="array" aca="1" ref="D8" ca="1">IFERROR( INDIRECT(ADDRESS(ROW()+1, COLUMN(), 4, TRUE, "Export-dataset")) / INDIRECT(ADDRESS(ROW(), COLUMN(), 4, TRUE, "Export-dataset")), "" )</f>
        <v>1.0787680566911966</v>
      </c>
      <c r="E8" s="6" cm="1">
        <f t="array" aca="1" ref="E8" ca="1">IFERROR( INDIRECT(ADDRESS(ROW()+1, COLUMN(), 4, TRUE, "Export-dataset")) / INDIRECT(ADDRESS(ROW(), COLUMN(), 4, TRUE, "Export-dataset")), "" )</f>
        <v>1.2215256008359456</v>
      </c>
      <c r="F8" s="6" cm="1">
        <f t="array" aca="1" ref="F8" ca="1">IFERROR( INDIRECT(ADDRESS(ROW()+1, COLUMN(), 4, TRUE, "Export-dataset")) / INDIRECT(ADDRESS(ROW(), COLUMN(), 4, TRUE, "Export-dataset")), "" )</f>
        <v>1.1588170865279299</v>
      </c>
      <c r="G8" s="6" cm="1">
        <f t="array" aca="1" ref="G8" ca="1">IFERROR( INDIRECT(ADDRESS(ROW()+1, COLUMN(), 4, TRUE, "Export-dataset")) / INDIRECT(ADDRESS(ROW(), COLUMN(), 4, TRUE, "Export-dataset")), "" )</f>
        <v>1.2666394446712943</v>
      </c>
      <c r="H8" s="6" cm="1">
        <f t="array" aca="1" ref="H8" ca="1">IFERROR( INDIRECT(ADDRESS(ROW()+1, COLUMN(), 4, TRUE, "Export-dataset")) / INDIRECT(ADDRESS(ROW(), COLUMN(), 4, TRUE, "Export-dataset")), "" )</f>
        <v>1.1054545454545455</v>
      </c>
      <c r="I8" s="6" cm="1">
        <f t="array" aca="1" ref="I8" ca="1">IFERROR( INDIRECT(ADDRESS(ROW()+1, COLUMN(), 4, TRUE, "Export-dataset")) / INDIRECT(ADDRESS(ROW(), COLUMN(), 4, TRUE, "Export-dataset")), "" )</f>
        <v>1.3626126126126126</v>
      </c>
      <c r="J8" s="6" cm="1">
        <f t="array" aca="1" ref="J8" ca="1">IFERROR( INDIRECT(ADDRESS(ROW()+1, COLUMN(), 4, TRUE, "Export-dataset")) / INDIRECT(ADDRESS(ROW(), COLUMN(), 4, TRUE, "Export-dataset")), "" )</f>
        <v>1.3035714285714286</v>
      </c>
      <c r="K8" s="6" cm="1">
        <f t="array" aca="1" ref="K8" ca="1">IFERROR( INDIRECT(ADDRESS(ROW()+1, COLUMN(), 4, TRUE, "Export-dataset")) / INDIRECT(ADDRESS(ROW(), COLUMN(), 4, TRUE, "Export-dataset")), "" )</f>
        <v>1.0617283950617284</v>
      </c>
      <c r="L8" s="6" cm="1">
        <f t="array" aca="1" ref="L8" ca="1">IFERROR( INDIRECT(ADDRESS(ROW()+1, COLUMN(), 4, TRUE, "Export-dataset")) / INDIRECT(ADDRESS(ROW(), COLUMN(), 4, TRUE, "Export-dataset")), "" )</f>
        <v>1.1418439716312057</v>
      </c>
      <c r="M8" s="6" cm="1">
        <f t="array" aca="1" ref="M8" ca="1">IFERROR( INDIRECT(ADDRESS(ROW()+1, COLUMN(), 4, TRUE, "Export-dataset")) / INDIRECT(ADDRESS(ROW(), COLUMN(), 4, TRUE, "Export-dataset")), "" )</f>
        <v>1.2989417989417988</v>
      </c>
      <c r="N8" s="6" cm="1">
        <f t="array" aca="1" ref="N8" ca="1">IFERROR( INDIRECT(ADDRESS(ROW()+1, COLUMN(), 4, TRUE, "Export-dataset")) / INDIRECT(ADDRESS(ROW(), COLUMN(), 4, TRUE, "Export-dataset")), "" )</f>
        <v>1.2873239436619719</v>
      </c>
      <c r="O8" s="6" cm="1">
        <f t="array" aca="1" ref="O8" ca="1">IFERROR( INDIRECT(ADDRESS(ROW()+1, COLUMN(), 4, TRUE, "Export-dataset")) / INDIRECT(ADDRESS(ROW(), COLUMN(), 4, TRUE, "Export-dataset")), "" )</f>
        <v>1.5909090909090908</v>
      </c>
      <c r="P8" s="6" cm="1">
        <f t="array" aca="1" ref="P8" ca="1">IFERROR( INDIRECT(ADDRESS(ROW()+1, COLUMN(), 4, TRUE, "Export-dataset")) / INDIRECT(ADDRESS(ROW(), COLUMN(), 4, TRUE, "Export-dataset")), "" )</f>
        <v>0.94501667284179325</v>
      </c>
      <c r="Q8" s="6" cm="1">
        <f t="array" aca="1" ref="Q8" ca="1">IFERROR( INDIRECT(ADDRESS(ROW()+1, COLUMN(), 4, TRUE, "Export-dataset")) / INDIRECT(ADDRESS(ROW(), COLUMN(), 4, TRUE, "Export-dataset")), "" )</f>
        <v>0.94974874371859297</v>
      </c>
      <c r="R8" s="6" cm="1">
        <f t="array" aca="1" ref="R8" ca="1">IFERROR( INDIRECT(ADDRESS(ROW()+1, COLUMN(), 4, TRUE, "Export-dataset")) / INDIRECT(ADDRESS(ROW(), COLUMN(), 4, TRUE, "Export-dataset")), "" )</f>
        <v>1.3770491803278688</v>
      </c>
      <c r="S8" s="6" cm="1">
        <f t="array" aca="1" ref="S8" ca="1">IFERROR( INDIRECT(ADDRESS(ROW()+1, COLUMN(), 4, TRUE, "Export-dataset")) / INDIRECT(ADDRESS(ROW(), COLUMN(), 4, TRUE, "Export-dataset")), "" )</f>
        <v>0.90909090909090906</v>
      </c>
      <c r="T8" s="6" cm="1">
        <f t="array" aca="1" ref="T8" ca="1">IFERROR( INDIRECT(ADDRESS(ROW()+1, COLUMN(), 4, TRUE, "Export-dataset")) / INDIRECT(ADDRESS(ROW(), COLUMN(), 4, TRUE, "Export-dataset")), "" )</f>
        <v>1.2673031026252983</v>
      </c>
      <c r="U8" s="6" cm="1">
        <f t="array" aca="1" ref="U8" ca="1">IFERROR( INDIRECT(ADDRESS(ROW()+1, COLUMN(), 4, TRUE, "Export-dataset")) / INDIRECT(ADDRESS(ROW(), COLUMN(), 4, TRUE, "Export-dataset")), "" )</f>
        <v>1.4444444444444444</v>
      </c>
      <c r="V8" s="6" cm="1">
        <f t="array" aca="1" ref="V8" ca="1">IFERROR( INDIRECT(ADDRESS(ROW()+1, COLUMN(), 4, TRUE, "Export-dataset")) / INDIRECT(ADDRESS(ROW(), COLUMN(), 4, TRUE, "Export-dataset")), "" )</f>
        <v>0.80678563560255567</v>
      </c>
      <c r="W8" s="6" cm="1">
        <f t="array" aca="1" ref="W8" ca="1">IFERROR( INDIRECT(ADDRESS(ROW()+1, COLUMN(), 4, TRUE, "Export-dataset")) / INDIRECT(ADDRESS(ROW(), COLUMN(), 4, TRUE, "Export-dataset")), "" )</f>
        <v>1.1280487804878048</v>
      </c>
      <c r="X8" s="6" cm="1">
        <f t="array" aca="1" ref="X8" ca="1">IFERROR( INDIRECT(ADDRESS(ROW()+1, COLUMN(), 4, TRUE, "Export-dataset")) / INDIRECT(ADDRESS(ROW(), COLUMN(), 4, TRUE, "Export-dataset")), "" )</f>
        <v>0.99469425653269661</v>
      </c>
      <c r="Y8" s="6" cm="1">
        <f t="array" aca="1" ref="Y8" ca="1">IFERROR( INDIRECT(ADDRESS(ROW()+1, COLUMN(), 4, TRUE, "Export-dataset")) / INDIRECT(ADDRESS(ROW(), COLUMN(), 4, TRUE, "Export-dataset")), "" )</f>
        <v>1.0673575129533679</v>
      </c>
      <c r="Z8" s="6" cm="1">
        <f t="array" aca="1" ref="Z8" ca="1">IFERROR( INDIRECT(ADDRESS(ROW()+1, COLUMN(), 4, TRUE, "Export-dataset")) / INDIRECT(ADDRESS(ROW(), COLUMN(), 4, TRUE, "Export-dataset")), "" )</f>
        <v>1.0313441832429173</v>
      </c>
      <c r="AA8" s="6" cm="1">
        <f t="array" aca="1" ref="AA8" ca="1">IFERROR( INDIRECT(ADDRESS(ROW()+1, COLUMN(), 4, TRUE, "Export-dataset")) / INDIRECT(ADDRESS(ROW(), COLUMN(), 4, TRUE, "Export-dataset")), "" )</f>
        <v>1.0616746085772635</v>
      </c>
      <c r="AB8" s="6" cm="1">
        <f t="array" aca="1" ref="AB8" ca="1">IFERROR( INDIRECT(ADDRESS(ROW()+1, COLUMN(), 4, TRUE, "Export-dataset")) / INDIRECT(ADDRESS(ROW(), COLUMN(), 4, TRUE, "Export-dataset")), "" )</f>
        <v>0.9490874159462056</v>
      </c>
      <c r="AC8" s="6" cm="1">
        <f t="array" aca="1" ref="AC8" ca="1">IFERROR( INDIRECT(ADDRESS(ROW()+1, COLUMN(), 4, TRUE, "Export-dataset")) / INDIRECT(ADDRESS(ROW(), COLUMN(), 4, TRUE, "Export-dataset")), "" )</f>
        <v>1.0673076923076923</v>
      </c>
      <c r="AD8" s="6" cm="1">
        <f t="array" aca="1" ref="AD8" ca="1">IFERROR( INDIRECT(ADDRESS(ROW()+1, COLUMN(), 4, TRUE, "Export-dataset")) / INDIRECT(ADDRESS(ROW(), COLUMN(), 4, TRUE, "Export-dataset")), "" )</f>
        <v>1.3503184713375795</v>
      </c>
      <c r="AE8" s="6" cm="1">
        <f t="array" aca="1" ref="AE8" ca="1">IFERROR( INDIRECT(ADDRESS(ROW()+1, COLUMN(), 4, TRUE, "Export-dataset")) / INDIRECT(ADDRESS(ROW(), COLUMN(), 4, TRUE, "Export-dataset")), "" )</f>
        <v>1.3206106870229009</v>
      </c>
      <c r="AF8" s="6" cm="1">
        <f t="array" aca="1" ref="AF8" ca="1">IFERROR( INDIRECT(ADDRESS(ROW()+1, COLUMN(), 4, TRUE, "Export-dataset")) / INDIRECT(ADDRESS(ROW(), COLUMN(), 4, TRUE, "Export-dataset")), "" )</f>
        <v>2</v>
      </c>
      <c r="AG8" s="6" cm="1">
        <f t="array" aca="1" ref="AG8" ca="1">IFERROR( INDIRECT(ADDRESS(ROW()+1, COLUMN(), 4, TRUE, "Export-dataset")) / INDIRECT(ADDRESS(ROW(), COLUMN(), 4, TRUE, "Export-dataset")), "" )</f>
        <v>1.5454545454545454</v>
      </c>
      <c r="AH8" s="6" cm="1">
        <f t="array" aca="1" ref="AH8" ca="1">IFERROR( INDIRECT(ADDRESS(ROW()+1, COLUMN(), 4, TRUE, "Export-dataset")) / INDIRECT(ADDRESS(ROW(), COLUMN(), 4, TRUE, "Export-dataset")), "" )</f>
        <v>1.2018701870187019</v>
      </c>
      <c r="AI8" s="6" cm="1">
        <f t="array" aca="1" ref="AI8" ca="1">IFERROR( INDIRECT(ADDRESS(ROW()+1, COLUMN(), 4, TRUE, "Export-dataset")) / INDIRECT(ADDRESS(ROW(), COLUMN(), 4, TRUE, "Export-dataset")), "" )</f>
        <v>1.0779220779220779</v>
      </c>
      <c r="AJ8" s="6" cm="1">
        <f t="array" aca="1" ref="AJ8" ca="1">IFERROR( INDIRECT(ADDRESS(ROW()+1, COLUMN(), 4, TRUE, "Export-dataset")) / INDIRECT(ADDRESS(ROW(), COLUMN(), 4, TRUE, "Export-dataset")), "" )</f>
        <v>1.1333333333333333</v>
      </c>
      <c r="AK8" s="6" cm="1">
        <f t="array" aca="1" ref="AK8" ca="1">IFERROR( INDIRECT(ADDRESS(ROW()+1, COLUMN(), 4, TRUE, "Export-dataset")) / INDIRECT(ADDRESS(ROW(), COLUMN(), 4, TRUE, "Export-dataset")), "" )</f>
        <v>1.1919191919191918</v>
      </c>
      <c r="AL8" s="6" cm="1">
        <f t="array" aca="1" ref="AL8" ca="1">IFERROR( INDIRECT(ADDRESS(ROW()+1, COLUMN(), 4, TRUE, "Export-dataset")) / INDIRECT(ADDRESS(ROW(), COLUMN(), 4, TRUE, "Export-dataset")), "" )</f>
        <v>1.2359767891682785</v>
      </c>
      <c r="AM8" s="6" cm="1">
        <f t="array" aca="1" ref="AM8" ca="1">IFERROR( INDIRECT(ADDRESS(ROW()+1, COLUMN(), 4, TRUE, "Export-dataset")) / INDIRECT(ADDRESS(ROW(), COLUMN(), 4, TRUE, "Export-dataset")), "" )</f>
        <v>1.232258064516129</v>
      </c>
      <c r="AN8" s="6" cm="1">
        <f t="array" aca="1" ref="AN8" ca="1">IFERROR( INDIRECT(ADDRESS(ROW()+1, COLUMN(), 4, TRUE, "Export-dataset")) / INDIRECT(ADDRESS(ROW(), COLUMN(), 4, TRUE, "Export-dataset")), "" )</f>
        <v>0.93333333333333335</v>
      </c>
      <c r="AO8" s="6" cm="1">
        <f t="array" aca="1" ref="AO8" ca="1">IFERROR( INDIRECT(ADDRESS(ROW()+1, COLUMN(), 4, TRUE, "Export-dataset")) / INDIRECT(ADDRESS(ROW(), COLUMN(), 4, TRUE, "Export-dataset")), "" )</f>
        <v>1.0989583333333333</v>
      </c>
      <c r="AP8" s="6" cm="1">
        <f t="array" aca="1" ref="AP8" ca="1">IFERROR( INDIRECT(ADDRESS(ROW()+1, COLUMN(), 4, TRUE, "Export-dataset")) / INDIRECT(ADDRESS(ROW(), COLUMN(), 4, TRUE, "Export-dataset")), "" )</f>
        <v>1.1808510638297873</v>
      </c>
      <c r="AQ8" s="6" cm="1">
        <f t="array" aca="1" ref="AQ8" ca="1">IFERROR( INDIRECT(ADDRESS(ROW()+1, COLUMN(), 4, TRUE, "Export-dataset")) / INDIRECT(ADDRESS(ROW(), COLUMN(), 4, TRUE, "Export-dataset")), "" )</f>
        <v>1.3272727272727274</v>
      </c>
      <c r="AR8" s="6" cm="1">
        <f t="array" aca="1" ref="AR8" ca="1">IFERROR( INDIRECT(ADDRESS(ROW()+1, COLUMN(), 4, TRUE, "Export-dataset")) / INDIRECT(ADDRESS(ROW(), COLUMN(), 4, TRUE, "Export-dataset")), "" )</f>
        <v>1.0697937270415372</v>
      </c>
      <c r="AS8" s="6" cm="1">
        <f t="array" aca="1" ref="AS8" ca="1">IFERROR( INDIRECT(ADDRESS(ROW()+1, COLUMN(), 4, TRUE, "Export-dataset")) / INDIRECT(ADDRESS(ROW(), COLUMN(), 4, TRUE, "Export-dataset")), "" )</f>
        <v>1.2625482625482625</v>
      </c>
      <c r="AT8" s="6" cm="1">
        <f t="array" aca="1" ref="AT8" ca="1">IFERROR( INDIRECT(ADDRESS(ROW()+1, COLUMN(), 4, TRUE, "Export-dataset")) / INDIRECT(ADDRESS(ROW(), COLUMN(), 4, TRUE, "Export-dataset")), "" )</f>
        <v>1.1938775510204083</v>
      </c>
      <c r="AU8" s="6" cm="1">
        <f t="array" aca="1" ref="AU8" ca="1">IFERROR( INDIRECT(ADDRESS(ROW()+1, COLUMN(), 4, TRUE, "Export-dataset")) / INDIRECT(ADDRESS(ROW(), COLUMN(), 4, TRUE, "Export-dataset")), "" )</f>
        <v>1.4426229508196722</v>
      </c>
      <c r="AV8" s="6" cm="1">
        <f t="array" aca="1" ref="AV8" ca="1">IFERROR( INDIRECT(ADDRESS(ROW()+1, COLUMN(), 4, TRUE, "Export-dataset")) / INDIRECT(ADDRESS(ROW(), COLUMN(), 4, TRUE, "Export-dataset")), "" )</f>
        <v>1.0242914979757085</v>
      </c>
      <c r="AW8" s="6" cm="1">
        <f t="array" aca="1" ref="AW8" ca="1">IFERROR( INDIRECT(ADDRESS(ROW()+1, COLUMN(), 4, TRUE, "Export-dataset")) / INDIRECT(ADDRESS(ROW(), COLUMN(), 4, TRUE, "Export-dataset")), "" )</f>
        <v>1.3246268656716418</v>
      </c>
      <c r="AX8" s="6" cm="1">
        <f t="array" aca="1" ref="AX8" ca="1">IFERROR( INDIRECT(ADDRESS(ROW()+1, COLUMN(), 4, TRUE, "Export-dataset")) / INDIRECT(ADDRESS(ROW(), COLUMN(), 4, TRUE, "Export-dataset")), "" )</f>
        <v>0.96185737976782748</v>
      </c>
      <c r="AY8" s="6" cm="1">
        <f t="array" aca="1" ref="AY8" ca="1">IFERROR( INDIRECT(ADDRESS(ROW()+1, COLUMN(), 4, TRUE, "Export-dataset")) / INDIRECT(ADDRESS(ROW(), COLUMN(), 4, TRUE, "Export-dataset")), "" )</f>
        <v>1.1704834605597965</v>
      </c>
      <c r="AZ8" s="6" cm="1">
        <f t="array" aca="1" ref="AZ8" ca="1">IFERROR( INDIRECT(ADDRESS(ROW()+1, COLUMN(), 4, TRUE, "Export-dataset")) / INDIRECT(ADDRESS(ROW(), COLUMN(), 4, TRUE, "Export-dataset")), "" )</f>
        <v>1.0207023060796645</v>
      </c>
      <c r="BA8" s="6" cm="1">
        <f t="array" aca="1" ref="BA8" ca="1">IFERROR( INDIRECT(ADDRESS(ROW()+1, COLUMN(), 4, TRUE, "Export-dataset")) / INDIRECT(ADDRESS(ROW(), COLUMN(), 4, TRUE, "Export-dataset")), "" )</f>
        <v>1.0603290676416819</v>
      </c>
      <c r="BB8" s="6" cm="1">
        <f t="array" aca="1" ref="BB8" ca="1">IFERROR( INDIRECT(ADDRESS(ROW()+1, COLUMN(), 4, TRUE, "Export-dataset")) / INDIRECT(ADDRESS(ROW(), COLUMN(), 4, TRUE, "Export-dataset")), "" )</f>
        <v>1.227097902097902</v>
      </c>
      <c r="BC8" s="6" cm="1">
        <f t="array" aca="1" ref="BC8" ca="1">IFERROR( INDIRECT(ADDRESS(ROW()+1, COLUMN(), 4, TRUE, "Export-dataset")) / INDIRECT(ADDRESS(ROW(), COLUMN(), 4, TRUE, "Export-dataset")), "" )</f>
        <v>1.0162866449511401</v>
      </c>
      <c r="BD8" s="6" cm="1">
        <f t="array" aca="1" ref="BD8" ca="1">IFERROR( INDIRECT(ADDRESS(ROW()+1, COLUMN(), 4, TRUE, "Export-dataset")) / INDIRECT(ADDRESS(ROW(), COLUMN(), 4, TRUE, "Export-dataset")), "" )</f>
        <v>1.2734499205087439</v>
      </c>
      <c r="BE8" s="6" cm="1">
        <f t="array" aca="1" ref="BE8" ca="1">IFERROR( INDIRECT(ADDRESS(ROW()+1, COLUMN(), 4, TRUE, "Export-dataset")) / INDIRECT(ADDRESS(ROW(), COLUMN(), 4, TRUE, "Export-dataset")), "" )</f>
        <v>1.0210526315789474</v>
      </c>
      <c r="BF8" s="6" cm="1">
        <f t="array" aca="1" ref="BF8" ca="1">IFERROR( INDIRECT(ADDRESS(ROW()+1, COLUMN(), 4, TRUE, "Export-dataset")) / INDIRECT(ADDRESS(ROW(), COLUMN(), 4, TRUE, "Export-dataset")), "" )</f>
        <v>1.3220064724919094</v>
      </c>
      <c r="BG8" s="6" cm="1">
        <f t="array" aca="1" ref="BG8" ca="1">IFERROR( INDIRECT(ADDRESS(ROW()+1, COLUMN(), 4, TRUE, "Export-dataset")) / INDIRECT(ADDRESS(ROW(), COLUMN(), 4, TRUE, "Export-dataset")), "" )</f>
        <v>1.293141592920354</v>
      </c>
      <c r="BH8" s="6" cm="1">
        <f t="array" aca="1" ref="BH8" ca="1">IFERROR( INDIRECT(ADDRESS(ROW()+1, COLUMN(), 4, TRUE, "Export-dataset")) / INDIRECT(ADDRESS(ROW(), COLUMN(), 4, TRUE, "Export-dataset")), "" )</f>
        <v>1.0872817955112219</v>
      </c>
      <c r="BI8" s="6" cm="1">
        <f t="array" aca="1" ref="BI8" ca="1">IFERROR( INDIRECT(ADDRESS(ROW()+1, COLUMN(), 4, TRUE, "Export-dataset")) / INDIRECT(ADDRESS(ROW(), COLUMN(), 4, TRUE, "Export-dataset")), "" )</f>
        <v>1.350609756097561</v>
      </c>
      <c r="BJ8" s="6" cm="1">
        <f t="array" aca="1" ref="BJ8" ca="1">IFERROR( INDIRECT(ADDRESS(ROW()+1, COLUMN(), 4, TRUE, "Export-dataset")) / INDIRECT(ADDRESS(ROW(), COLUMN(), 4, TRUE, "Export-dataset")), "" )</f>
        <v>1.2356257046223225</v>
      </c>
      <c r="BK8" s="6" cm="1">
        <f t="array" aca="1" ref="BK8" ca="1">IFERROR( INDIRECT(ADDRESS(ROW()+1, COLUMN(), 4, TRUE, "Export-dataset")) / INDIRECT(ADDRESS(ROW(), COLUMN(), 4, TRUE, "Export-dataset")), "" )</f>
        <v>1.1930207197382769</v>
      </c>
      <c r="BL8" s="6" cm="1">
        <f t="array" aca="1" ref="BL8" ca="1">IFERROR( INDIRECT(ADDRESS(ROW()+1, COLUMN(), 4, TRUE, "Export-dataset")) / INDIRECT(ADDRESS(ROW(), COLUMN(), 4, TRUE, "Export-dataset")), "" )</f>
        <v>1.1237345331833521</v>
      </c>
      <c r="BM8" s="6" cm="1">
        <f t="array" aca="1" ref="BM8" ca="1">IFERROR( INDIRECT(ADDRESS(ROW()+1, COLUMN(), 4, TRUE, "Export-dataset")) / INDIRECT(ADDRESS(ROW(), COLUMN(), 4, TRUE, "Export-dataset")), "" )</f>
        <v>0.50549450549450547</v>
      </c>
      <c r="BN8" s="6" cm="1">
        <f t="array" aca="1" ref="BN8" ca="1">IFERROR( INDIRECT(ADDRESS(ROW()+1, COLUMN(), 4, TRUE, "Export-dataset")) / INDIRECT(ADDRESS(ROW(), COLUMN(), 4, TRUE, "Export-dataset")), "" )</f>
        <v>1.6666666666666667</v>
      </c>
      <c r="BO8" s="6" cm="1">
        <f t="array" aca="1" ref="BO8" ca="1">IFERROR( INDIRECT(ADDRESS(ROW()+1, COLUMN(), 4, TRUE, "Export-dataset")) / INDIRECT(ADDRESS(ROW(), COLUMN(), 4, TRUE, "Export-dataset")), "" )</f>
        <v>2.5</v>
      </c>
      <c r="BP8" s="6" cm="1">
        <f t="array" aca="1" ref="BP8" ca="1">IFERROR( INDIRECT(ADDRESS(ROW()+1, COLUMN(), 4, TRUE, "Export-dataset")) / INDIRECT(ADDRESS(ROW(), COLUMN(), 4, TRUE, "Export-dataset")), "" )</f>
        <v>1.2685714285714285</v>
      </c>
      <c r="BQ8" s="6" cm="1">
        <f t="array" aca="1" ref="BQ8" ca="1">IFERROR( INDIRECT(ADDRESS(ROW()+1, COLUMN(), 4, TRUE, "Export-dataset")) / INDIRECT(ADDRESS(ROW(), COLUMN(), 4, TRUE, "Export-dataset")), "" )</f>
        <v>1.4444444444444444</v>
      </c>
      <c r="BR8" s="6" cm="1">
        <f t="array" aca="1" ref="BR8" ca="1">IFERROR( INDIRECT(ADDRESS(ROW()+1, COLUMN(), 4, TRUE, "Export-dataset")) / INDIRECT(ADDRESS(ROW(), COLUMN(), 4, TRUE, "Export-dataset")), "" )</f>
        <v>1.0572207084468666</v>
      </c>
      <c r="BS8" s="6" cm="1">
        <f t="array" aca="1" ref="BS8" ca="1">IFERROR( INDIRECT(ADDRESS(ROW()+1, COLUMN(), 4, TRUE, "Export-dataset")) / INDIRECT(ADDRESS(ROW(), COLUMN(), 4, TRUE, "Export-dataset")), "" )</f>
        <v>1.3165680473372781</v>
      </c>
      <c r="BT8" s="6" cm="1">
        <f t="array" aca="1" ref="BT8" ca="1">IFERROR( INDIRECT(ADDRESS(ROW()+1, COLUMN(), 4, TRUE, "Export-dataset")) / INDIRECT(ADDRESS(ROW(), COLUMN(), 4, TRUE, "Export-dataset")), "" )</f>
        <v>1.0642458100558658</v>
      </c>
      <c r="BU8" s="6" cm="1">
        <f t="array" aca="1" ref="BU8" ca="1">IFERROR( INDIRECT(ADDRESS(ROW()+1, COLUMN(), 4, TRUE, "Export-dataset")) / INDIRECT(ADDRESS(ROW(), COLUMN(), 4, TRUE, "Export-dataset")), "" )</f>
        <v>1.0576488973780169</v>
      </c>
      <c r="BV8" s="6" cm="1">
        <f t="array" aca="1" ref="BV8" ca="1">IFERROR( INDIRECT(ADDRESS(ROW()+1, COLUMN(), 4, TRUE, "Export-dataset")) / INDIRECT(ADDRESS(ROW(), COLUMN(), 4, TRUE, "Export-dataset")), "" )</f>
        <v>1.4532019704433496</v>
      </c>
      <c r="BW8" s="6" cm="1">
        <f t="array" aca="1" ref="BW8" ca="1">IFERROR( INDIRECT(ADDRESS(ROW()+1, COLUMN(), 4, TRUE, "Export-dataset")) / INDIRECT(ADDRESS(ROW(), COLUMN(), 4, TRUE, "Export-dataset")), "" )</f>
        <v>0.76816608996539792</v>
      </c>
      <c r="BX8" s="6" t="str" cm="1">
        <f t="array" aca="1" ref="BX8" ca="1">IFERROR( INDIRECT(ADDRESS(ROW()+1, COLUMN(), 4, TRUE, "Export-dataset")) / INDIRECT(ADDRESS(ROW(), COLUMN(), 4, TRUE, "Export-dataset")), "" )</f>
        <v/>
      </c>
      <c r="BY8" s="6" cm="1">
        <f t="array" aca="1" ref="BY8" ca="1">IFERROR( INDIRECT(ADDRESS(ROW()+1, COLUMN(), 4, TRUE, "Export-dataset")) / INDIRECT(ADDRESS(ROW(), COLUMN(), 4, TRUE, "Export-dataset")), "" )</f>
        <v>1.0462466487935658</v>
      </c>
      <c r="BZ8" s="6" cm="1">
        <f t="array" aca="1" ref="BZ8" ca="1">IFERROR( INDIRECT(ADDRESS(ROW()+1, COLUMN(), 4, TRUE, "Export-dataset")) / INDIRECT(ADDRESS(ROW(), COLUMN(), 4, TRUE, "Export-dataset")), "" )</f>
        <v>1.1289506953223767</v>
      </c>
      <c r="CA8" s="6" cm="1">
        <f t="array" aca="1" ref="CA8" ca="1">IFERROR( INDIRECT(ADDRESS(ROW()+1, COLUMN(), 4, TRUE, "Export-dataset")) / INDIRECT(ADDRESS(ROW(), COLUMN(), 4, TRUE, "Export-dataset")), "" )</f>
        <v>1.0747212086952054</v>
      </c>
    </row>
    <row r="9" spans="1:79">
      <c r="A9" s="6" t="s">
        <v>166</v>
      </c>
      <c r="B9" s="6" cm="1">
        <f t="array" aca="1" ref="B9" ca="1">IFERROR( INDIRECT(ADDRESS(ROW()+1, COLUMN(), 4, TRUE, "Export-dataset")) / INDIRECT(ADDRESS(ROW(), COLUMN(), 4, TRUE, "Export-dataset")), "" )</f>
        <v>1.0767684887459807</v>
      </c>
      <c r="C9" s="6" cm="1">
        <f t="array" aca="1" ref="C9" ca="1">IFERROR( INDIRECT(ADDRESS(ROW()+1, COLUMN(), 4, TRUE, "Export-dataset")) / INDIRECT(ADDRESS(ROW(), COLUMN(), 4, TRUE, "Export-dataset")), "" )</f>
        <v>1.2422145328719723</v>
      </c>
      <c r="D9" s="6" cm="1">
        <f t="array" aca="1" ref="D9" ca="1">IFERROR( INDIRECT(ADDRESS(ROW()+1, COLUMN(), 4, TRUE, "Export-dataset")) / INDIRECT(ADDRESS(ROW(), COLUMN(), 4, TRUE, "Export-dataset")), "" )</f>
        <v>0.95982819605861547</v>
      </c>
      <c r="E9" s="6" cm="1">
        <f t="array" aca="1" ref="E9" ca="1">IFERROR( INDIRECT(ADDRESS(ROW()+1, COLUMN(), 4, TRUE, "Export-dataset")) / INDIRECT(ADDRESS(ROW(), COLUMN(), 4, TRUE, "Export-dataset")), "" )</f>
        <v>1.2172797262617623</v>
      </c>
      <c r="F9" s="6" cm="1">
        <f t="array" aca="1" ref="F9" ca="1">IFERROR( INDIRECT(ADDRESS(ROW()+1, COLUMN(), 4, TRUE, "Export-dataset")) / INDIRECT(ADDRESS(ROW(), COLUMN(), 4, TRUE, "Export-dataset")), "" )</f>
        <v>1.0321361058601135</v>
      </c>
      <c r="G9" s="6" cm="1">
        <f t="array" aca="1" ref="G9" ca="1">IFERROR( INDIRECT(ADDRESS(ROW()+1, COLUMN(), 4, TRUE, "Export-dataset")) / INDIRECT(ADDRESS(ROW(), COLUMN(), 4, TRUE, "Export-dataset")), "" )</f>
        <v>1.0767246937459702</v>
      </c>
      <c r="H9" s="6" cm="1">
        <f t="array" aca="1" ref="H9" ca="1">IFERROR( INDIRECT(ADDRESS(ROW()+1, COLUMN(), 4, TRUE, "Export-dataset")) / INDIRECT(ADDRESS(ROW(), COLUMN(), 4, TRUE, "Export-dataset")), "" )</f>
        <v>1.0153508771929824</v>
      </c>
      <c r="I9" s="6" cm="1">
        <f t="array" aca="1" ref="I9" ca="1">IFERROR( INDIRECT(ADDRESS(ROW()+1, COLUMN(), 4, TRUE, "Export-dataset")) / INDIRECT(ADDRESS(ROW(), COLUMN(), 4, TRUE, "Export-dataset")), "" )</f>
        <v>1.3818181818181818</v>
      </c>
      <c r="J9" s="6" cm="1">
        <f t="array" aca="1" ref="J9" ca="1">IFERROR( INDIRECT(ADDRESS(ROW()+1, COLUMN(), 4, TRUE, "Export-dataset")) / INDIRECT(ADDRESS(ROW(), COLUMN(), 4, TRUE, "Export-dataset")), "" )</f>
        <v>1.1849315068493151</v>
      </c>
      <c r="K9" s="6" cm="1">
        <f t="array" aca="1" ref="K9" ca="1">IFERROR( INDIRECT(ADDRESS(ROW()+1, COLUMN(), 4, TRUE, "Export-dataset")) / INDIRECT(ADDRESS(ROW(), COLUMN(), 4, TRUE, "Export-dataset")), "" )</f>
        <v>0.93720930232558142</v>
      </c>
      <c r="L9" s="6" cm="1">
        <f t="array" aca="1" ref="L9" ca="1">IFERROR( INDIRECT(ADDRESS(ROW()+1, COLUMN(), 4, TRUE, "Export-dataset")) / INDIRECT(ADDRESS(ROW(), COLUMN(), 4, TRUE, "Export-dataset")), "" )</f>
        <v>1.2857142857142858</v>
      </c>
      <c r="M9" s="6" cm="1">
        <f t="array" aca="1" ref="M9" ca="1">IFERROR( INDIRECT(ADDRESS(ROW()+1, COLUMN(), 4, TRUE, "Export-dataset")) / INDIRECT(ADDRESS(ROW(), COLUMN(), 4, TRUE, "Export-dataset")), "" )</f>
        <v>1.0835030549898168</v>
      </c>
      <c r="N9" s="6" cm="1">
        <f t="array" aca="1" ref="N9" ca="1">IFERROR( INDIRECT(ADDRESS(ROW()+1, COLUMN(), 4, TRUE, "Export-dataset")) / INDIRECT(ADDRESS(ROW(), COLUMN(), 4, TRUE, "Export-dataset")), "" )</f>
        <v>1.0787746170678336</v>
      </c>
      <c r="O9" s="6" cm="1">
        <f t="array" aca="1" ref="O9" ca="1">IFERROR( INDIRECT(ADDRESS(ROW()+1, COLUMN(), 4, TRUE, "Export-dataset")) / INDIRECT(ADDRESS(ROW(), COLUMN(), 4, TRUE, "Export-dataset")), "" )</f>
        <v>1.0857142857142856</v>
      </c>
      <c r="P9" s="6" cm="1">
        <f t="array" aca="1" ref="P9" ca="1">IFERROR( INDIRECT(ADDRESS(ROW()+1, COLUMN(), 4, TRUE, "Export-dataset")) / INDIRECT(ADDRESS(ROW(), COLUMN(), 4, TRUE, "Export-dataset")), "" )</f>
        <v>1.025170548106328</v>
      </c>
      <c r="Q9" s="6" cm="1">
        <f t="array" aca="1" ref="Q9" ca="1">IFERROR( INDIRECT(ADDRESS(ROW()+1, COLUMN(), 4, TRUE, "Export-dataset")) / INDIRECT(ADDRESS(ROW(), COLUMN(), 4, TRUE, "Export-dataset")), "" )</f>
        <v>1.1957671957671958</v>
      </c>
      <c r="R9" s="6" cm="1">
        <f t="array" aca="1" ref="R9" ca="1">IFERROR( INDIRECT(ADDRESS(ROW()+1, COLUMN(), 4, TRUE, "Export-dataset")) / INDIRECT(ADDRESS(ROW(), COLUMN(), 4, TRUE, "Export-dataset")), "" )</f>
        <v>1.5238095238095237</v>
      </c>
      <c r="S9" s="6" cm="1">
        <f t="array" aca="1" ref="S9" ca="1">IFERROR( INDIRECT(ADDRESS(ROW()+1, COLUMN(), 4, TRUE, "Export-dataset")) / INDIRECT(ADDRESS(ROW(), COLUMN(), 4, TRUE, "Export-dataset")), "" )</f>
        <v>1.2</v>
      </c>
      <c r="T9" s="6" cm="1">
        <f t="array" aca="1" ref="T9" ca="1">IFERROR( INDIRECT(ADDRESS(ROW()+1, COLUMN(), 4, TRUE, "Export-dataset")) / INDIRECT(ADDRESS(ROW(), COLUMN(), 4, TRUE, "Export-dataset")), "" )</f>
        <v>1</v>
      </c>
      <c r="U9" s="6" cm="1">
        <f t="array" aca="1" ref="U9" ca="1">IFERROR( INDIRECT(ADDRESS(ROW()+1, COLUMN(), 4, TRUE, "Export-dataset")) / INDIRECT(ADDRESS(ROW(), COLUMN(), 4, TRUE, "Export-dataset")), "" )</f>
        <v>2.0769230769230771</v>
      </c>
      <c r="V9" s="6" cm="1">
        <f t="array" aca="1" ref="V9" ca="1">IFERROR( INDIRECT(ADDRESS(ROW()+1, COLUMN(), 4, TRUE, "Export-dataset")) / INDIRECT(ADDRESS(ROW(), COLUMN(), 4, TRUE, "Export-dataset")), "" )</f>
        <v>1.1706717640633533</v>
      </c>
      <c r="W9" s="6" cm="1">
        <f t="array" aca="1" ref="W9" ca="1">IFERROR( INDIRECT(ADDRESS(ROW()+1, COLUMN(), 4, TRUE, "Export-dataset")) / INDIRECT(ADDRESS(ROW(), COLUMN(), 4, TRUE, "Export-dataset")), "" )</f>
        <v>0.9513513513513514</v>
      </c>
      <c r="X9" s="6" cm="1">
        <f t="array" aca="1" ref="X9" ca="1">IFERROR( INDIRECT(ADDRESS(ROW()+1, COLUMN(), 4, TRUE, "Export-dataset")) / INDIRECT(ADDRESS(ROW(), COLUMN(), 4, TRUE, "Export-dataset")), "" )</f>
        <v>0.94332577677023599</v>
      </c>
      <c r="Y9" s="6" cm="1">
        <f t="array" aca="1" ref="Y9" ca="1">IFERROR( INDIRECT(ADDRESS(ROW()+1, COLUMN(), 4, TRUE, "Export-dataset")) / INDIRECT(ADDRESS(ROW(), COLUMN(), 4, TRUE, "Export-dataset")), "" )</f>
        <v>1.0242718446601942</v>
      </c>
      <c r="Z9" s="6" cm="1">
        <f t="array" aca="1" ref="Z9" ca="1">IFERROR( INDIRECT(ADDRESS(ROW()+1, COLUMN(), 4, TRUE, "Export-dataset")) / INDIRECT(ADDRESS(ROW(), COLUMN(), 4, TRUE, "Export-dataset")), "" )</f>
        <v>0.89129164231443603</v>
      </c>
      <c r="AA9" s="6" cm="1">
        <f t="array" aca="1" ref="AA9" ca="1">IFERROR( INDIRECT(ADDRESS(ROW()+1, COLUMN(), 4, TRUE, "Export-dataset")) / INDIRECT(ADDRESS(ROW(), COLUMN(), 4, TRUE, "Export-dataset")), "" )</f>
        <v>0.86560656578609896</v>
      </c>
      <c r="AB9" s="6" cm="1">
        <f t="array" aca="1" ref="AB9" ca="1">IFERROR( INDIRECT(ADDRESS(ROW()+1, COLUMN(), 4, TRUE, "Export-dataset")) / INDIRECT(ADDRESS(ROW(), COLUMN(), 4, TRUE, "Export-dataset")), "" )</f>
        <v>0.91261808367071529</v>
      </c>
      <c r="AC9" s="6" cm="1">
        <f t="array" aca="1" ref="AC9" ca="1">IFERROR( INDIRECT(ADDRESS(ROW()+1, COLUMN(), 4, TRUE, "Export-dataset")) / INDIRECT(ADDRESS(ROW(), COLUMN(), 4, TRUE, "Export-dataset")), "" )</f>
        <v>0.99590499590499593</v>
      </c>
      <c r="AD9" s="6" cm="1">
        <f t="array" aca="1" ref="AD9" ca="1">IFERROR( INDIRECT(ADDRESS(ROW()+1, COLUMN(), 4, TRUE, "Export-dataset")) / INDIRECT(ADDRESS(ROW(), COLUMN(), 4, TRUE, "Export-dataset")), "" )</f>
        <v>1.0660377358490567</v>
      </c>
      <c r="AE9" s="6" cm="1">
        <f t="array" aca="1" ref="AE9" ca="1">IFERROR( INDIRECT(ADDRESS(ROW()+1, COLUMN(), 4, TRUE, "Export-dataset")) / INDIRECT(ADDRESS(ROW(), COLUMN(), 4, TRUE, "Export-dataset")), "" )</f>
        <v>1.0635838150289016</v>
      </c>
      <c r="AF9" s="6" cm="1">
        <f t="array" aca="1" ref="AF9" ca="1">IFERROR( INDIRECT(ADDRESS(ROW()+1, COLUMN(), 4, TRUE, "Export-dataset")) / INDIRECT(ADDRESS(ROW(), COLUMN(), 4, TRUE, "Export-dataset")), "" )</f>
        <v>3.5</v>
      </c>
      <c r="AG9" s="6" cm="1">
        <f t="array" aca="1" ref="AG9" ca="1">IFERROR( INDIRECT(ADDRESS(ROW()+1, COLUMN(), 4, TRUE, "Export-dataset")) / INDIRECT(ADDRESS(ROW(), COLUMN(), 4, TRUE, "Export-dataset")), "" )</f>
        <v>0.94117647058823528</v>
      </c>
      <c r="AH9" s="6" cm="1">
        <f t="array" aca="1" ref="AH9" ca="1">IFERROR( INDIRECT(ADDRESS(ROW()+1, COLUMN(), 4, TRUE, "Export-dataset")) / INDIRECT(ADDRESS(ROW(), COLUMN(), 4, TRUE, "Export-dataset")), "" )</f>
        <v>1.1295194508009154</v>
      </c>
      <c r="AI9" s="6" cm="1">
        <f t="array" aca="1" ref="AI9" ca="1">IFERROR( INDIRECT(ADDRESS(ROW()+1, COLUMN(), 4, TRUE, "Export-dataset")) / INDIRECT(ADDRESS(ROW(), COLUMN(), 4, TRUE, "Export-dataset")), "" )</f>
        <v>1.0240963855421688</v>
      </c>
      <c r="AJ9" s="6" cm="1">
        <f t="array" aca="1" ref="AJ9" ca="1">IFERROR( INDIRECT(ADDRESS(ROW()+1, COLUMN(), 4, TRUE, "Export-dataset")) / INDIRECT(ADDRESS(ROW(), COLUMN(), 4, TRUE, "Export-dataset")), "" )</f>
        <v>1.253393665158371</v>
      </c>
      <c r="AK9" s="6" cm="1">
        <f t="array" aca="1" ref="AK9" ca="1">IFERROR( INDIRECT(ADDRESS(ROW()+1, COLUMN(), 4, TRUE, "Export-dataset")) / INDIRECT(ADDRESS(ROW(), COLUMN(), 4, TRUE, "Export-dataset")), "" )</f>
        <v>1.0508474576271187</v>
      </c>
      <c r="AL9" s="6" cm="1">
        <f t="array" aca="1" ref="AL9" ca="1">IFERROR( INDIRECT(ADDRESS(ROW()+1, COLUMN(), 4, TRUE, "Export-dataset")) / INDIRECT(ADDRESS(ROW(), COLUMN(), 4, TRUE, "Export-dataset")), "" )</f>
        <v>1.1408450704225352</v>
      </c>
      <c r="AM9" s="6" cm="1">
        <f t="array" aca="1" ref="AM9" ca="1">IFERROR( INDIRECT(ADDRESS(ROW()+1, COLUMN(), 4, TRUE, "Export-dataset")) / INDIRECT(ADDRESS(ROW(), COLUMN(), 4, TRUE, "Export-dataset")), "" )</f>
        <v>1.2303664921465969</v>
      </c>
      <c r="AN9" s="6" cm="1">
        <f t="array" aca="1" ref="AN9" ca="1">IFERROR( INDIRECT(ADDRESS(ROW()+1, COLUMN(), 4, TRUE, "Export-dataset")) / INDIRECT(ADDRESS(ROW(), COLUMN(), 4, TRUE, "Export-dataset")), "" )</f>
        <v>1.6428571428571428</v>
      </c>
      <c r="AO9" s="6" cm="1">
        <f t="array" aca="1" ref="AO9" ca="1">IFERROR( INDIRECT(ADDRESS(ROW()+1, COLUMN(), 4, TRUE, "Export-dataset")) / INDIRECT(ADDRESS(ROW(), COLUMN(), 4, TRUE, "Export-dataset")), "" )</f>
        <v>0.99052132701421802</v>
      </c>
      <c r="AP9" s="6" cm="1">
        <f t="array" aca="1" ref="AP9" ca="1">IFERROR( INDIRECT(ADDRESS(ROW()+1, COLUMN(), 4, TRUE, "Export-dataset")) / INDIRECT(ADDRESS(ROW(), COLUMN(), 4, TRUE, "Export-dataset")), "" )</f>
        <v>1.1081081081081081</v>
      </c>
      <c r="AQ9" s="6" cm="1">
        <f t="array" aca="1" ref="AQ9" ca="1">IFERROR( INDIRECT(ADDRESS(ROW()+1, COLUMN(), 4, TRUE, "Export-dataset")) / INDIRECT(ADDRESS(ROW(), COLUMN(), 4, TRUE, "Export-dataset")), "" )</f>
        <v>1.1342465753424658</v>
      </c>
      <c r="AR9" s="6" cm="1">
        <f t="array" aca="1" ref="AR9" ca="1">IFERROR( INDIRECT(ADDRESS(ROW()+1, COLUMN(), 4, TRUE, "Export-dataset")) / INDIRECT(ADDRESS(ROW(), COLUMN(), 4, TRUE, "Export-dataset")), "" )</f>
        <v>1.0944268357105125</v>
      </c>
      <c r="AS9" s="6" cm="1">
        <f t="array" aca="1" ref="AS9" ca="1">IFERROR( INDIRECT(ADDRESS(ROW()+1, COLUMN(), 4, TRUE, "Export-dataset")) / INDIRECT(ADDRESS(ROW(), COLUMN(), 4, TRUE, "Export-dataset")), "" )</f>
        <v>1.3027522935779816</v>
      </c>
      <c r="AT9" s="6" cm="1">
        <f t="array" aca="1" ref="AT9" ca="1">IFERROR( INDIRECT(ADDRESS(ROW()+1, COLUMN(), 4, TRUE, "Export-dataset")) / INDIRECT(ADDRESS(ROW(), COLUMN(), 4, TRUE, "Export-dataset")), "" )</f>
        <v>1.0769230769230769</v>
      </c>
      <c r="AU9" s="6" cm="1">
        <f t="array" aca="1" ref="AU9" ca="1">IFERROR( INDIRECT(ADDRESS(ROW()+1, COLUMN(), 4, TRUE, "Export-dataset")) / INDIRECT(ADDRESS(ROW(), COLUMN(), 4, TRUE, "Export-dataset")), "" )</f>
        <v>1.0113636363636365</v>
      </c>
      <c r="AV9" s="6" cm="1">
        <f t="array" aca="1" ref="AV9" ca="1">IFERROR( INDIRECT(ADDRESS(ROW()+1, COLUMN(), 4, TRUE, "Export-dataset")) / INDIRECT(ADDRESS(ROW(), COLUMN(), 4, TRUE, "Export-dataset")), "" )</f>
        <v>1</v>
      </c>
      <c r="AW9" s="6" cm="1">
        <f t="array" aca="1" ref="AW9" ca="1">IFERROR( INDIRECT(ADDRESS(ROW()+1, COLUMN(), 4, TRUE, "Export-dataset")) / INDIRECT(ADDRESS(ROW(), COLUMN(), 4, TRUE, "Export-dataset")), "" )</f>
        <v>1.1746478873239437</v>
      </c>
      <c r="AX9" s="6" cm="1">
        <f t="array" aca="1" ref="AX9" ca="1">IFERROR( INDIRECT(ADDRESS(ROW()+1, COLUMN(), 4, TRUE, "Export-dataset")) / INDIRECT(ADDRESS(ROW(), COLUMN(), 4, TRUE, "Export-dataset")), "" )</f>
        <v>1.356896551724138</v>
      </c>
      <c r="AY9" s="6" cm="1">
        <f t="array" aca="1" ref="AY9" ca="1">IFERROR( INDIRECT(ADDRESS(ROW()+1, COLUMN(), 4, TRUE, "Export-dataset")) / INDIRECT(ADDRESS(ROW(), COLUMN(), 4, TRUE, "Export-dataset")), "" )</f>
        <v>1.0905797101449275</v>
      </c>
      <c r="AZ9" s="6" cm="1">
        <f t="array" aca="1" ref="AZ9" ca="1">IFERROR( INDIRECT(ADDRESS(ROW()+1, COLUMN(), 4, TRUE, "Export-dataset")) / INDIRECT(ADDRESS(ROW(), COLUMN(), 4, TRUE, "Export-dataset")), "" )</f>
        <v>1.0254172015404364</v>
      </c>
      <c r="BA9" s="6" cm="1">
        <f t="array" aca="1" ref="BA9" ca="1">IFERROR( INDIRECT(ADDRESS(ROW()+1, COLUMN(), 4, TRUE, "Export-dataset")) / INDIRECT(ADDRESS(ROW(), COLUMN(), 4, TRUE, "Export-dataset")), "" )</f>
        <v>1.1775862068965517</v>
      </c>
      <c r="BB9" s="6" cm="1">
        <f t="array" aca="1" ref="BB9" ca="1">IFERROR( INDIRECT(ADDRESS(ROW()+1, COLUMN(), 4, TRUE, "Export-dataset")) / INDIRECT(ADDRESS(ROW(), COLUMN(), 4, TRUE, "Export-dataset")), "" )</f>
        <v>1.0830602649950136</v>
      </c>
      <c r="BC9" s="6" cm="1">
        <f t="array" aca="1" ref="BC9" ca="1">IFERROR( INDIRECT(ADDRESS(ROW()+1, COLUMN(), 4, TRUE, "Export-dataset")) / INDIRECT(ADDRESS(ROW(), COLUMN(), 4, TRUE, "Export-dataset")), "" )</f>
        <v>0.96474358974358976</v>
      </c>
      <c r="BD9" s="6" cm="1">
        <f t="array" aca="1" ref="BD9" ca="1">IFERROR( INDIRECT(ADDRESS(ROW()+1, COLUMN(), 4, TRUE, "Export-dataset")) / INDIRECT(ADDRESS(ROW(), COLUMN(), 4, TRUE, "Export-dataset")), "" )</f>
        <v>1.0062421972534332</v>
      </c>
      <c r="BE9" s="6" cm="1">
        <f t="array" aca="1" ref="BE9" ca="1">IFERROR( INDIRECT(ADDRESS(ROW()+1, COLUMN(), 4, TRUE, "Export-dataset")) / INDIRECT(ADDRESS(ROW(), COLUMN(), 4, TRUE, "Export-dataset")), "" )</f>
        <v>1.2371134020618557</v>
      </c>
      <c r="BF9" s="6" cm="1">
        <f t="array" aca="1" ref="BF9" ca="1">IFERROR( INDIRECT(ADDRESS(ROW()+1, COLUMN(), 4, TRUE, "Export-dataset")) / INDIRECT(ADDRESS(ROW(), COLUMN(), 4, TRUE, "Export-dataset")), "" )</f>
        <v>1.1444308445532436</v>
      </c>
      <c r="BG9" s="6" cm="1">
        <f t="array" aca="1" ref="BG9" ca="1">IFERROR( INDIRECT(ADDRESS(ROW()+1, COLUMN(), 4, TRUE, "Export-dataset")) / INDIRECT(ADDRESS(ROW(), COLUMN(), 4, TRUE, "Export-dataset")), "" )</f>
        <v>1.2908468776732249</v>
      </c>
      <c r="BH9" s="6" cm="1">
        <f t="array" aca="1" ref="BH9" ca="1">IFERROR( INDIRECT(ADDRESS(ROW()+1, COLUMN(), 4, TRUE, "Export-dataset")) / INDIRECT(ADDRESS(ROW(), COLUMN(), 4, TRUE, "Export-dataset")), "" )</f>
        <v>1.5802752293577982</v>
      </c>
      <c r="BI9" s="6" cm="1">
        <f t="array" aca="1" ref="BI9" ca="1">IFERROR( INDIRECT(ADDRESS(ROW()+1, COLUMN(), 4, TRUE, "Export-dataset")) / INDIRECT(ADDRESS(ROW(), COLUMN(), 4, TRUE, "Export-dataset")), "" )</f>
        <v>1.2279909706546275</v>
      </c>
      <c r="BJ9" s="6" cm="1">
        <f t="array" aca="1" ref="BJ9" ca="1">IFERROR( INDIRECT(ADDRESS(ROW()+1, COLUMN(), 4, TRUE, "Export-dataset")) / INDIRECT(ADDRESS(ROW(), COLUMN(), 4, TRUE, "Export-dataset")), "" )</f>
        <v>0.92518248175182483</v>
      </c>
      <c r="BK9" s="6" cm="1">
        <f t="array" aca="1" ref="BK9" ca="1">IFERROR( INDIRECT(ADDRESS(ROW()+1, COLUMN(), 4, TRUE, "Export-dataset")) / INDIRECT(ADDRESS(ROW(), COLUMN(), 4, TRUE, "Export-dataset")), "" )</f>
        <v>0.7705667276051188</v>
      </c>
      <c r="BL9" s="6" cm="1">
        <f t="array" aca="1" ref="BL9" ca="1">IFERROR( INDIRECT(ADDRESS(ROW()+1, COLUMN(), 4, TRUE, "Export-dataset")) / INDIRECT(ADDRESS(ROW(), COLUMN(), 4, TRUE, "Export-dataset")), "" )</f>
        <v>1.1176176176176176</v>
      </c>
      <c r="BM9" s="6" cm="1">
        <f t="array" aca="1" ref="BM9" ca="1">IFERROR( INDIRECT(ADDRESS(ROW()+1, COLUMN(), 4, TRUE, "Export-dataset")) / INDIRECT(ADDRESS(ROW(), COLUMN(), 4, TRUE, "Export-dataset")), "" )</f>
        <v>1.0434782608695652</v>
      </c>
      <c r="BN9" s="6" cm="1">
        <f t="array" aca="1" ref="BN9" ca="1">IFERROR( INDIRECT(ADDRESS(ROW()+1, COLUMN(), 4, TRUE, "Export-dataset")) / INDIRECT(ADDRESS(ROW(), COLUMN(), 4, TRUE, "Export-dataset")), "" )</f>
        <v>1</v>
      </c>
      <c r="BO9" s="6" cm="1">
        <f t="array" aca="1" ref="BO9" ca="1">IFERROR( INDIRECT(ADDRESS(ROW()+1, COLUMN(), 4, TRUE, "Export-dataset")) / INDIRECT(ADDRESS(ROW(), COLUMN(), 4, TRUE, "Export-dataset")), "" )</f>
        <v>1.3</v>
      </c>
      <c r="BP9" s="6" cm="1">
        <f t="array" aca="1" ref="BP9" ca="1">IFERROR( INDIRECT(ADDRESS(ROW()+1, COLUMN(), 4, TRUE, "Export-dataset")) / INDIRECT(ADDRESS(ROW(), COLUMN(), 4, TRUE, "Export-dataset")), "" )</f>
        <v>1.2972972972972974</v>
      </c>
      <c r="BQ9" s="6" cm="1">
        <f t="array" aca="1" ref="BQ9" ca="1">IFERROR( INDIRECT(ADDRESS(ROW()+1, COLUMN(), 4, TRUE, "Export-dataset")) / INDIRECT(ADDRESS(ROW(), COLUMN(), 4, TRUE, "Export-dataset")), "" )</f>
        <v>1.0769230769230769</v>
      </c>
      <c r="BR9" s="6" cm="1">
        <f t="array" aca="1" ref="BR9" ca="1">IFERROR( INDIRECT(ADDRESS(ROW()+1, COLUMN(), 4, TRUE, "Export-dataset")) / INDIRECT(ADDRESS(ROW(), COLUMN(), 4, TRUE, "Export-dataset")), "" )</f>
        <v>1.1443298969072164</v>
      </c>
      <c r="BS9" s="6" cm="1">
        <f t="array" aca="1" ref="BS9" ca="1">IFERROR( INDIRECT(ADDRESS(ROW()+1, COLUMN(), 4, TRUE, "Export-dataset")) / INDIRECT(ADDRESS(ROW(), COLUMN(), 4, TRUE, "Export-dataset")), "" )</f>
        <v>1.0853932584269663</v>
      </c>
      <c r="BT9" s="6" cm="1">
        <f t="array" aca="1" ref="BT9" ca="1">IFERROR( INDIRECT(ADDRESS(ROW()+1, COLUMN(), 4, TRUE, "Export-dataset")) / INDIRECT(ADDRESS(ROW(), COLUMN(), 4, TRUE, "Export-dataset")), "" )</f>
        <v>1.0866141732283465</v>
      </c>
      <c r="BU9" s="6" cm="1">
        <f t="array" aca="1" ref="BU9" ca="1">IFERROR( INDIRECT(ADDRESS(ROW()+1, COLUMN(), 4, TRUE, "Export-dataset")) / INDIRECT(ADDRESS(ROW(), COLUMN(), 4, TRUE, "Export-dataset")), "" )</f>
        <v>1.0321786241996389</v>
      </c>
      <c r="BV9" s="6" cm="1">
        <f t="array" aca="1" ref="BV9" ca="1">IFERROR( INDIRECT(ADDRESS(ROW()+1, COLUMN(), 4, TRUE, "Export-dataset")) / INDIRECT(ADDRESS(ROW(), COLUMN(), 4, TRUE, "Export-dataset")), "" )</f>
        <v>1.2915254237288136</v>
      </c>
      <c r="BW9" s="6" cm="1">
        <f t="array" aca="1" ref="BW9" ca="1">IFERROR( INDIRECT(ADDRESS(ROW()+1, COLUMN(), 4, TRUE, "Export-dataset")) / INDIRECT(ADDRESS(ROW(), COLUMN(), 4, TRUE, "Export-dataset")), "" )</f>
        <v>1.1081081081081081</v>
      </c>
      <c r="BX9" s="6" t="str" cm="1">
        <f t="array" aca="1" ref="BX9" ca="1">IFERROR( INDIRECT(ADDRESS(ROW()+1, COLUMN(), 4, TRUE, "Export-dataset")) / INDIRECT(ADDRESS(ROW(), COLUMN(), 4, TRUE, "Export-dataset")), "" )</f>
        <v/>
      </c>
      <c r="BY9" s="6" cm="1">
        <f t="array" aca="1" ref="BY9" ca="1">IFERROR( INDIRECT(ADDRESS(ROW()+1, COLUMN(), 4, TRUE, "Export-dataset")) / INDIRECT(ADDRESS(ROW(), COLUMN(), 4, TRUE, "Export-dataset")), "" )</f>
        <v>0.99743754003843688</v>
      </c>
      <c r="BZ9" s="6" cm="1">
        <f t="array" aca="1" ref="BZ9" ca="1">IFERROR( INDIRECT(ADDRESS(ROW()+1, COLUMN(), 4, TRUE, "Export-dataset")) / INDIRECT(ADDRESS(ROW(), COLUMN(), 4, TRUE, "Export-dataset")), "" )</f>
        <v>1.1007838745800671</v>
      </c>
      <c r="CA9" s="6" cm="1">
        <f t="array" aca="1" ref="CA9" ca="1">IFERROR( INDIRECT(ADDRESS(ROW()+1, COLUMN(), 4, TRUE, "Export-dataset")) / INDIRECT(ADDRESS(ROW(), COLUMN(), 4, TRUE, "Export-dataset")), "" )</f>
        <v>1.0324519039194122</v>
      </c>
    </row>
    <row r="10" spans="1:79">
      <c r="A10" s="6" t="s">
        <v>167</v>
      </c>
      <c r="B10" s="6" cm="1">
        <f t="array" aca="1" ref="B10" ca="1">IFERROR( INDIRECT(ADDRESS(ROW()+1, COLUMN(), 4, TRUE, "Export-dataset")) / INDIRECT(ADDRESS(ROW(), COLUMN(), 4, TRUE, "Export-dataset")), "" )</f>
        <v>0.97596117954460615</v>
      </c>
      <c r="C10" s="6" cm="1">
        <f t="array" aca="1" ref="C10" ca="1">IFERROR( INDIRECT(ADDRESS(ROW()+1, COLUMN(), 4, TRUE, "Export-dataset")) / INDIRECT(ADDRESS(ROW(), COLUMN(), 4, TRUE, "Export-dataset")), "" )</f>
        <v>1.6044568245125348</v>
      </c>
      <c r="D10" s="6" cm="1">
        <f t="array" aca="1" ref="D10" ca="1">IFERROR( INDIRECT(ADDRESS(ROW()+1, COLUMN(), 4, TRUE, "Export-dataset")) / INDIRECT(ADDRESS(ROW(), COLUMN(), 4, TRUE, "Export-dataset")), "" )</f>
        <v>0.93156093708870757</v>
      </c>
      <c r="E10" s="6" cm="1">
        <f t="array" aca="1" ref="E10" ca="1">IFERROR( INDIRECT(ADDRESS(ROW()+1, COLUMN(), 4, TRUE, "Export-dataset")) / INDIRECT(ADDRESS(ROW(), COLUMN(), 4, TRUE, "Export-dataset")), "" )</f>
        <v>1.050597329585383</v>
      </c>
      <c r="F10" s="6" cm="1">
        <f t="array" aca="1" ref="F10" ca="1">IFERROR( INDIRECT(ADDRESS(ROW()+1, COLUMN(), 4, TRUE, "Export-dataset")) / INDIRECT(ADDRESS(ROW(), COLUMN(), 4, TRUE, "Export-dataset")), "" )</f>
        <v>1.0622710622710623</v>
      </c>
      <c r="G10" s="6" cm="1">
        <f t="array" aca="1" ref="G10" ca="1">IFERROR( INDIRECT(ADDRESS(ROW()+1, COLUMN(), 4, TRUE, "Export-dataset")) / INDIRECT(ADDRESS(ROW(), COLUMN(), 4, TRUE, "Export-dataset")), "" )</f>
        <v>0.80508982035928145</v>
      </c>
      <c r="H10" s="6" cm="1">
        <f t="array" aca="1" ref="H10" ca="1">IFERROR( INDIRECT(ADDRESS(ROW()+1, COLUMN(), 4, TRUE, "Export-dataset")) / INDIRECT(ADDRESS(ROW(), COLUMN(), 4, TRUE, "Export-dataset")), "" )</f>
        <v>0.99460043196544279</v>
      </c>
      <c r="I10" s="6" cm="1">
        <f t="array" aca="1" ref="I10" ca="1">IFERROR( INDIRECT(ADDRESS(ROW()+1, COLUMN(), 4, TRUE, "Export-dataset")) / INDIRECT(ADDRESS(ROW(), COLUMN(), 4, TRUE, "Export-dataset")), "" )</f>
        <v>1.1226076555023923</v>
      </c>
      <c r="J10" s="6" cm="1">
        <f t="array" aca="1" ref="J10" ca="1">IFERROR( INDIRECT(ADDRESS(ROW()+1, COLUMN(), 4, TRUE, "Export-dataset")) / INDIRECT(ADDRESS(ROW(), COLUMN(), 4, TRUE, "Export-dataset")), "" )</f>
        <v>1.046242774566474</v>
      </c>
      <c r="K10" s="6" cm="1">
        <f t="array" aca="1" ref="K10" ca="1">IFERROR( INDIRECT(ADDRESS(ROW()+1, COLUMN(), 4, TRUE, "Export-dataset")) / INDIRECT(ADDRESS(ROW(), COLUMN(), 4, TRUE, "Export-dataset")), "" )</f>
        <v>1.022332506203474</v>
      </c>
      <c r="L10" s="6" cm="1">
        <f t="array" aca="1" ref="L10" ca="1">IFERROR( INDIRECT(ADDRESS(ROW()+1, COLUMN(), 4, TRUE, "Export-dataset")) / INDIRECT(ADDRESS(ROW(), COLUMN(), 4, TRUE, "Export-dataset")), "" )</f>
        <v>1.0772946859903381</v>
      </c>
      <c r="M10" s="6" cm="1">
        <f t="array" aca="1" ref="M10" ca="1">IFERROR( INDIRECT(ADDRESS(ROW()+1, COLUMN(), 4, TRUE, "Export-dataset")) / INDIRECT(ADDRESS(ROW(), COLUMN(), 4, TRUE, "Export-dataset")), "" )</f>
        <v>1.0921052631578947</v>
      </c>
      <c r="N10" s="6" cm="1">
        <f t="array" aca="1" ref="N10" ca="1">IFERROR( INDIRECT(ADDRESS(ROW()+1, COLUMN(), 4, TRUE, "Export-dataset")) / INDIRECT(ADDRESS(ROW(), COLUMN(), 4, TRUE, "Export-dataset")), "" )</f>
        <v>1.0993914807302232</v>
      </c>
      <c r="O10" s="6" cm="1">
        <f t="array" aca="1" ref="O10" ca="1">IFERROR( INDIRECT(ADDRESS(ROW()+1, COLUMN(), 4, TRUE, "Export-dataset")) / INDIRECT(ADDRESS(ROW(), COLUMN(), 4, TRUE, "Export-dataset")), "" )</f>
        <v>1.131578947368421</v>
      </c>
      <c r="P10" s="6" cm="1">
        <f t="array" aca="1" ref="P10" ca="1">IFERROR( INDIRECT(ADDRESS(ROW()+1, COLUMN(), 4, TRUE, "Export-dataset")) / INDIRECT(ADDRESS(ROW(), COLUMN(), 4, TRUE, "Export-dataset")), "" )</f>
        <v>1.1200091785222579</v>
      </c>
      <c r="Q10" s="6" cm="1">
        <f t="array" aca="1" ref="Q10" ca="1">IFERROR( INDIRECT(ADDRESS(ROW()+1, COLUMN(), 4, TRUE, "Export-dataset")) / INDIRECT(ADDRESS(ROW(), COLUMN(), 4, TRUE, "Export-dataset")), "" )</f>
        <v>1.0884955752212389</v>
      </c>
      <c r="R10" s="6" cm="1">
        <f t="array" aca="1" ref="R10" ca="1">IFERROR( INDIRECT(ADDRESS(ROW()+1, COLUMN(), 4, TRUE, "Export-dataset")) / INDIRECT(ADDRESS(ROW(), COLUMN(), 4, TRUE, "Export-dataset")), "" )</f>
        <v>0.953125</v>
      </c>
      <c r="S10" s="6" cm="1">
        <f t="array" aca="1" ref="S10" ca="1">IFERROR( INDIRECT(ADDRESS(ROW()+1, COLUMN(), 4, TRUE, "Export-dataset")) / INDIRECT(ADDRESS(ROW(), COLUMN(), 4, TRUE, "Export-dataset")), "" )</f>
        <v>1.0833333333333333</v>
      </c>
      <c r="T10" s="6" cm="1">
        <f t="array" aca="1" ref="T10" ca="1">IFERROR( INDIRECT(ADDRESS(ROW()+1, COLUMN(), 4, TRUE, "Export-dataset")) / INDIRECT(ADDRESS(ROW(), COLUMN(), 4, TRUE, "Export-dataset")), "" )</f>
        <v>1.2184557438794728</v>
      </c>
      <c r="U10" s="6" cm="1">
        <f t="array" aca="1" ref="U10" ca="1">IFERROR( INDIRECT(ADDRESS(ROW()+1, COLUMN(), 4, TRUE, "Export-dataset")) / INDIRECT(ADDRESS(ROW(), COLUMN(), 4, TRUE, "Export-dataset")), "" )</f>
        <v>1.7407407407407407</v>
      </c>
      <c r="V10" s="6" cm="1">
        <f t="array" aca="1" ref="V10" ca="1">IFERROR( INDIRECT(ADDRESS(ROW()+1, COLUMN(), 4, TRUE, "Export-dataset")) / INDIRECT(ADDRESS(ROW(), COLUMN(), 4, TRUE, "Export-dataset")), "" )</f>
        <v>1.0272918124562631</v>
      </c>
      <c r="W10" s="6" cm="1">
        <f t="array" aca="1" ref="W10" ca="1">IFERROR( INDIRECT(ADDRESS(ROW()+1, COLUMN(), 4, TRUE, "Export-dataset")) / INDIRECT(ADDRESS(ROW(), COLUMN(), 4, TRUE, "Export-dataset")), "" )</f>
        <v>1.2130681818181819</v>
      </c>
      <c r="X10" s="6" cm="1">
        <f t="array" aca="1" ref="X10" ca="1">IFERROR( INDIRECT(ADDRESS(ROW()+1, COLUMN(), 4, TRUE, "Export-dataset")) / INDIRECT(ADDRESS(ROW(), COLUMN(), 4, TRUE, "Export-dataset")), "" )</f>
        <v>1.1690698331919707</v>
      </c>
      <c r="Y10" s="6" cm="1">
        <f t="array" aca="1" ref="Y10" ca="1">IFERROR( INDIRECT(ADDRESS(ROW()+1, COLUMN(), 4, TRUE, "Export-dataset")) / INDIRECT(ADDRESS(ROW(), COLUMN(), 4, TRUE, "Export-dataset")), "" )</f>
        <v>1.066350710900474</v>
      </c>
      <c r="Z10" s="6" cm="1">
        <f t="array" aca="1" ref="Z10" ca="1">IFERROR( INDIRECT(ADDRESS(ROW()+1, COLUMN(), 4, TRUE, "Export-dataset")) / INDIRECT(ADDRESS(ROW(), COLUMN(), 4, TRUE, "Export-dataset")), "" )</f>
        <v>1.1218735362997658</v>
      </c>
      <c r="AA10" s="6" cm="1">
        <f t="array" aca="1" ref="AA10" ca="1">IFERROR( INDIRECT(ADDRESS(ROW()+1, COLUMN(), 4, TRUE, "Export-dataset")) / INDIRECT(ADDRESS(ROW(), COLUMN(), 4, TRUE, "Export-dataset")), "" )</f>
        <v>1.1011851851851853</v>
      </c>
      <c r="AB10" s="6" cm="1">
        <f t="array" aca="1" ref="AB10" ca="1">IFERROR( INDIRECT(ADDRESS(ROW()+1, COLUMN(), 4, TRUE, "Export-dataset")) / INDIRECT(ADDRESS(ROW(), COLUMN(), 4, TRUE, "Export-dataset")), "" )</f>
        <v>1.1197781885397413</v>
      </c>
      <c r="AC10" s="6" cm="1">
        <f t="array" aca="1" ref="AC10" ca="1">IFERROR( INDIRECT(ADDRESS(ROW()+1, COLUMN(), 4, TRUE, "Export-dataset")) / INDIRECT(ADDRESS(ROW(), COLUMN(), 4, TRUE, "Export-dataset")), "" )</f>
        <v>1.2483552631578947</v>
      </c>
      <c r="AD10" s="6" cm="1">
        <f t="array" aca="1" ref="AD10" ca="1">IFERROR( INDIRECT(ADDRESS(ROW()+1, COLUMN(), 4, TRUE, "Export-dataset")) / INDIRECT(ADDRESS(ROW(), COLUMN(), 4, TRUE, "Export-dataset")), "" )</f>
        <v>1.1327433628318584</v>
      </c>
      <c r="AE10" s="6" cm="1">
        <f t="array" aca="1" ref="AE10" ca="1">IFERROR( INDIRECT(ADDRESS(ROW()+1, COLUMN(), 4, TRUE, "Export-dataset")) / INDIRECT(ADDRESS(ROW(), COLUMN(), 4, TRUE, "Export-dataset")), "" )</f>
        <v>1.173913043478261</v>
      </c>
      <c r="AF10" s="6" cm="1">
        <f t="array" aca="1" ref="AF10" ca="1">IFERROR( INDIRECT(ADDRESS(ROW()+1, COLUMN(), 4, TRUE, "Export-dataset")) / INDIRECT(ADDRESS(ROW(), COLUMN(), 4, TRUE, "Export-dataset")), "" )</f>
        <v>0.2857142857142857</v>
      </c>
      <c r="AG10" s="6" cm="1">
        <f t="array" aca="1" ref="AG10" ca="1">IFERROR( INDIRECT(ADDRESS(ROW()+1, COLUMN(), 4, TRUE, "Export-dataset")) / INDIRECT(ADDRESS(ROW(), COLUMN(), 4, TRUE, "Export-dataset")), "" )</f>
        <v>1.1875</v>
      </c>
      <c r="AH10" s="6" cm="1">
        <f t="array" aca="1" ref="AH10" ca="1">IFERROR( INDIRECT(ADDRESS(ROW()+1, COLUMN(), 4, TRUE, "Export-dataset")) / INDIRECT(ADDRESS(ROW(), COLUMN(), 4, TRUE, "Export-dataset")), "" )</f>
        <v>1.1786871961102108</v>
      </c>
      <c r="AI10" s="6" cm="1">
        <f t="array" aca="1" ref="AI10" ca="1">IFERROR( INDIRECT(ADDRESS(ROW()+1, COLUMN(), 4, TRUE, "Export-dataset")) / INDIRECT(ADDRESS(ROW(), COLUMN(), 4, TRUE, "Export-dataset")), "" )</f>
        <v>0.94117647058823528</v>
      </c>
      <c r="AJ10" s="6" cm="1">
        <f t="array" aca="1" ref="AJ10" ca="1">IFERROR( INDIRECT(ADDRESS(ROW()+1, COLUMN(), 4, TRUE, "Export-dataset")) / INDIRECT(ADDRESS(ROW(), COLUMN(), 4, TRUE, "Export-dataset")), "" )</f>
        <v>1.2851985559566788</v>
      </c>
      <c r="AK10" s="6" cm="1">
        <f t="array" aca="1" ref="AK10" ca="1">IFERROR( INDIRECT(ADDRESS(ROW()+1, COLUMN(), 4, TRUE, "Export-dataset")) / INDIRECT(ADDRESS(ROW(), COLUMN(), 4, TRUE, "Export-dataset")), "" )</f>
        <v>1.14247311827957</v>
      </c>
      <c r="AL10" s="6" cm="1">
        <f t="array" aca="1" ref="AL10" ca="1">IFERROR( INDIRECT(ADDRESS(ROW()+1, COLUMN(), 4, TRUE, "Export-dataset")) / INDIRECT(ADDRESS(ROW(), COLUMN(), 4, TRUE, "Export-dataset")), "" )</f>
        <v>1.1440329218106995</v>
      </c>
      <c r="AM10" s="6" cm="1">
        <f t="array" aca="1" ref="AM10" ca="1">IFERROR( INDIRECT(ADDRESS(ROW()+1, COLUMN(), 4, TRUE, "Export-dataset")) / INDIRECT(ADDRESS(ROW(), COLUMN(), 4, TRUE, "Export-dataset")), "" )</f>
        <v>1.1872340425531915</v>
      </c>
      <c r="AN10" s="6" cm="1">
        <f t="array" aca="1" ref="AN10" ca="1">IFERROR( INDIRECT(ADDRESS(ROW()+1, COLUMN(), 4, TRUE, "Export-dataset")) / INDIRECT(ADDRESS(ROW(), COLUMN(), 4, TRUE, "Export-dataset")), "" )</f>
        <v>1.2608695652173914</v>
      </c>
      <c r="AO10" s="6" cm="1">
        <f t="array" aca="1" ref="AO10" ca="1">IFERROR( INDIRECT(ADDRESS(ROW()+1, COLUMN(), 4, TRUE, "Export-dataset")) / INDIRECT(ADDRESS(ROW(), COLUMN(), 4, TRUE, "Export-dataset")), "" )</f>
        <v>1.6267942583732058</v>
      </c>
      <c r="AP10" s="6" cm="1">
        <f t="array" aca="1" ref="AP10" ca="1">IFERROR( INDIRECT(ADDRESS(ROW()+1, COLUMN(), 4, TRUE, "Export-dataset")) / INDIRECT(ADDRESS(ROW(), COLUMN(), 4, TRUE, "Export-dataset")), "" )</f>
        <v>1.2926829268292683</v>
      </c>
      <c r="AQ10" s="6" cm="1">
        <f t="array" aca="1" ref="AQ10" ca="1">IFERROR( INDIRECT(ADDRESS(ROW()+1, COLUMN(), 4, TRUE, "Export-dataset")) / INDIRECT(ADDRESS(ROW(), COLUMN(), 4, TRUE, "Export-dataset")), "" )</f>
        <v>0.98067632850241548</v>
      </c>
      <c r="AR10" s="6" cm="1">
        <f t="array" aca="1" ref="AR10" ca="1">IFERROR( INDIRECT(ADDRESS(ROW()+1, COLUMN(), 4, TRUE, "Export-dataset")) / INDIRECT(ADDRESS(ROW(), COLUMN(), 4, TRUE, "Export-dataset")), "" )</f>
        <v>1.1812477374200554</v>
      </c>
      <c r="AS10" s="6" cm="1">
        <f t="array" aca="1" ref="AS10" ca="1">IFERROR( INDIRECT(ADDRESS(ROW()+1, COLUMN(), 4, TRUE, "Export-dataset")) / INDIRECT(ADDRESS(ROW(), COLUMN(), 4, TRUE, "Export-dataset")), "" )</f>
        <v>1.1830985915492958</v>
      </c>
      <c r="AT10" s="6" cm="1">
        <f t="array" aca="1" ref="AT10" ca="1">IFERROR( INDIRECT(ADDRESS(ROW()+1, COLUMN(), 4, TRUE, "Export-dataset")) / INDIRECT(ADDRESS(ROW(), COLUMN(), 4, TRUE, "Export-dataset")), "" )</f>
        <v>1.1984126984126984</v>
      </c>
      <c r="AU10" s="6" cm="1">
        <f t="array" aca="1" ref="AU10" ca="1">IFERROR( INDIRECT(ADDRESS(ROW()+1, COLUMN(), 4, TRUE, "Export-dataset")) / INDIRECT(ADDRESS(ROW(), COLUMN(), 4, TRUE, "Export-dataset")), "" )</f>
        <v>1.1573033707865168</v>
      </c>
      <c r="AV10" s="6" cm="1">
        <f t="array" aca="1" ref="AV10" ca="1">IFERROR( INDIRECT(ADDRESS(ROW()+1, COLUMN(), 4, TRUE, "Export-dataset")) / INDIRECT(ADDRESS(ROW(), COLUMN(), 4, TRUE, "Export-dataset")), "" )</f>
        <v>1.1067193675889329</v>
      </c>
      <c r="AW10" s="6" cm="1">
        <f t="array" aca="1" ref="AW10" ca="1">IFERROR( INDIRECT(ADDRESS(ROW()+1, COLUMN(), 4, TRUE, "Export-dataset")) / INDIRECT(ADDRESS(ROW(), COLUMN(), 4, TRUE, "Export-dataset")), "" )</f>
        <v>1.2422062350119905</v>
      </c>
      <c r="AX10" s="6" cm="1">
        <f t="array" aca="1" ref="AX10" ca="1">IFERROR( INDIRECT(ADDRESS(ROW()+1, COLUMN(), 4, TRUE, "Export-dataset")) / INDIRECT(ADDRESS(ROW(), COLUMN(), 4, TRUE, "Export-dataset")), "" )</f>
        <v>0.86404066073697583</v>
      </c>
      <c r="AY10" s="6" cm="1">
        <f t="array" aca="1" ref="AY10" ca="1">IFERROR( INDIRECT(ADDRESS(ROW()+1, COLUMN(), 4, TRUE, "Export-dataset")) / INDIRECT(ADDRESS(ROW(), COLUMN(), 4, TRUE, "Export-dataset")), "" )</f>
        <v>1.1740863787375415</v>
      </c>
      <c r="AZ10" s="6" cm="1">
        <f t="array" aca="1" ref="AZ10" ca="1">IFERROR( INDIRECT(ADDRESS(ROW()+1, COLUMN(), 4, TRUE, "Export-dataset")) / INDIRECT(ADDRESS(ROW(), COLUMN(), 4, TRUE, "Export-dataset")), "" )</f>
        <v>1.2754131196795193</v>
      </c>
      <c r="BA10" s="6" cm="1">
        <f t="array" aca="1" ref="BA10" ca="1">IFERROR( INDIRECT(ADDRESS(ROW()+1, COLUMN(), 4, TRUE, "Export-dataset")) / INDIRECT(ADDRESS(ROW(), COLUMN(), 4, TRUE, "Export-dataset")), "" )</f>
        <v>1.0161054172767203</v>
      </c>
      <c r="BB10" s="6" cm="1">
        <f t="array" aca="1" ref="BB10" ca="1">IFERROR( INDIRECT(ADDRESS(ROW()+1, COLUMN(), 4, TRUE, "Export-dataset")) / INDIRECT(ADDRESS(ROW(), COLUMN(), 4, TRUE, "Export-dataset")), "" )</f>
        <v>1.205340699815838</v>
      </c>
      <c r="BC10" s="6" cm="1">
        <f t="array" aca="1" ref="BC10" ca="1">IFERROR( INDIRECT(ADDRESS(ROW()+1, COLUMN(), 4, TRUE, "Export-dataset")) / INDIRECT(ADDRESS(ROW(), COLUMN(), 4, TRUE, "Export-dataset")), "" )</f>
        <v>1.3272425249169435</v>
      </c>
      <c r="BD10" s="6" cm="1">
        <f t="array" aca="1" ref="BD10" ca="1">IFERROR( INDIRECT(ADDRESS(ROW()+1, COLUMN(), 4, TRUE, "Export-dataset")) / INDIRECT(ADDRESS(ROW(), COLUMN(), 4, TRUE, "Export-dataset")), "" )</f>
        <v>1.3188585607940446</v>
      </c>
      <c r="BE10" s="6" cm="1">
        <f t="array" aca="1" ref="BE10" ca="1">IFERROR( INDIRECT(ADDRESS(ROW()+1, COLUMN(), 4, TRUE, "Export-dataset")) / INDIRECT(ADDRESS(ROW(), COLUMN(), 4, TRUE, "Export-dataset")), "" )</f>
        <v>1.1833333333333333</v>
      </c>
      <c r="BF10" s="6" cm="1">
        <f t="array" aca="1" ref="BF10" ca="1">IFERROR( INDIRECT(ADDRESS(ROW()+1, COLUMN(), 4, TRUE, "Export-dataset")) / INDIRECT(ADDRESS(ROW(), COLUMN(), 4, TRUE, "Export-dataset")), "" )</f>
        <v>1.0855614973262031</v>
      </c>
      <c r="BG10" s="6" cm="1">
        <f t="array" aca="1" ref="BG10" ca="1">IFERROR( INDIRECT(ADDRESS(ROW()+1, COLUMN(), 4, TRUE, "Export-dataset")) / INDIRECT(ADDRESS(ROW(), COLUMN(), 4, TRUE, "Export-dataset")), "" )</f>
        <v>1.1616964877402254</v>
      </c>
      <c r="BH10" s="6" cm="1">
        <f t="array" aca="1" ref="BH10" ca="1">IFERROR( INDIRECT(ADDRESS(ROW()+1, COLUMN(), 4, TRUE, "Export-dataset")) / INDIRECT(ADDRESS(ROW(), COLUMN(), 4, TRUE, "Export-dataset")), "" )</f>
        <v>1</v>
      </c>
      <c r="BI10" s="6" cm="1">
        <f t="array" aca="1" ref="BI10" ca="1">IFERROR( INDIRECT(ADDRESS(ROW()+1, COLUMN(), 4, TRUE, "Export-dataset")) / INDIRECT(ADDRESS(ROW(), COLUMN(), 4, TRUE, "Export-dataset")), "" )</f>
        <v>1.2490808823529411</v>
      </c>
      <c r="BJ10" s="6" cm="1">
        <f t="array" aca="1" ref="BJ10" ca="1">IFERROR( INDIRECT(ADDRESS(ROW()+1, COLUMN(), 4, TRUE, "Export-dataset")) / INDIRECT(ADDRESS(ROW(), COLUMN(), 4, TRUE, "Export-dataset")), "" )</f>
        <v>1.1104536489151873</v>
      </c>
      <c r="BK10" s="6" cm="1">
        <f t="array" aca="1" ref="BK10" ca="1">IFERROR( INDIRECT(ADDRESS(ROW()+1, COLUMN(), 4, TRUE, "Export-dataset")) / INDIRECT(ADDRESS(ROW(), COLUMN(), 4, TRUE, "Export-dataset")), "" )</f>
        <v>1.4448398576512456</v>
      </c>
      <c r="BL10" s="6" cm="1">
        <f t="array" aca="1" ref="BL10" ca="1">IFERROR( INDIRECT(ADDRESS(ROW()+1, COLUMN(), 4, TRUE, "Export-dataset")) / INDIRECT(ADDRESS(ROW(), COLUMN(), 4, TRUE, "Export-dataset")), "" )</f>
        <v>1.1173309449171518</v>
      </c>
      <c r="BM10" s="6" cm="1">
        <f t="array" aca="1" ref="BM10" ca="1">IFERROR( INDIRECT(ADDRESS(ROW()+1, COLUMN(), 4, TRUE, "Export-dataset")) / INDIRECT(ADDRESS(ROW(), COLUMN(), 4, TRUE, "Export-dataset")), "" )</f>
        <v>1.3541666666666667</v>
      </c>
      <c r="BN10" s="6" cm="1">
        <f t="array" aca="1" ref="BN10" ca="1">IFERROR( INDIRECT(ADDRESS(ROW()+1, COLUMN(), 4, TRUE, "Export-dataset")) / INDIRECT(ADDRESS(ROW(), COLUMN(), 4, TRUE, "Export-dataset")), "" )</f>
        <v>1.1466666666666667</v>
      </c>
      <c r="BO10" s="6" cm="1">
        <f t="array" aca="1" ref="BO10" ca="1">IFERROR( INDIRECT(ADDRESS(ROW()+1, COLUMN(), 4, TRUE, "Export-dataset")) / INDIRECT(ADDRESS(ROW(), COLUMN(), 4, TRUE, "Export-dataset")), "" )</f>
        <v>0.92307692307692313</v>
      </c>
      <c r="BP10" s="6" cm="1">
        <f t="array" aca="1" ref="BP10" ca="1">IFERROR( INDIRECT(ADDRESS(ROW()+1, COLUMN(), 4, TRUE, "Export-dataset")) / INDIRECT(ADDRESS(ROW(), COLUMN(), 4, TRUE, "Export-dataset")), "" )</f>
        <v>1.0486111111111112</v>
      </c>
      <c r="BQ10" s="6" cm="1">
        <f t="array" aca="1" ref="BQ10" ca="1">IFERROR( INDIRECT(ADDRESS(ROW()+1, COLUMN(), 4, TRUE, "Export-dataset")) / INDIRECT(ADDRESS(ROW(), COLUMN(), 4, TRUE, "Export-dataset")), "" )</f>
        <v>1.125</v>
      </c>
      <c r="BR10" s="6" cm="1">
        <f t="array" aca="1" ref="BR10" ca="1">IFERROR( INDIRECT(ADDRESS(ROW()+1, COLUMN(), 4, TRUE, "Export-dataset")) / INDIRECT(ADDRESS(ROW(), COLUMN(), 4, TRUE, "Export-dataset")), "" )</f>
        <v>1.0563063063063063</v>
      </c>
      <c r="BS10" s="6" cm="1">
        <f t="array" aca="1" ref="BS10" ca="1">IFERROR( INDIRECT(ADDRESS(ROW()+1, COLUMN(), 4, TRUE, "Export-dataset")) / INDIRECT(ADDRESS(ROW(), COLUMN(), 4, TRUE, "Export-dataset")), "" )</f>
        <v>1.0973084886128364</v>
      </c>
      <c r="BT10" s="6" cm="1">
        <f t="array" aca="1" ref="BT10" ca="1">IFERROR( INDIRECT(ADDRESS(ROW()+1, COLUMN(), 4, TRUE, "Export-dataset")) / INDIRECT(ADDRESS(ROW(), COLUMN(), 4, TRUE, "Export-dataset")), "" )</f>
        <v>1.1702898550724639</v>
      </c>
      <c r="BU10" s="6" cm="1">
        <f t="array" aca="1" ref="BU10" ca="1">IFERROR( INDIRECT(ADDRESS(ROW()+1, COLUMN(), 4, TRUE, "Export-dataset")) / INDIRECT(ADDRESS(ROW(), COLUMN(), 4, TRUE, "Export-dataset")), "" )</f>
        <v>1.0792110704628599</v>
      </c>
      <c r="BV10" s="6" cm="1">
        <f t="array" aca="1" ref="BV10" ca="1">IFERROR( INDIRECT(ADDRESS(ROW()+1, COLUMN(), 4, TRUE, "Export-dataset")) / INDIRECT(ADDRESS(ROW(), COLUMN(), 4, TRUE, "Export-dataset")), "" )</f>
        <v>1.1128608923884515</v>
      </c>
      <c r="BW10" s="6" cm="1">
        <f t="array" aca="1" ref="BW10" ca="1">IFERROR( INDIRECT(ADDRESS(ROW()+1, COLUMN(), 4, TRUE, "Export-dataset")) / INDIRECT(ADDRESS(ROW(), COLUMN(), 4, TRUE, "Export-dataset")), "" )</f>
        <v>0.66260162601626016</v>
      </c>
      <c r="BX10" s="6" t="str" cm="1">
        <f t="array" aca="1" ref="BX10" ca="1">IFERROR( INDIRECT(ADDRESS(ROW()+1, COLUMN(), 4, TRUE, "Export-dataset")) / INDIRECT(ADDRESS(ROW(), COLUMN(), 4, TRUE, "Export-dataset")), "" )</f>
        <v/>
      </c>
      <c r="BY10" s="6" cm="1">
        <f t="array" aca="1" ref="BY10" ca="1">IFERROR( INDIRECT(ADDRESS(ROW()+1, COLUMN(), 4, TRUE, "Export-dataset")) / INDIRECT(ADDRESS(ROW(), COLUMN(), 4, TRUE, "Export-dataset")), "" )</f>
        <v>1.126739456219225</v>
      </c>
      <c r="BZ10" s="6" cm="1">
        <f t="array" aca="1" ref="BZ10" ca="1">IFERROR( INDIRECT(ADDRESS(ROW()+1, COLUMN(), 4, TRUE, "Export-dataset")) / INDIRECT(ADDRESS(ROW(), COLUMN(), 4, TRUE, "Export-dataset")), "" )</f>
        <v>0.95116988809766023</v>
      </c>
      <c r="CA10" s="6" cm="1">
        <f t="array" aca="1" ref="CA10" ca="1">IFERROR( INDIRECT(ADDRESS(ROW()+1, COLUMN(), 4, TRUE, "Export-dataset")) / INDIRECT(ADDRESS(ROW(), COLUMN(), 4, TRUE, "Export-dataset")), "" )</f>
        <v>1.1064453878811269</v>
      </c>
    </row>
    <row r="11" spans="1:79">
      <c r="A11" s="6" t="s">
        <v>168</v>
      </c>
      <c r="B11" s="6" cm="1">
        <f t="array" aca="1" ref="B11" ca="1">IFERROR( INDIRECT(ADDRESS(ROW()+1, COLUMN(), 4, TRUE, "Export-dataset")) / INDIRECT(ADDRESS(ROW(), COLUMN(), 4, TRUE, "Export-dataset")), "" )</f>
        <v>1.2089803411611719</v>
      </c>
      <c r="C11" s="6" cm="1">
        <f t="array" aca="1" ref="C11" ca="1">IFERROR( INDIRECT(ADDRESS(ROW()+1, COLUMN(), 4, TRUE, "Export-dataset")) / INDIRECT(ADDRESS(ROW(), COLUMN(), 4, TRUE, "Export-dataset")), "" )</f>
        <v>1.1440972222222223</v>
      </c>
      <c r="D11" s="6" cm="1">
        <f t="array" aca="1" ref="D11" ca="1">IFERROR( INDIRECT(ADDRESS(ROW()+1, COLUMN(), 4, TRUE, "Export-dataset")) / INDIRECT(ADDRESS(ROW(), COLUMN(), 4, TRUE, "Export-dataset")), "" )</f>
        <v>0.81717999434868605</v>
      </c>
      <c r="E11" s="6" cm="1">
        <f t="array" aca="1" ref="E11" ca="1">IFERROR( INDIRECT(ADDRESS(ROW()+1, COLUMN(), 4, TRUE, "Export-dataset")) / INDIRECT(ADDRESS(ROW(), COLUMN(), 4, TRUE, "Export-dataset")), "" )</f>
        <v>1.1772575250836121</v>
      </c>
      <c r="F11" s="6" cm="1">
        <f t="array" aca="1" ref="F11" ca="1">IFERROR( INDIRECT(ADDRESS(ROW()+1, COLUMN(), 4, TRUE, "Export-dataset")) / INDIRECT(ADDRESS(ROW(), COLUMN(), 4, TRUE, "Export-dataset")), "" )</f>
        <v>0.90517241379310343</v>
      </c>
      <c r="G11" s="6" cm="1">
        <f t="array" aca="1" ref="G11" ca="1">IFERROR( INDIRECT(ADDRESS(ROW()+1, COLUMN(), 4, TRUE, "Export-dataset")) / INDIRECT(ADDRESS(ROW(), COLUMN(), 4, TRUE, "Export-dataset")), "" )</f>
        <v>2.1424321309036816</v>
      </c>
      <c r="H11" s="6" cm="1">
        <f t="array" aca="1" ref="H11" ca="1">IFERROR( INDIRECT(ADDRESS(ROW()+1, COLUMN(), 4, TRUE, "Export-dataset")) / INDIRECT(ADDRESS(ROW(), COLUMN(), 4, TRUE, "Export-dataset")), "" )</f>
        <v>1.1769815418023888</v>
      </c>
      <c r="I11" s="6" cm="1">
        <f t="array" aca="1" ref="I11" ca="1">IFERROR( INDIRECT(ADDRESS(ROW()+1, COLUMN(), 4, TRUE, "Export-dataset")) / INDIRECT(ADDRESS(ROW(), COLUMN(), 4, TRUE, "Export-dataset")), "" )</f>
        <v>0.87852956846030905</v>
      </c>
      <c r="J11" s="6" cm="1">
        <f t="array" aca="1" ref="J11" ca="1">IFERROR( INDIRECT(ADDRESS(ROW()+1, COLUMN(), 4, TRUE, "Export-dataset")) / INDIRECT(ADDRESS(ROW(), COLUMN(), 4, TRUE, "Export-dataset")), "" )</f>
        <v>1.0828729281767955</v>
      </c>
      <c r="K11" s="6" cm="1">
        <f t="array" aca="1" ref="K11" ca="1">IFERROR( INDIRECT(ADDRESS(ROW()+1, COLUMN(), 4, TRUE, "Export-dataset")) / INDIRECT(ADDRESS(ROW(), COLUMN(), 4, TRUE, "Export-dataset")), "" )</f>
        <v>1.2135922330097086</v>
      </c>
      <c r="L11" s="6" cm="1">
        <f t="array" aca="1" ref="L11" ca="1">IFERROR( INDIRECT(ADDRESS(ROW()+1, COLUMN(), 4, TRUE, "Export-dataset")) / INDIRECT(ADDRESS(ROW(), COLUMN(), 4, TRUE, "Export-dataset")), "" )</f>
        <v>1.1345291479820627</v>
      </c>
      <c r="M11" s="6" cm="1">
        <f t="array" aca="1" ref="M11" ca="1">IFERROR( INDIRECT(ADDRESS(ROW()+1, COLUMN(), 4, TRUE, "Export-dataset")) / INDIRECT(ADDRESS(ROW(), COLUMN(), 4, TRUE, "Export-dataset")), "" )</f>
        <v>1.270223752151463</v>
      </c>
      <c r="N11" s="6" cm="1">
        <f t="array" aca="1" ref="N11" ca="1">IFERROR( INDIRECT(ADDRESS(ROW()+1, COLUMN(), 4, TRUE, "Export-dataset")) / INDIRECT(ADDRESS(ROW(), COLUMN(), 4, TRUE, "Export-dataset")), "" )</f>
        <v>1.2490774907749078</v>
      </c>
      <c r="O11" s="6" cm="1">
        <f t="array" aca="1" ref="O11" ca="1">IFERROR( INDIRECT(ADDRESS(ROW()+1, COLUMN(), 4, TRUE, "Export-dataset")) / INDIRECT(ADDRESS(ROW(), COLUMN(), 4, TRUE, "Export-dataset")), "" )</f>
        <v>1.4651162790697674</v>
      </c>
      <c r="P11" s="6" cm="1">
        <f t="array" aca="1" ref="P11" ca="1">IFERROR( INDIRECT(ADDRESS(ROW()+1, COLUMN(), 4, TRUE, "Export-dataset")) / INDIRECT(ADDRESS(ROW(), COLUMN(), 4, TRUE, "Export-dataset")), "" )</f>
        <v>1.0258143822987094</v>
      </c>
      <c r="Q11" s="6" cm="1">
        <f t="array" aca="1" ref="Q11" ca="1">IFERROR( INDIRECT(ADDRESS(ROW()+1, COLUMN(), 4, TRUE, "Export-dataset")) / INDIRECT(ADDRESS(ROW(), COLUMN(), 4, TRUE, "Export-dataset")), "" )</f>
        <v>1.0081300813008129</v>
      </c>
      <c r="R11" s="6" cm="1">
        <f t="array" aca="1" ref="R11" ca="1">IFERROR( INDIRECT(ADDRESS(ROW()+1, COLUMN(), 4, TRUE, "Export-dataset")) / INDIRECT(ADDRESS(ROW(), COLUMN(), 4, TRUE, "Export-dataset")), "" )</f>
        <v>1.7868852459016393</v>
      </c>
      <c r="S11" s="6" cm="1">
        <f t="array" aca="1" ref="S11" ca="1">IFERROR( INDIRECT(ADDRESS(ROW()+1, COLUMN(), 4, TRUE, "Export-dataset")) / INDIRECT(ADDRESS(ROW(), COLUMN(), 4, TRUE, "Export-dataset")), "" )</f>
        <v>0.92307692307692313</v>
      </c>
      <c r="T11" s="6" cm="1">
        <f t="array" aca="1" ref="T11" ca="1">IFERROR( INDIRECT(ADDRESS(ROW()+1, COLUMN(), 4, TRUE, "Export-dataset")) / INDIRECT(ADDRESS(ROW(), COLUMN(), 4, TRUE, "Export-dataset")), "" )</f>
        <v>0.95981452859350846</v>
      </c>
      <c r="U11" s="6" cm="1">
        <f t="array" aca="1" ref="U11" ca="1">IFERROR( INDIRECT(ADDRESS(ROW()+1, COLUMN(), 4, TRUE, "Export-dataset")) / INDIRECT(ADDRESS(ROW(), COLUMN(), 4, TRUE, "Export-dataset")), "" )</f>
        <v>0.2978723404255319</v>
      </c>
      <c r="V11" s="6" cm="1">
        <f t="array" aca="1" ref="V11" ca="1">IFERROR( INDIRECT(ADDRESS(ROW()+1, COLUMN(), 4, TRUE, "Export-dataset")) / INDIRECT(ADDRESS(ROW(), COLUMN(), 4, TRUE, "Export-dataset")), "" )</f>
        <v>0.97297910990009084</v>
      </c>
      <c r="W11" s="6" cm="1">
        <f t="array" aca="1" ref="W11" ca="1">IFERROR( INDIRECT(ADDRESS(ROW()+1, COLUMN(), 4, TRUE, "Export-dataset")) / INDIRECT(ADDRESS(ROW(), COLUMN(), 4, TRUE, "Export-dataset")), "" )</f>
        <v>0.89929742388758782</v>
      </c>
      <c r="X11" s="6" cm="1">
        <f t="array" aca="1" ref="X11" ca="1">IFERROR( INDIRECT(ADDRESS(ROW()+1, COLUMN(), 4, TRUE, "Export-dataset")) / INDIRECT(ADDRESS(ROW(), COLUMN(), 4, TRUE, "Export-dataset")), "" )</f>
        <v>1.0605804111245465</v>
      </c>
      <c r="Y11" s="6" cm="1">
        <f t="array" aca="1" ref="Y11" ca="1">IFERROR( INDIRECT(ADDRESS(ROW()+1, COLUMN(), 4, TRUE, "Export-dataset")) / INDIRECT(ADDRESS(ROW(), COLUMN(), 4, TRUE, "Export-dataset")), "" )</f>
        <v>0.98666666666666669</v>
      </c>
      <c r="Z11" s="6" cm="1">
        <f t="array" aca="1" ref="Z11" ca="1">IFERROR( INDIRECT(ADDRESS(ROW()+1, COLUMN(), 4, TRUE, "Export-dataset")) / INDIRECT(ADDRESS(ROW(), COLUMN(), 4, TRUE, "Export-dataset")), "" )</f>
        <v>1.0856713426853708</v>
      </c>
      <c r="AA11" s="6" cm="1">
        <f t="array" aca="1" ref="AA11" ca="1">IFERROR( INDIRECT(ADDRESS(ROW()+1, COLUMN(), 4, TRUE, "Export-dataset")) / INDIRECT(ADDRESS(ROW(), COLUMN(), 4, TRUE, "Export-dataset")), "" )</f>
        <v>1.05179604466568</v>
      </c>
      <c r="AB11" s="6" cm="1">
        <f t="array" aca="1" ref="AB11" ca="1">IFERROR( INDIRECT(ADDRESS(ROW()+1, COLUMN(), 4, TRUE, "Export-dataset")) / INDIRECT(ADDRESS(ROW(), COLUMN(), 4, TRUE, "Export-dataset")), "" )</f>
        <v>1.1581379993397161</v>
      </c>
      <c r="AC11" s="6" cm="1">
        <f t="array" aca="1" ref="AC11" ca="1">IFERROR( INDIRECT(ADDRESS(ROW()+1, COLUMN(), 4, TRUE, "Export-dataset")) / INDIRECT(ADDRESS(ROW(), COLUMN(), 4, TRUE, "Export-dataset")), "" )</f>
        <v>1.1040843214756257</v>
      </c>
      <c r="AD11" s="6" cm="1">
        <f t="array" aca="1" ref="AD11" ca="1">IFERROR( INDIRECT(ADDRESS(ROW()+1, COLUMN(), 4, TRUE, "Export-dataset")) / INDIRECT(ADDRESS(ROW(), COLUMN(), 4, TRUE, "Export-dataset")), "" )</f>
        <v>0.921875</v>
      </c>
      <c r="AE11" s="6" cm="1">
        <f t="array" aca="1" ref="AE11" ca="1">IFERROR( INDIRECT(ADDRESS(ROW()+1, COLUMN(), 4, TRUE, "Export-dataset")) / INDIRECT(ADDRESS(ROW(), COLUMN(), 4, TRUE, "Export-dataset")), "" )</f>
        <v>0.89814814814814814</v>
      </c>
      <c r="AF11" s="6" cm="1">
        <f t="array" aca="1" ref="AF11" ca="1">IFERROR( INDIRECT(ADDRESS(ROW()+1, COLUMN(), 4, TRUE, "Export-dataset")) / INDIRECT(ADDRESS(ROW(), COLUMN(), 4, TRUE, "Export-dataset")), "" )</f>
        <v>5</v>
      </c>
      <c r="AG11" s="6" cm="1">
        <f t="array" aca="1" ref="AG11" ca="1">IFERROR( INDIRECT(ADDRESS(ROW()+1, COLUMN(), 4, TRUE, "Export-dataset")) / INDIRECT(ADDRESS(ROW(), COLUMN(), 4, TRUE, "Export-dataset")), "" )</f>
        <v>0.86842105263157898</v>
      </c>
      <c r="AH11" s="6" cm="1">
        <f t="array" aca="1" ref="AH11" ca="1">IFERROR( INDIRECT(ADDRESS(ROW()+1, COLUMN(), 4, TRUE, "Export-dataset")) / INDIRECT(ADDRESS(ROW(), COLUMN(), 4, TRUE, "Export-dataset")), "" )</f>
        <v>1.0312822275696116</v>
      </c>
      <c r="AI11" s="6" cm="1">
        <f t="array" aca="1" ref="AI11" ca="1">IFERROR( INDIRECT(ADDRESS(ROW()+1, COLUMN(), 4, TRUE, "Export-dataset")) / INDIRECT(ADDRESS(ROW(), COLUMN(), 4, TRUE, "Export-dataset")), "" )</f>
        <v>1.1375</v>
      </c>
      <c r="AJ11" s="6" cm="1">
        <f t="array" aca="1" ref="AJ11" ca="1">IFERROR( INDIRECT(ADDRESS(ROW()+1, COLUMN(), 4, TRUE, "Export-dataset")) / INDIRECT(ADDRESS(ROW(), COLUMN(), 4, TRUE, "Export-dataset")), "" )</f>
        <v>0.9353932584269663</v>
      </c>
      <c r="AK11" s="6" cm="1">
        <f t="array" aca="1" ref="AK11" ca="1">IFERROR( INDIRECT(ADDRESS(ROW()+1, COLUMN(), 4, TRUE, "Export-dataset")) / INDIRECT(ADDRESS(ROW(), COLUMN(), 4, TRUE, "Export-dataset")), "" )</f>
        <v>0.9882352941176471</v>
      </c>
      <c r="AL11" s="6" cm="1">
        <f t="array" aca="1" ref="AL11" ca="1">IFERROR( INDIRECT(ADDRESS(ROW()+1, COLUMN(), 4, TRUE, "Export-dataset")) / INDIRECT(ADDRESS(ROW(), COLUMN(), 4, TRUE, "Export-dataset")), "" )</f>
        <v>1.1294964028776979</v>
      </c>
      <c r="AM11" s="6" cm="1">
        <f t="array" aca="1" ref="AM11" ca="1">IFERROR( INDIRECT(ADDRESS(ROW()+1, COLUMN(), 4, TRUE, "Export-dataset")) / INDIRECT(ADDRESS(ROW(), COLUMN(), 4, TRUE, "Export-dataset")), "" )</f>
        <v>1.075268817204301</v>
      </c>
      <c r="AN11" s="6" cm="1">
        <f t="array" aca="1" ref="AN11" ca="1">IFERROR( INDIRECT(ADDRESS(ROW()+1, COLUMN(), 4, TRUE, "Export-dataset")) / INDIRECT(ADDRESS(ROW(), COLUMN(), 4, TRUE, "Export-dataset")), "" )</f>
        <v>0.7931034482758621</v>
      </c>
      <c r="AO11" s="6" cm="1">
        <f t="array" aca="1" ref="AO11" ca="1">IFERROR( INDIRECT(ADDRESS(ROW()+1, COLUMN(), 4, TRUE, "Export-dataset")) / INDIRECT(ADDRESS(ROW(), COLUMN(), 4, TRUE, "Export-dataset")), "" )</f>
        <v>0.87941176470588234</v>
      </c>
      <c r="AP11" s="6" cm="1">
        <f t="array" aca="1" ref="AP11" ca="1">IFERROR( INDIRECT(ADDRESS(ROW()+1, COLUMN(), 4, TRUE, "Export-dataset")) / INDIRECT(ADDRESS(ROW(), COLUMN(), 4, TRUE, "Export-dataset")), "" )</f>
        <v>0.96226415094339623</v>
      </c>
      <c r="AQ11" s="6" cm="1">
        <f t="array" aca="1" ref="AQ11" ca="1">IFERROR( INDIRECT(ADDRESS(ROW()+1, COLUMN(), 4, TRUE, "Export-dataset")) / INDIRECT(ADDRESS(ROW(), COLUMN(), 4, TRUE, "Export-dataset")), "" )</f>
        <v>1.083743842364532</v>
      </c>
      <c r="AR11" s="6" cm="1">
        <f t="array" aca="1" ref="AR11" ca="1">IFERROR( INDIRECT(ADDRESS(ROW()+1, COLUMN(), 4, TRUE, "Export-dataset")) / INDIRECT(ADDRESS(ROW(), COLUMN(), 4, TRUE, "Export-dataset")), "" )</f>
        <v>0.9629175605271223</v>
      </c>
      <c r="AS11" s="6" cm="1">
        <f t="array" aca="1" ref="AS11" ca="1">IFERROR( INDIRECT(ADDRESS(ROW()+1, COLUMN(), 4, TRUE, "Export-dataset")) / INDIRECT(ADDRESS(ROW(), COLUMN(), 4, TRUE, "Export-dataset")), "" )</f>
        <v>0.93452380952380953</v>
      </c>
      <c r="AT11" s="6" cm="1">
        <f t="array" aca="1" ref="AT11" ca="1">IFERROR( INDIRECT(ADDRESS(ROW()+1, COLUMN(), 4, TRUE, "Export-dataset")) / INDIRECT(ADDRESS(ROW(), COLUMN(), 4, TRUE, "Export-dataset")), "" )</f>
        <v>1.0529801324503312</v>
      </c>
      <c r="AU11" s="6" cm="1">
        <f t="array" aca="1" ref="AU11" ca="1">IFERROR( INDIRECT(ADDRESS(ROW()+1, COLUMN(), 4, TRUE, "Export-dataset")) / INDIRECT(ADDRESS(ROW(), COLUMN(), 4, TRUE, "Export-dataset")), "" )</f>
        <v>1.058252427184466</v>
      </c>
      <c r="AV11" s="6" cm="1">
        <f t="array" aca="1" ref="AV11" ca="1">IFERROR( INDIRECT(ADDRESS(ROW()+1, COLUMN(), 4, TRUE, "Export-dataset")) / INDIRECT(ADDRESS(ROW(), COLUMN(), 4, TRUE, "Export-dataset")), "" )</f>
        <v>1.2250000000000001</v>
      </c>
      <c r="AW11" s="6" cm="1">
        <f t="array" aca="1" ref="AW11" ca="1">IFERROR( INDIRECT(ADDRESS(ROW()+1, COLUMN(), 4, TRUE, "Export-dataset")) / INDIRECT(ADDRESS(ROW(), COLUMN(), 4, TRUE, "Export-dataset")), "" )</f>
        <v>1.0926640926640927</v>
      </c>
      <c r="AX11" s="6" cm="1">
        <f t="array" aca="1" ref="AX11" ca="1">IFERROR( INDIRECT(ADDRESS(ROW()+1, COLUMN(), 4, TRUE, "Export-dataset")) / INDIRECT(ADDRESS(ROW(), COLUMN(), 4, TRUE, "Export-dataset")), "" )</f>
        <v>1.1323529411764706</v>
      </c>
      <c r="AY11" s="6" cm="1">
        <f t="array" aca="1" ref="AY11" ca="1">IFERROR( INDIRECT(ADDRESS(ROW()+1, COLUMN(), 4, TRUE, "Export-dataset")) / INDIRECT(ADDRESS(ROW(), COLUMN(), 4, TRUE, "Export-dataset")), "" )</f>
        <v>0.91850594227504245</v>
      </c>
      <c r="AZ11" s="6" cm="1">
        <f t="array" aca="1" ref="AZ11" ca="1">IFERROR( INDIRECT(ADDRESS(ROW()+1, COLUMN(), 4, TRUE, "Export-dataset")) / INDIRECT(ADDRESS(ROW(), COLUMN(), 4, TRUE, "Export-dataset")), "" )</f>
        <v>0.90675304279544566</v>
      </c>
      <c r="BA11" s="6" cm="1">
        <f t="array" aca="1" ref="BA11" ca="1">IFERROR( INDIRECT(ADDRESS(ROW()+1, COLUMN(), 4, TRUE, "Export-dataset")) / INDIRECT(ADDRESS(ROW(), COLUMN(), 4, TRUE, "Export-dataset")), "" )</f>
        <v>1.1080691642651297</v>
      </c>
      <c r="BB11" s="6" cm="1">
        <f t="array" aca="1" ref="BB11" ca="1">IFERROR( INDIRECT(ADDRESS(ROW()+1, COLUMN(), 4, TRUE, "Export-dataset")) / INDIRECT(ADDRESS(ROW(), COLUMN(), 4, TRUE, "Export-dataset")), "" )</f>
        <v>1.086871112081196</v>
      </c>
      <c r="BC11" s="6" cm="1">
        <f t="array" aca="1" ref="BC11" ca="1">IFERROR( INDIRECT(ADDRESS(ROW()+1, COLUMN(), 4, TRUE, "Export-dataset")) / INDIRECT(ADDRESS(ROW(), COLUMN(), 4, TRUE, "Export-dataset")), "" )</f>
        <v>1.0988735919899875</v>
      </c>
      <c r="BD11" s="6" cm="1">
        <f t="array" aca="1" ref="BD11" ca="1">IFERROR( INDIRECT(ADDRESS(ROW()+1, COLUMN(), 4, TRUE, "Export-dataset")) / INDIRECT(ADDRESS(ROW(), COLUMN(), 4, TRUE, "Export-dataset")), "" )</f>
        <v>1.0244590780809031</v>
      </c>
      <c r="BE11" s="6" cm="1">
        <f t="array" aca="1" ref="BE11" ca="1">IFERROR( INDIRECT(ADDRESS(ROW()+1, COLUMN(), 4, TRUE, "Export-dataset")) / INDIRECT(ADDRESS(ROW(), COLUMN(), 4, TRUE, "Export-dataset")), "" )</f>
        <v>1.408450704225352</v>
      </c>
      <c r="BF11" s="6" cm="1">
        <f t="array" aca="1" ref="BF11" ca="1">IFERROR( INDIRECT(ADDRESS(ROW()+1, COLUMN(), 4, TRUE, "Export-dataset")) / INDIRECT(ADDRESS(ROW(), COLUMN(), 4, TRUE, "Export-dataset")), "" )</f>
        <v>1.2009852216748769</v>
      </c>
      <c r="BG11" s="6" cm="1">
        <f t="array" aca="1" ref="BG11" ca="1">IFERROR( INDIRECT(ADDRESS(ROW()+1, COLUMN(), 4, TRUE, "Export-dataset")) / INDIRECT(ADDRESS(ROW(), COLUMN(), 4, TRUE, "Export-dataset")), "" )</f>
        <v>1.0159726183685112</v>
      </c>
      <c r="BH11" s="6" cm="1">
        <f t="array" aca="1" ref="BH11" ca="1">IFERROR( INDIRECT(ADDRESS(ROW()+1, COLUMN(), 4, TRUE, "Export-dataset")) / INDIRECT(ADDRESS(ROW(), COLUMN(), 4, TRUE, "Export-dataset")), "" )</f>
        <v>0.95065312046444117</v>
      </c>
      <c r="BI11" s="6" cm="1">
        <f t="array" aca="1" ref="BI11" ca="1">IFERROR( INDIRECT(ADDRESS(ROW()+1, COLUMN(), 4, TRUE, "Export-dataset")) / INDIRECT(ADDRESS(ROW(), COLUMN(), 4, TRUE, "Export-dataset")), "" )</f>
        <v>0.99116997792494477</v>
      </c>
      <c r="BJ11" s="6" cm="1">
        <f t="array" aca="1" ref="BJ11" ca="1">IFERROR( INDIRECT(ADDRESS(ROW()+1, COLUMN(), 4, TRUE, "Export-dataset")) / INDIRECT(ADDRESS(ROW(), COLUMN(), 4, TRUE, "Export-dataset")), "" )</f>
        <v>1.3658969804618117</v>
      </c>
      <c r="BK11" s="6" cm="1">
        <f t="array" aca="1" ref="BK11" ca="1">IFERROR( INDIRECT(ADDRESS(ROW()+1, COLUMN(), 4, TRUE, "Export-dataset")) / INDIRECT(ADDRESS(ROW(), COLUMN(), 4, TRUE, "Export-dataset")), "" )</f>
        <v>1.0246305418719213</v>
      </c>
      <c r="BL11" s="6" cm="1">
        <f t="array" aca="1" ref="BL11" ca="1">IFERROR( INDIRECT(ADDRESS(ROW()+1, COLUMN(), 4, TRUE, "Export-dataset")) / INDIRECT(ADDRESS(ROW(), COLUMN(), 4, TRUE, "Export-dataset")), "" )</f>
        <v>1.1270541082164329</v>
      </c>
      <c r="BM11" s="6" cm="1">
        <f t="array" aca="1" ref="BM11" ca="1">IFERROR( INDIRECT(ADDRESS(ROW()+1, COLUMN(), 4, TRUE, "Export-dataset")) / INDIRECT(ADDRESS(ROW(), COLUMN(), 4, TRUE, "Export-dataset")), "" )</f>
        <v>1.3076923076923077</v>
      </c>
      <c r="BN11" s="6" cm="1">
        <f t="array" aca="1" ref="BN11" ca="1">IFERROR( INDIRECT(ADDRESS(ROW()+1, COLUMN(), 4, TRUE, "Export-dataset")) / INDIRECT(ADDRESS(ROW(), COLUMN(), 4, TRUE, "Export-dataset")), "" )</f>
        <v>1.1511627906976745</v>
      </c>
      <c r="BO11" s="6" cm="1">
        <f t="array" aca="1" ref="BO11" ca="1">IFERROR( INDIRECT(ADDRESS(ROW()+1, COLUMN(), 4, TRUE, "Export-dataset")) / INDIRECT(ADDRESS(ROW(), COLUMN(), 4, TRUE, "Export-dataset")), "" )</f>
        <v>1.1666666666666667</v>
      </c>
      <c r="BP11" s="6" cm="1">
        <f t="array" aca="1" ref="BP11" ca="1">IFERROR( INDIRECT(ADDRESS(ROW()+1, COLUMN(), 4, TRUE, "Export-dataset")) / INDIRECT(ADDRESS(ROW(), COLUMN(), 4, TRUE, "Export-dataset")), "" )</f>
        <v>1.1225165562913908</v>
      </c>
      <c r="BQ11" s="6" cm="1">
        <f t="array" aca="1" ref="BQ11" ca="1">IFERROR( INDIRECT(ADDRESS(ROW()+1, COLUMN(), 4, TRUE, "Export-dataset")) / INDIRECT(ADDRESS(ROW(), COLUMN(), 4, TRUE, "Export-dataset")), "" )</f>
        <v>1.0158730158730158</v>
      </c>
      <c r="BR11" s="6" cm="1">
        <f t="array" aca="1" ref="BR11" ca="1">IFERROR( INDIRECT(ADDRESS(ROW()+1, COLUMN(), 4, TRUE, "Export-dataset")) / INDIRECT(ADDRESS(ROW(), COLUMN(), 4, TRUE, "Export-dataset")), "" )</f>
        <v>1.2707889125799574</v>
      </c>
      <c r="BS11" s="6" cm="1">
        <f t="array" aca="1" ref="BS11" ca="1">IFERROR( INDIRECT(ADDRESS(ROW()+1, COLUMN(), 4, TRUE, "Export-dataset")) / INDIRECT(ADDRESS(ROW(), COLUMN(), 4, TRUE, "Export-dataset")), "" )</f>
        <v>1.090566037735849</v>
      </c>
      <c r="BT11" s="6" cm="1">
        <f t="array" aca="1" ref="BT11" ca="1">IFERROR( INDIRECT(ADDRESS(ROW()+1, COLUMN(), 4, TRUE, "Export-dataset")) / INDIRECT(ADDRESS(ROW(), COLUMN(), 4, TRUE, "Export-dataset")), "" )</f>
        <v>1.0712074303405572</v>
      </c>
      <c r="BU11" s="6" cm="1">
        <f t="array" aca="1" ref="BU11" ca="1">IFERROR( INDIRECT(ADDRESS(ROW()+1, COLUMN(), 4, TRUE, "Export-dataset")) / INDIRECT(ADDRESS(ROW(), COLUMN(), 4, TRUE, "Export-dataset")), "" )</f>
        <v>1.0299189388356669</v>
      </c>
      <c r="BV11" s="6" cm="1">
        <f t="array" aca="1" ref="BV11" ca="1">IFERROR( INDIRECT(ADDRESS(ROW()+1, COLUMN(), 4, TRUE, "Export-dataset")) / INDIRECT(ADDRESS(ROW(), COLUMN(), 4, TRUE, "Export-dataset")), "" )</f>
        <v>1.1981132075471699</v>
      </c>
      <c r="BW11" s="6" cm="1">
        <f t="array" aca="1" ref="BW11" ca="1">IFERROR( INDIRECT(ADDRESS(ROW()+1, COLUMN(), 4, TRUE, "Export-dataset")) / INDIRECT(ADDRESS(ROW(), COLUMN(), 4, TRUE, "Export-dataset")), "" )</f>
        <v>0.77300613496932513</v>
      </c>
      <c r="BX11" s="6" t="str" cm="1">
        <f t="array" aca="1" ref="BX11" ca="1">IFERROR( INDIRECT(ADDRESS(ROW()+1, COLUMN(), 4, TRUE, "Export-dataset")) / INDIRECT(ADDRESS(ROW(), COLUMN(), 4, TRUE, "Export-dataset")), "" )</f>
        <v/>
      </c>
      <c r="BY11" s="6" cm="1">
        <f t="array" aca="1" ref="BY11" ca="1">IFERROR( INDIRECT(ADDRESS(ROW()+1, COLUMN(), 4, TRUE, "Export-dataset")) / INDIRECT(ADDRESS(ROW(), COLUMN(), 4, TRUE, "Export-dataset")), "" )</f>
        <v>0.99486984609538287</v>
      </c>
      <c r="BZ11" s="6" cm="1">
        <f t="array" aca="1" ref="BZ11" ca="1">IFERROR( INDIRECT(ADDRESS(ROW()+1, COLUMN(), 4, TRUE, "Export-dataset")) / INDIRECT(ADDRESS(ROW(), COLUMN(), 4, TRUE, "Export-dataset")), "" )</f>
        <v>1.1946524064171122</v>
      </c>
      <c r="CA11" s="6" cm="1">
        <f t="array" aca="1" ref="CA11" ca="1">IFERROR( INDIRECT(ADDRESS(ROW()+1, COLUMN(), 4, TRUE, "Export-dataset")) / INDIRECT(ADDRESS(ROW(), COLUMN(), 4, TRUE, "Export-dataset")), "" )</f>
        <v>1.0741174829077718</v>
      </c>
    </row>
    <row r="12" spans="1:79">
      <c r="A12" s="6" t="s">
        <v>169</v>
      </c>
      <c r="B12" s="6" cm="1">
        <f t="array" aca="1" ref="B12" ca="1">IFERROR( INDIRECT(ADDRESS(ROW()+1, COLUMN(), 4, TRUE, "Export-dataset")) / INDIRECT(ADDRESS(ROW(), COLUMN(), 4, TRUE, "Export-dataset")), "" )</f>
        <v>1.0883264789623537</v>
      </c>
      <c r="C12" s="6" cm="1">
        <f t="array" aca="1" ref="C12" ca="1">IFERROR( INDIRECT(ADDRESS(ROW()+1, COLUMN(), 4, TRUE, "Export-dataset")) / INDIRECT(ADDRESS(ROW(), COLUMN(), 4, TRUE, "Export-dataset")), "" )</f>
        <v>1.1274658573596359</v>
      </c>
      <c r="D12" s="6" cm="1">
        <f t="array" aca="1" ref="D12" ca="1">IFERROR( INDIRECT(ADDRESS(ROW()+1, COLUMN(), 4, TRUE, "Export-dataset")) / INDIRECT(ADDRESS(ROW(), COLUMN(), 4, TRUE, "Export-dataset")), "" )</f>
        <v>1.190179806362379</v>
      </c>
      <c r="E12" s="6" cm="1">
        <f t="array" aca="1" ref="E12" ca="1">IFERROR( INDIRECT(ADDRESS(ROW()+1, COLUMN(), 4, TRUE, "Export-dataset")) / INDIRECT(ADDRESS(ROW(), COLUMN(), 4, TRUE, "Export-dataset")), "" )</f>
        <v>1.0420454545454545</v>
      </c>
      <c r="F12" s="6" cm="1">
        <f t="array" aca="1" ref="F12" ca="1">IFERROR( INDIRECT(ADDRESS(ROW()+1, COLUMN(), 4, TRUE, "Export-dataset")) / INDIRECT(ADDRESS(ROW(), COLUMN(), 4, TRUE, "Export-dataset")), "" )</f>
        <v>1.1457142857142857</v>
      </c>
      <c r="G12" s="6" cm="1">
        <f t="array" aca="1" ref="G12" ca="1">IFERROR( INDIRECT(ADDRESS(ROW()+1, COLUMN(), 4, TRUE, "Export-dataset")) / INDIRECT(ADDRESS(ROW(), COLUMN(), 4, TRUE, "Export-dataset")), "" )</f>
        <v>1.0487762541225483</v>
      </c>
      <c r="H12" s="6" cm="1">
        <f t="array" aca="1" ref="H12" ca="1">IFERROR( INDIRECT(ADDRESS(ROW()+1, COLUMN(), 4, TRUE, "Export-dataset")) / INDIRECT(ADDRESS(ROW(), COLUMN(), 4, TRUE, "Export-dataset")), "" )</f>
        <v>1.0664206642066421</v>
      </c>
      <c r="I12" s="6" cm="1">
        <f t="array" aca="1" ref="I12" ca="1">IFERROR( INDIRECT(ADDRESS(ROW()+1, COLUMN(), 4, TRUE, "Export-dataset")) / INDIRECT(ADDRESS(ROW(), COLUMN(), 4, TRUE, "Export-dataset")), "" )</f>
        <v>1.0448756822316556</v>
      </c>
      <c r="J12" s="6" cm="1">
        <f t="array" aca="1" ref="J12" ca="1">IFERROR( INDIRECT(ADDRESS(ROW()+1, COLUMN(), 4, TRUE, "Export-dataset")) / INDIRECT(ADDRESS(ROW(), COLUMN(), 4, TRUE, "Export-dataset")), "" )</f>
        <v>0.98469387755102045</v>
      </c>
      <c r="K12" s="6" cm="1">
        <f t="array" aca="1" ref="K12" ca="1">IFERROR( INDIRECT(ADDRESS(ROW()+1, COLUMN(), 4, TRUE, "Export-dataset")) / INDIRECT(ADDRESS(ROW(), COLUMN(), 4, TRUE, "Export-dataset")), "" )</f>
        <v>1.1160000000000001</v>
      </c>
      <c r="L12" s="6" cm="1">
        <f t="array" aca="1" ref="L12" ca="1">IFERROR( INDIRECT(ADDRESS(ROW()+1, COLUMN(), 4, TRUE, "Export-dataset")) / INDIRECT(ADDRESS(ROW(), COLUMN(), 4, TRUE, "Export-dataset")), "" )</f>
        <v>1.1976284584980237</v>
      </c>
      <c r="M12" s="6" cm="1">
        <f t="array" aca="1" ref="M12" ca="1">IFERROR( INDIRECT(ADDRESS(ROW()+1, COLUMN(), 4, TRUE, "Export-dataset")) / INDIRECT(ADDRESS(ROW(), COLUMN(), 4, TRUE, "Export-dataset")), "" )</f>
        <v>1.2086720867208671</v>
      </c>
      <c r="N12" s="6" cm="1">
        <f t="array" aca="1" ref="N12" ca="1">IFERROR( INDIRECT(ADDRESS(ROW()+1, COLUMN(), 4, TRUE, "Export-dataset")) / INDIRECT(ADDRESS(ROW(), COLUMN(), 4, TRUE, "Export-dataset")), "" )</f>
        <v>1.2333825701624814</v>
      </c>
      <c r="O12" s="6" cm="1">
        <f t="array" aca="1" ref="O12" ca="1">IFERROR( INDIRECT(ADDRESS(ROW()+1, COLUMN(), 4, TRUE, "Export-dataset")) / INDIRECT(ADDRESS(ROW(), COLUMN(), 4, TRUE, "Export-dataset")), "" )</f>
        <v>0.87301587301587302</v>
      </c>
      <c r="P12" s="6" cm="1">
        <f t="array" aca="1" ref="P12" ca="1">IFERROR( INDIRECT(ADDRESS(ROW()+1, COLUMN(), 4, TRUE, "Export-dataset")) / INDIRECT(ADDRESS(ROW(), COLUMN(), 4, TRUE, "Export-dataset")), "" )</f>
        <v>1.1413354636841755</v>
      </c>
      <c r="Q12" s="6" cm="1">
        <f t="array" aca="1" ref="Q12" ca="1">IFERROR( INDIRECT(ADDRESS(ROW()+1, COLUMN(), 4, TRUE, "Export-dataset")) / INDIRECT(ADDRESS(ROW(), COLUMN(), 4, TRUE, "Export-dataset")), "" )</f>
        <v>1.1008064516129032</v>
      </c>
      <c r="R12" s="6" cm="1">
        <f t="array" aca="1" ref="R12" ca="1">IFERROR( INDIRECT(ADDRESS(ROW()+1, COLUMN(), 4, TRUE, "Export-dataset")) / INDIRECT(ADDRESS(ROW(), COLUMN(), 4, TRUE, "Export-dataset")), "" )</f>
        <v>1.1697247706422018</v>
      </c>
      <c r="S12" s="6" cm="1">
        <f t="array" aca="1" ref="S12" ca="1">IFERROR( INDIRECT(ADDRESS(ROW()+1, COLUMN(), 4, TRUE, "Export-dataset")) / INDIRECT(ADDRESS(ROW(), COLUMN(), 4, TRUE, "Export-dataset")), "" )</f>
        <v>0.91666666666666663</v>
      </c>
      <c r="T12" s="6" cm="1">
        <f t="array" aca="1" ref="T12" ca="1">IFERROR( INDIRECT(ADDRESS(ROW()+1, COLUMN(), 4, TRUE, "Export-dataset")) / INDIRECT(ADDRESS(ROW(), COLUMN(), 4, TRUE, "Export-dataset")), "" )</f>
        <v>1.0998389694041868</v>
      </c>
      <c r="U12" s="6" cm="1">
        <f t="array" aca="1" ref="U12" ca="1">IFERROR( INDIRECT(ADDRESS(ROW()+1, COLUMN(), 4, TRUE, "Export-dataset")) / INDIRECT(ADDRESS(ROW(), COLUMN(), 4, TRUE, "Export-dataset")), "" )</f>
        <v>1.3571428571428572</v>
      </c>
      <c r="V12" s="6" cm="1">
        <f t="array" aca="1" ref="V12" ca="1">IFERROR( INDIRECT(ADDRESS(ROW()+1, COLUMN(), 4, TRUE, "Export-dataset")) / INDIRECT(ADDRESS(ROW(), COLUMN(), 4, TRUE, "Export-dataset")), "" )</f>
        <v>1.2193698949824971</v>
      </c>
      <c r="W12" s="6" cm="1">
        <f t="array" aca="1" ref="W12" ca="1">IFERROR( INDIRECT(ADDRESS(ROW()+1, COLUMN(), 4, TRUE, "Export-dataset")) / INDIRECT(ADDRESS(ROW(), COLUMN(), 4, TRUE, "Export-dataset")), "" )</f>
        <v>0.99739583333333337</v>
      </c>
      <c r="X12" s="6" cm="1">
        <f t="array" aca="1" ref="X12" ca="1">IFERROR( INDIRECT(ADDRESS(ROW()+1, COLUMN(), 4, TRUE, "Export-dataset")) / INDIRECT(ADDRESS(ROW(), COLUMN(), 4, TRUE, "Export-dataset")), "" )</f>
        <v>1.117432447839471</v>
      </c>
      <c r="Y12" s="6" cm="1">
        <f t="array" aca="1" ref="Y12" ca="1">IFERROR( INDIRECT(ADDRESS(ROW()+1, COLUMN(), 4, TRUE, "Export-dataset")) / INDIRECT(ADDRESS(ROW(), COLUMN(), 4, TRUE, "Export-dataset")), "" )</f>
        <v>1.0225225225225225</v>
      </c>
      <c r="Z12" s="6" cm="1">
        <f t="array" aca="1" ref="Z12" ca="1">IFERROR( INDIRECT(ADDRESS(ROW()+1, COLUMN(), 4, TRUE, "Export-dataset")) / INDIRECT(ADDRESS(ROW(), COLUMN(), 4, TRUE, "Export-dataset")), "" )</f>
        <v>1.1512075065374558</v>
      </c>
      <c r="AA12" s="6" cm="1">
        <f t="array" aca="1" ref="AA12" ca="1">IFERROR( INDIRECT(ADDRESS(ROW()+1, COLUMN(), 4, TRUE, "Export-dataset")) / INDIRECT(ADDRESS(ROW(), COLUMN(), 4, TRUE, "Export-dataset")), "" )</f>
        <v>1.128293681248401</v>
      </c>
      <c r="AB12" s="6" cm="1">
        <f t="array" aca="1" ref="AB12" ca="1">IFERROR( INDIRECT(ADDRESS(ROW()+1, COLUMN(), 4, TRUE, "Export-dataset")) / INDIRECT(ADDRESS(ROW(), COLUMN(), 4, TRUE, "Export-dataset")), "" )</f>
        <v>1.169327251995439</v>
      </c>
      <c r="AC12" s="6" cm="1">
        <f t="array" aca="1" ref="AC12" ca="1">IFERROR( INDIRECT(ADDRESS(ROW()+1, COLUMN(), 4, TRUE, "Export-dataset")) / INDIRECT(ADDRESS(ROW(), COLUMN(), 4, TRUE, "Export-dataset")), "" )</f>
        <v>1.2189737470167064</v>
      </c>
      <c r="AD12" s="6" cm="1">
        <f t="array" aca="1" ref="AD12" ca="1">IFERROR( INDIRECT(ADDRESS(ROW()+1, COLUMN(), 4, TRUE, "Export-dataset")) / INDIRECT(ADDRESS(ROW(), COLUMN(), 4, TRUE, "Export-dataset")), "" )</f>
        <v>1.1440677966101696</v>
      </c>
      <c r="AE12" s="6" cm="1">
        <f t="array" aca="1" ref="AE12" ca="1">IFERROR( INDIRECT(ADDRESS(ROW()+1, COLUMN(), 4, TRUE, "Export-dataset")) / INDIRECT(ADDRESS(ROW(), COLUMN(), 4, TRUE, "Export-dataset")), "" )</f>
        <v>1.0103092783505154</v>
      </c>
      <c r="AF12" s="6" cm="1">
        <f t="array" aca="1" ref="AF12" ca="1">IFERROR( INDIRECT(ADDRESS(ROW()+1, COLUMN(), 4, TRUE, "Export-dataset")) / INDIRECT(ADDRESS(ROW(), COLUMN(), 4, TRUE, "Export-dataset")), "" )</f>
        <v>3</v>
      </c>
      <c r="AG12" s="6" cm="1">
        <f t="array" aca="1" ref="AG12" ca="1">IFERROR( INDIRECT(ADDRESS(ROW()+1, COLUMN(), 4, TRUE, "Export-dataset")) / INDIRECT(ADDRESS(ROW(), COLUMN(), 4, TRUE, "Export-dataset")), "" )</f>
        <v>1.3333333333333333</v>
      </c>
      <c r="AH12" s="6" cm="1">
        <f t="array" aca="1" ref="AH12" ca="1">IFERROR( INDIRECT(ADDRESS(ROW()+1, COLUMN(), 4, TRUE, "Export-dataset")) / INDIRECT(ADDRESS(ROW(), COLUMN(), 4, TRUE, "Export-dataset")), "" )</f>
        <v>1.0720000000000001</v>
      </c>
      <c r="AI12" s="6" cm="1">
        <f t="array" aca="1" ref="AI12" ca="1">IFERROR( INDIRECT(ADDRESS(ROW()+1, COLUMN(), 4, TRUE, "Export-dataset")) / INDIRECT(ADDRESS(ROW(), COLUMN(), 4, TRUE, "Export-dataset")), "" )</f>
        <v>1.5714285714285714</v>
      </c>
      <c r="AJ12" s="6" cm="1">
        <f t="array" aca="1" ref="AJ12" ca="1">IFERROR( INDIRECT(ADDRESS(ROW()+1, COLUMN(), 4, TRUE, "Export-dataset")) / INDIRECT(ADDRESS(ROW(), COLUMN(), 4, TRUE, "Export-dataset")), "" )</f>
        <v>0.98498498498498499</v>
      </c>
      <c r="AK12" s="6" cm="1">
        <f t="array" aca="1" ref="AK12" ca="1">IFERROR( INDIRECT(ADDRESS(ROW()+1, COLUMN(), 4, TRUE, "Export-dataset")) / INDIRECT(ADDRESS(ROW(), COLUMN(), 4, TRUE, "Export-dataset")), "" )</f>
        <v>1.0452380952380953</v>
      </c>
      <c r="AL12" s="6" cm="1">
        <f t="array" aca="1" ref="AL12" ca="1">IFERROR( INDIRECT(ADDRESS(ROW()+1, COLUMN(), 4, TRUE, "Export-dataset")) / INDIRECT(ADDRESS(ROW(), COLUMN(), 4, TRUE, "Export-dataset")), "" )</f>
        <v>1.1231422505307855</v>
      </c>
      <c r="AM12" s="6" cm="1">
        <f t="array" aca="1" ref="AM12" ca="1">IFERROR( INDIRECT(ADDRESS(ROW()+1, COLUMN(), 4, TRUE, "Export-dataset")) / INDIRECT(ADDRESS(ROW(), COLUMN(), 4, TRUE, "Export-dataset")), "" )</f>
        <v>0.99333333333333329</v>
      </c>
      <c r="AN12" s="6" cm="1">
        <f t="array" aca="1" ref="AN12" ca="1">IFERROR( INDIRECT(ADDRESS(ROW()+1, COLUMN(), 4, TRUE, "Export-dataset")) / INDIRECT(ADDRESS(ROW(), COLUMN(), 4, TRUE, "Export-dataset")), "" )</f>
        <v>0.91304347826086951</v>
      </c>
      <c r="AO12" s="6" cm="1">
        <f t="array" aca="1" ref="AO12" ca="1">IFERROR( INDIRECT(ADDRESS(ROW()+1, COLUMN(), 4, TRUE, "Export-dataset")) / INDIRECT(ADDRESS(ROW(), COLUMN(), 4, TRUE, "Export-dataset")), "" )</f>
        <v>1.0635451505016722</v>
      </c>
      <c r="AP12" s="6" cm="1">
        <f t="array" aca="1" ref="AP12" ca="1">IFERROR( INDIRECT(ADDRESS(ROW()+1, COLUMN(), 4, TRUE, "Export-dataset")) / INDIRECT(ADDRESS(ROW(), COLUMN(), 4, TRUE, "Export-dataset")), "" )</f>
        <v>1.0588235294117647</v>
      </c>
      <c r="AQ12" s="6" cm="1">
        <f t="array" aca="1" ref="AQ12" ca="1">IFERROR( INDIRECT(ADDRESS(ROW()+1, COLUMN(), 4, TRUE, "Export-dataset")) / INDIRECT(ADDRESS(ROW(), COLUMN(), 4, TRUE, "Export-dataset")), "" )</f>
        <v>1.0136363636363637</v>
      </c>
      <c r="AR12" s="6" cm="1">
        <f t="array" aca="1" ref="AR12" ca="1">IFERROR( INDIRECT(ADDRESS(ROW()+1, COLUMN(), 4, TRUE, "Export-dataset")) / INDIRECT(ADDRESS(ROW(), COLUMN(), 4, TRUE, "Export-dataset")), "" )</f>
        <v>1.0520899639295564</v>
      </c>
      <c r="AS12" s="6" cm="1">
        <f t="array" aca="1" ref="AS12" ca="1">IFERROR( INDIRECT(ADDRESS(ROW()+1, COLUMN(), 4, TRUE, "Export-dataset")) / INDIRECT(ADDRESS(ROW(), COLUMN(), 4, TRUE, "Export-dataset")), "" )</f>
        <v>1.0828025477707006</v>
      </c>
      <c r="AT12" s="6" cm="1">
        <f t="array" aca="1" ref="AT12" ca="1">IFERROR( INDIRECT(ADDRESS(ROW()+1, COLUMN(), 4, TRUE, "Export-dataset")) / INDIRECT(ADDRESS(ROW(), COLUMN(), 4, TRUE, "Export-dataset")), "" )</f>
        <v>1.0251572327044025</v>
      </c>
      <c r="AU12" s="6" cm="1">
        <f t="array" aca="1" ref="AU12" ca="1">IFERROR( INDIRECT(ADDRESS(ROW()+1, COLUMN(), 4, TRUE, "Export-dataset")) / INDIRECT(ADDRESS(ROW(), COLUMN(), 4, TRUE, "Export-dataset")), "" )</f>
        <v>0.98165137614678899</v>
      </c>
      <c r="AV12" s="6" cm="1">
        <f t="array" aca="1" ref="AV12" ca="1">IFERROR( INDIRECT(ADDRESS(ROW()+1, COLUMN(), 4, TRUE, "Export-dataset")) / INDIRECT(ADDRESS(ROW(), COLUMN(), 4, TRUE, "Export-dataset")), "" )</f>
        <v>1.2128279883381925</v>
      </c>
      <c r="AW12" s="6" cm="1">
        <f t="array" aca="1" ref="AW12" ca="1">IFERROR( INDIRECT(ADDRESS(ROW()+1, COLUMN(), 4, TRUE, "Export-dataset")) / INDIRECT(ADDRESS(ROW(), COLUMN(), 4, TRUE, "Export-dataset")), "" )</f>
        <v>1.1060070671378093</v>
      </c>
      <c r="AX12" s="6" cm="1">
        <f t="array" aca="1" ref="AX12" ca="1">IFERROR( INDIRECT(ADDRESS(ROW()+1, COLUMN(), 4, TRUE, "Export-dataset")) / INDIRECT(ADDRESS(ROW(), COLUMN(), 4, TRUE, "Export-dataset")), "" )</f>
        <v>1.0168831168831169</v>
      </c>
      <c r="AY12" s="6" cm="1">
        <f t="array" aca="1" ref="AY12" ca="1">IFERROR( INDIRECT(ADDRESS(ROW()+1, COLUMN(), 4, TRUE, "Export-dataset")) / INDIRECT(ADDRESS(ROW(), COLUMN(), 4, TRUE, "Export-dataset")), "" )</f>
        <v>1.026494146642021</v>
      </c>
      <c r="AZ12" s="6" cm="1">
        <f t="array" aca="1" ref="AZ12" ca="1">IFERROR( INDIRECT(ADDRESS(ROW()+1, COLUMN(), 4, TRUE, "Export-dataset")) / INDIRECT(ADDRESS(ROW(), COLUMN(), 4, TRUE, "Export-dataset")), "" )</f>
        <v>1.0601861874864689</v>
      </c>
      <c r="BA12" s="6" cm="1">
        <f t="array" aca="1" ref="BA12" ca="1">IFERROR( INDIRECT(ADDRESS(ROW()+1, COLUMN(), 4, TRUE, "Export-dataset")) / INDIRECT(ADDRESS(ROW(), COLUMN(), 4, TRUE, "Export-dataset")), "" )</f>
        <v>0.97399219765929779</v>
      </c>
      <c r="BB12" s="6" cm="1">
        <f t="array" aca="1" ref="BB12" ca="1">IFERROR( INDIRECT(ADDRESS(ROW()+1, COLUMN(), 4, TRUE, "Export-dataset")) / INDIRECT(ADDRESS(ROW(), COLUMN(), 4, TRUE, "Export-dataset")), "" )</f>
        <v>1.1369615423235264</v>
      </c>
      <c r="BC12" s="6" cm="1">
        <f t="array" aca="1" ref="BC12" ca="1">IFERROR( INDIRECT(ADDRESS(ROW()+1, COLUMN(), 4, TRUE, "Export-dataset")) / INDIRECT(ADDRESS(ROW(), COLUMN(), 4, TRUE, "Export-dataset")), "" )</f>
        <v>1.1788154897494305</v>
      </c>
      <c r="BD12" s="6" cm="1">
        <f t="array" aca="1" ref="BD12" ca="1">IFERROR( INDIRECT(ADDRESS(ROW()+1, COLUMN(), 4, TRUE, "Export-dataset")) / INDIRECT(ADDRESS(ROW(), COLUMN(), 4, TRUE, "Export-dataset")), "" )</f>
        <v>1.0918273645546372</v>
      </c>
      <c r="BE12" s="6" cm="1">
        <f t="array" aca="1" ref="BE12" ca="1">IFERROR( INDIRECT(ADDRESS(ROW()+1, COLUMN(), 4, TRUE, "Export-dataset")) / INDIRECT(ADDRESS(ROW(), COLUMN(), 4, TRUE, "Export-dataset")), "" )</f>
        <v>1.105</v>
      </c>
      <c r="BF12" s="6" cm="1">
        <f t="array" aca="1" ref="BF12" ca="1">IFERROR( INDIRECT(ADDRESS(ROW()+1, COLUMN(), 4, TRUE, "Export-dataset")) / INDIRECT(ADDRESS(ROW(), COLUMN(), 4, TRUE, "Export-dataset")), "" )</f>
        <v>0.94011484823625924</v>
      </c>
      <c r="BG12" s="6" cm="1">
        <f t="array" aca="1" ref="BG12" ca="1">IFERROR( INDIRECT(ADDRESS(ROW()+1, COLUMN(), 4, TRUE, "Export-dataset")) / INDIRECT(ADDRESS(ROW(), COLUMN(), 4, TRUE, "Export-dataset")), "" )</f>
        <v>0.93992139247613704</v>
      </c>
      <c r="BH12" s="6" cm="1">
        <f t="array" aca="1" ref="BH12" ca="1">IFERROR( INDIRECT(ADDRESS(ROW()+1, COLUMN(), 4, TRUE, "Export-dataset")) / INDIRECT(ADDRESS(ROW(), COLUMN(), 4, TRUE, "Export-dataset")), "" )</f>
        <v>1.5068702290076337</v>
      </c>
      <c r="BI12" s="6" cm="1">
        <f t="array" aca="1" ref="BI12" ca="1">IFERROR( INDIRECT(ADDRESS(ROW()+1, COLUMN(), 4, TRUE, "Export-dataset")) / INDIRECT(ADDRESS(ROW(), COLUMN(), 4, TRUE, "Export-dataset")), "" )</f>
        <v>0.93689680772086115</v>
      </c>
      <c r="BJ12" s="6" cm="1">
        <f t="array" aca="1" ref="BJ12" ca="1">IFERROR( INDIRECT(ADDRESS(ROW()+1, COLUMN(), 4, TRUE, "Export-dataset")) / INDIRECT(ADDRESS(ROW(), COLUMN(), 4, TRUE, "Export-dataset")), "" )</f>
        <v>1.2152145643693109</v>
      </c>
      <c r="BK12" s="6" cm="1">
        <f t="array" aca="1" ref="BK12" ca="1">IFERROR( INDIRECT(ADDRESS(ROW()+1, COLUMN(), 4, TRUE, "Export-dataset")) / INDIRECT(ADDRESS(ROW(), COLUMN(), 4, TRUE, "Export-dataset")), "" )</f>
        <v>1.547275641025641</v>
      </c>
      <c r="BL12" s="6" cm="1">
        <f t="array" aca="1" ref="BL12" ca="1">IFERROR( INDIRECT(ADDRESS(ROW()+1, COLUMN(), 4, TRUE, "Export-dataset")) / INDIRECT(ADDRESS(ROW(), COLUMN(), 4, TRUE, "Export-dataset")), "" )</f>
        <v>1.0860597439544808</v>
      </c>
      <c r="BM12" s="6" cm="1">
        <f t="array" aca="1" ref="BM12" ca="1">IFERROR( INDIRECT(ADDRESS(ROW()+1, COLUMN(), 4, TRUE, "Export-dataset")) / INDIRECT(ADDRESS(ROW(), COLUMN(), 4, TRUE, "Export-dataset")), "" )</f>
        <v>1.0235294117647058</v>
      </c>
      <c r="BN12" s="6" cm="1">
        <f t="array" aca="1" ref="BN12" ca="1">IFERROR( INDIRECT(ADDRESS(ROW()+1, COLUMN(), 4, TRUE, "Export-dataset")) / INDIRECT(ADDRESS(ROW(), COLUMN(), 4, TRUE, "Export-dataset")), "" )</f>
        <v>0.97979797979797978</v>
      </c>
      <c r="BO12" s="6" cm="1">
        <f t="array" aca="1" ref="BO12" ca="1">IFERROR( INDIRECT(ADDRESS(ROW()+1, COLUMN(), 4, TRUE, "Export-dataset")) / INDIRECT(ADDRESS(ROW(), COLUMN(), 4, TRUE, "Export-dataset")), "" )</f>
        <v>1</v>
      </c>
      <c r="BP12" s="6" cm="1">
        <f t="array" aca="1" ref="BP12" ca="1">IFERROR( INDIRECT(ADDRESS(ROW()+1, COLUMN(), 4, TRUE, "Export-dataset")) / INDIRECT(ADDRESS(ROW(), COLUMN(), 4, TRUE, "Export-dataset")), "" )</f>
        <v>1.1091445427728615</v>
      </c>
      <c r="BQ12" s="6" cm="1">
        <f t="array" aca="1" ref="BQ12" ca="1">IFERROR( INDIRECT(ADDRESS(ROW()+1, COLUMN(), 4, TRUE, "Export-dataset")) / INDIRECT(ADDRESS(ROW(), COLUMN(), 4, TRUE, "Export-dataset")), "" )</f>
        <v>0.921875</v>
      </c>
      <c r="BR12" s="6" cm="1">
        <f t="array" aca="1" ref="BR12" ca="1">IFERROR( INDIRECT(ADDRESS(ROW()+1, COLUMN(), 4, TRUE, "Export-dataset")) / INDIRECT(ADDRESS(ROW(), COLUMN(), 4, TRUE, "Export-dataset")), "" )</f>
        <v>1.1912751677852349</v>
      </c>
      <c r="BS12" s="6" cm="1">
        <f t="array" aca="1" ref="BS12" ca="1">IFERROR( INDIRECT(ADDRESS(ROW()+1, COLUMN(), 4, TRUE, "Export-dataset")) / INDIRECT(ADDRESS(ROW(), COLUMN(), 4, TRUE, "Export-dataset")), "" )</f>
        <v>1.1505190311418685</v>
      </c>
      <c r="BT12" s="6" cm="1">
        <f t="array" aca="1" ref="BT12" ca="1">IFERROR( INDIRECT(ADDRESS(ROW()+1, COLUMN(), 4, TRUE, "Export-dataset")) / INDIRECT(ADDRESS(ROW(), COLUMN(), 4, TRUE, "Export-dataset")), "" )</f>
        <v>1.0048169556840076</v>
      </c>
      <c r="BU12" s="6" cm="1">
        <f t="array" aca="1" ref="BU12" ca="1">IFERROR( INDIRECT(ADDRESS(ROW()+1, COLUMN(), 4, TRUE, "Export-dataset")) / INDIRECT(ADDRESS(ROW(), COLUMN(), 4, TRUE, "Export-dataset")), "" )</f>
        <v>0.97409845449341725</v>
      </c>
      <c r="BV12" s="6" cm="1">
        <f t="array" aca="1" ref="BV12" ca="1">IFERROR( INDIRECT(ADDRESS(ROW()+1, COLUMN(), 4, TRUE, "Export-dataset")) / INDIRECT(ADDRESS(ROW(), COLUMN(), 4, TRUE, "Export-dataset")), "" )</f>
        <v>1.0433070866141732</v>
      </c>
      <c r="BW12" s="6" cm="1">
        <f t="array" aca="1" ref="BW12" ca="1">IFERROR( INDIRECT(ADDRESS(ROW()+1, COLUMN(), 4, TRUE, "Export-dataset")) / INDIRECT(ADDRESS(ROW(), COLUMN(), 4, TRUE, "Export-dataset")), "" )</f>
        <v>1.0158730158730158</v>
      </c>
      <c r="BX12" s="6" t="str" cm="1">
        <f t="array" aca="1" ref="BX12" ca="1">IFERROR( INDIRECT(ADDRESS(ROW()+1, COLUMN(), 4, TRUE, "Export-dataset")) / INDIRECT(ADDRESS(ROW(), COLUMN(), 4, TRUE, "Export-dataset")), "" )</f>
        <v/>
      </c>
      <c r="BY12" s="6" cm="1">
        <f t="array" aca="1" ref="BY12" ca="1">IFERROR( INDIRECT(ADDRESS(ROW()+1, COLUMN(), 4, TRUE, "Export-dataset")) / INDIRECT(ADDRESS(ROW(), COLUMN(), 4, TRUE, "Export-dataset")), "" )</f>
        <v>0.94022154316271966</v>
      </c>
      <c r="BZ12" s="6" cm="1">
        <f t="array" aca="1" ref="BZ12" ca="1">IFERROR( INDIRECT(ADDRESS(ROW()+1, COLUMN(), 4, TRUE, "Export-dataset")) / INDIRECT(ADDRESS(ROW(), COLUMN(), 4, TRUE, "Export-dataset")), "" )</f>
        <v>1.0922112802148611</v>
      </c>
      <c r="CA12" s="6" cm="1">
        <f t="array" aca="1" ref="CA12" ca="1">IFERROR( INDIRECT(ADDRESS(ROW()+1, COLUMN(), 4, TRUE, "Export-dataset")) / INDIRECT(ADDRESS(ROW(), COLUMN(), 4, TRUE, "Export-dataset")), "" )</f>
        <v>1.1014263074484945</v>
      </c>
    </row>
    <row r="13" spans="1:79">
      <c r="A13" s="6" t="s">
        <v>170</v>
      </c>
      <c r="B13" s="6" cm="1">
        <f t="array" aca="1" ref="B13" ca="1">IFERROR( INDIRECT(ADDRESS(ROW()+1, COLUMN(), 4, TRUE, "Export-dataset")) / INDIRECT(ADDRESS(ROW(), COLUMN(), 4, TRUE, "Export-dataset")), "" )</f>
        <v>0.88111156328120455</v>
      </c>
      <c r="C13" s="6" cm="1">
        <f t="array" aca="1" ref="C13" ca="1">IFERROR( INDIRECT(ADDRESS(ROW()+1, COLUMN(), 4, TRUE, "Export-dataset")) / INDIRECT(ADDRESS(ROW(), COLUMN(), 4, TRUE, "Export-dataset")), "" )</f>
        <v>0.76312247644683717</v>
      </c>
      <c r="D13" s="6" cm="1">
        <f t="array" aca="1" ref="D13" ca="1">IFERROR( INDIRECT(ADDRESS(ROW()+1, COLUMN(), 4, TRUE, "Export-dataset")) / INDIRECT(ADDRESS(ROW(), COLUMN(), 4, TRUE, "Export-dataset")), "" )</f>
        <v>1.1362579895409646</v>
      </c>
      <c r="E13" s="6" cm="1">
        <f t="array" aca="1" ref="E13" ca="1">IFERROR( INDIRECT(ADDRESS(ROW()+1, COLUMN(), 4, TRUE, "Export-dataset")) / INDIRECT(ADDRESS(ROW(), COLUMN(), 4, TRUE, "Export-dataset")), "" )</f>
        <v>1.16793893129771</v>
      </c>
      <c r="F13" s="6" cm="1">
        <f t="array" aca="1" ref="F13" ca="1">IFERROR( INDIRECT(ADDRESS(ROW()+1, COLUMN(), 4, TRUE, "Export-dataset")) / INDIRECT(ADDRESS(ROW(), COLUMN(), 4, TRUE, "Export-dataset")), "" )</f>
        <v>0.97921862011637573</v>
      </c>
      <c r="G13" s="6" cm="1">
        <f t="array" aca="1" ref="G13" ca="1">IFERROR( INDIRECT(ADDRESS(ROW()+1, COLUMN(), 4, TRUE, "Export-dataset")) / INDIRECT(ADDRESS(ROW(), COLUMN(), 4, TRUE, "Export-dataset")), "" )</f>
        <v>0.83035418735518041</v>
      </c>
      <c r="H13" s="6" cm="1">
        <f t="array" aca="1" ref="H13" ca="1">IFERROR( INDIRECT(ADDRESS(ROW()+1, COLUMN(), 4, TRUE, "Export-dataset")) / INDIRECT(ADDRESS(ROW(), COLUMN(), 4, TRUE, "Export-dataset")), "" )</f>
        <v>0.98183391003460208</v>
      </c>
      <c r="I13" s="6" cm="1">
        <f t="array" aca="1" ref="I13" ca="1">IFERROR( INDIRECT(ADDRESS(ROW()+1, COLUMN(), 4, TRUE, "Export-dataset")) / INDIRECT(ADDRESS(ROW(), COLUMN(), 4, TRUE, "Export-dataset")), "" )</f>
        <v>0.1044689495066744</v>
      </c>
      <c r="J13" s="6" cm="1">
        <f t="array" aca="1" ref="J13" ca="1">IFERROR( INDIRECT(ADDRESS(ROW()+1, COLUMN(), 4, TRUE, "Export-dataset")) / INDIRECT(ADDRESS(ROW(), COLUMN(), 4, TRUE, "Export-dataset")), "" )</f>
        <v>0.91191709844559588</v>
      </c>
      <c r="K13" s="6" cm="1">
        <f t="array" aca="1" ref="K13" ca="1">IFERROR( INDIRECT(ADDRESS(ROW()+1, COLUMN(), 4, TRUE, "Export-dataset")) / INDIRECT(ADDRESS(ROW(), COLUMN(), 4, TRUE, "Export-dataset")), "" )</f>
        <v>0.97670250896057342</v>
      </c>
      <c r="L13" s="6" cm="1">
        <f t="array" aca="1" ref="L13" ca="1">IFERROR( INDIRECT(ADDRESS(ROW()+1, COLUMN(), 4, TRUE, "Export-dataset")) / INDIRECT(ADDRESS(ROW(), COLUMN(), 4, TRUE, "Export-dataset")), "" )</f>
        <v>0.99339933993399343</v>
      </c>
      <c r="M13" s="6" cm="1">
        <f t="array" aca="1" ref="M13" ca="1">IFERROR( INDIRECT(ADDRESS(ROW()+1, COLUMN(), 4, TRUE, "Export-dataset")) / INDIRECT(ADDRESS(ROW(), COLUMN(), 4, TRUE, "Export-dataset")), "" )</f>
        <v>1.2959641255605381</v>
      </c>
      <c r="N13" s="6" cm="1">
        <f t="array" aca="1" ref="N13" ca="1">IFERROR( INDIRECT(ADDRESS(ROW()+1, COLUMN(), 4, TRUE, "Export-dataset")) / INDIRECT(ADDRESS(ROW(), COLUMN(), 4, TRUE, "Export-dataset")), "" )</f>
        <v>1.2982035928143714</v>
      </c>
      <c r="O13" s="6" cm="1">
        <f t="array" aca="1" ref="O13" ca="1">IFERROR( INDIRECT(ADDRESS(ROW()+1, COLUMN(), 4, TRUE, "Export-dataset")) / INDIRECT(ADDRESS(ROW(), COLUMN(), 4, TRUE, "Export-dataset")), "" )</f>
        <v>1.2727272727272727</v>
      </c>
      <c r="P13" s="6" cm="1">
        <f t="array" aca="1" ref="P13" ca="1">IFERROR( INDIRECT(ADDRESS(ROW()+1, COLUMN(), 4, TRUE, "Export-dataset")) / INDIRECT(ADDRESS(ROW(), COLUMN(), 4, TRUE, "Export-dataset")), "" )</f>
        <v>1.04462202519832</v>
      </c>
      <c r="Q13" s="6" cm="1">
        <f t="array" aca="1" ref="Q13" ca="1">IFERROR( INDIRECT(ADDRESS(ROW()+1, COLUMN(), 4, TRUE, "Export-dataset")) / INDIRECT(ADDRESS(ROW(), COLUMN(), 4, TRUE, "Export-dataset")), "" )</f>
        <v>0.93406593406593408</v>
      </c>
      <c r="R13" s="6" cm="1">
        <f t="array" aca="1" ref="R13" ca="1">IFERROR( INDIRECT(ADDRESS(ROW()+1, COLUMN(), 4, TRUE, "Export-dataset")) / INDIRECT(ADDRESS(ROW(), COLUMN(), 4, TRUE, "Export-dataset")), "" )</f>
        <v>1.7725490196078431</v>
      </c>
      <c r="S13" s="6" cm="1">
        <f t="array" aca="1" ref="S13" ca="1">IFERROR( INDIRECT(ADDRESS(ROW()+1, COLUMN(), 4, TRUE, "Export-dataset")) / INDIRECT(ADDRESS(ROW(), COLUMN(), 4, TRUE, "Export-dataset")), "" )</f>
        <v>0.90909090909090906</v>
      </c>
      <c r="T13" s="6" cm="1">
        <f t="array" aca="1" ref="T13" ca="1">IFERROR( INDIRECT(ADDRESS(ROW()+1, COLUMN(), 4, TRUE, "Export-dataset")) / INDIRECT(ADDRESS(ROW(), COLUMN(), 4, TRUE, "Export-dataset")), "" )</f>
        <v>1.0234260614934114</v>
      </c>
      <c r="U13" s="6" cm="1">
        <f t="array" aca="1" ref="U13" ca="1">IFERROR( INDIRECT(ADDRESS(ROW()+1, COLUMN(), 4, TRUE, "Export-dataset")) / INDIRECT(ADDRESS(ROW(), COLUMN(), 4, TRUE, "Export-dataset")), "" )</f>
        <v>1.1578947368421053</v>
      </c>
      <c r="V13" s="6" cm="1">
        <f t="array" aca="1" ref="V13" ca="1">IFERROR( INDIRECT(ADDRESS(ROW()+1, COLUMN(), 4, TRUE, "Export-dataset")) / INDIRECT(ADDRESS(ROW(), COLUMN(), 4, TRUE, "Export-dataset")), "" )</f>
        <v>0.86181818181818182</v>
      </c>
      <c r="W13" s="6" cm="1">
        <f t="array" aca="1" ref="W13" ca="1">IFERROR( INDIRECT(ADDRESS(ROW()+1, COLUMN(), 4, TRUE, "Export-dataset")) / INDIRECT(ADDRESS(ROW(), COLUMN(), 4, TRUE, "Export-dataset")), "" )</f>
        <v>1.1723237597911227</v>
      </c>
      <c r="X13" s="6" cm="1">
        <f t="array" aca="1" ref="X13" ca="1">IFERROR( INDIRECT(ADDRESS(ROW()+1, COLUMN(), 4, TRUE, "Export-dataset")) / INDIRECT(ADDRESS(ROW(), COLUMN(), 4, TRUE, "Export-dataset")), "" )</f>
        <v>1.1238649117436996</v>
      </c>
      <c r="Y13" s="6" cm="1">
        <f t="array" aca="1" ref="Y13" ca="1">IFERROR( INDIRECT(ADDRESS(ROW()+1, COLUMN(), 4, TRUE, "Export-dataset")) / INDIRECT(ADDRESS(ROW(), COLUMN(), 4, TRUE, "Export-dataset")), "" )</f>
        <v>1.0925110132158591</v>
      </c>
      <c r="Z13" s="6" cm="1">
        <f t="array" aca="1" ref="Z13" ca="1">IFERROR( INDIRECT(ADDRESS(ROW()+1, COLUMN(), 4, TRUE, "Export-dataset")) / INDIRECT(ADDRESS(ROW(), COLUMN(), 4, TRUE, "Export-dataset")), "" )</f>
        <v>1.0072822020309995</v>
      </c>
      <c r="AA13" s="6" cm="1">
        <f t="array" aca="1" ref="AA13" ca="1">IFERROR( INDIRECT(ADDRESS(ROW()+1, COLUMN(), 4, TRUE, "Export-dataset")) / INDIRECT(ADDRESS(ROW(), COLUMN(), 4, TRUE, "Export-dataset")), "" )</f>
        <v>1.1165400748214489</v>
      </c>
      <c r="AB13" s="6" cm="1">
        <f t="array" aca="1" ref="AB13" ca="1">IFERROR( INDIRECT(ADDRESS(ROW()+1, COLUMN(), 4, TRUE, "Export-dataset")) / INDIRECT(ADDRESS(ROW(), COLUMN(), 4, TRUE, "Export-dataset")), "" )</f>
        <v>0.8225255972696246</v>
      </c>
      <c r="AC13" s="6" cm="1">
        <f t="array" aca="1" ref="AC13" ca="1">IFERROR( INDIRECT(ADDRESS(ROW()+1, COLUMN(), 4, TRUE, "Export-dataset")) / INDIRECT(ADDRESS(ROW(), COLUMN(), 4, TRUE, "Export-dataset")), "" )</f>
        <v>0.90797846304454233</v>
      </c>
      <c r="AD13" s="6" cm="1">
        <f t="array" aca="1" ref="AD13" ca="1">IFERROR( INDIRECT(ADDRESS(ROW()+1, COLUMN(), 4, TRUE, "Export-dataset")) / INDIRECT(ADDRESS(ROW(), COLUMN(), 4, TRUE, "Export-dataset")), "" )</f>
        <v>1.4259259259259258</v>
      </c>
      <c r="AE13" s="6" cm="1">
        <f t="array" aca="1" ref="AE13" ca="1">IFERROR( INDIRECT(ADDRESS(ROW()+1, COLUMN(), 4, TRUE, "Export-dataset")) / INDIRECT(ADDRESS(ROW(), COLUMN(), 4, TRUE, "Export-dataset")), "" )</f>
        <v>1.3520408163265305</v>
      </c>
      <c r="AF13" s="6" cm="1">
        <f t="array" aca="1" ref="AF13" ca="1">IFERROR( INDIRECT(ADDRESS(ROW()+1, COLUMN(), 4, TRUE, "Export-dataset")) / INDIRECT(ADDRESS(ROW(), COLUMN(), 4, TRUE, "Export-dataset")), "" )</f>
        <v>2.3333333333333335</v>
      </c>
      <c r="AG13" s="6" cm="1">
        <f t="array" aca="1" ref="AG13" ca="1">IFERROR( INDIRECT(ADDRESS(ROW()+1, COLUMN(), 4, TRUE, "Export-dataset")) / INDIRECT(ADDRESS(ROW(), COLUMN(), 4, TRUE, "Export-dataset")), "" )</f>
        <v>1.1363636363636365</v>
      </c>
      <c r="AH13" s="6" cm="1">
        <f t="array" aca="1" ref="AH13" ca="1">IFERROR( INDIRECT(ADDRESS(ROW()+1, COLUMN(), 4, TRUE, "Export-dataset")) / INDIRECT(ADDRESS(ROW(), COLUMN(), 4, TRUE, "Export-dataset")), "" )</f>
        <v>1.0531716417910448</v>
      </c>
      <c r="AI13" s="6" cm="1">
        <f t="array" aca="1" ref="AI13" ca="1">IFERROR( INDIRECT(ADDRESS(ROW()+1, COLUMN(), 4, TRUE, "Export-dataset")) / INDIRECT(ADDRESS(ROW(), COLUMN(), 4, TRUE, "Export-dataset")), "" )</f>
        <v>0.97202797202797198</v>
      </c>
      <c r="AJ13" s="6" cm="1">
        <f t="array" aca="1" ref="AJ13" ca="1">IFERROR( INDIRECT(ADDRESS(ROW()+1, COLUMN(), 4, TRUE, "Export-dataset")) / INDIRECT(ADDRESS(ROW(), COLUMN(), 4, TRUE, "Export-dataset")), "" )</f>
        <v>0.96341463414634143</v>
      </c>
      <c r="AK13" s="6" cm="1">
        <f t="array" aca="1" ref="AK13" ca="1">IFERROR( INDIRECT(ADDRESS(ROW()+1, COLUMN(), 4, TRUE, "Export-dataset")) / INDIRECT(ADDRESS(ROW(), COLUMN(), 4, TRUE, "Export-dataset")), "" )</f>
        <v>1.1958997722095672</v>
      </c>
      <c r="AL13" s="6" cm="1">
        <f t="array" aca="1" ref="AL13" ca="1">IFERROR( INDIRECT(ADDRESS(ROW()+1, COLUMN(), 4, TRUE, "Export-dataset")) / INDIRECT(ADDRESS(ROW(), COLUMN(), 4, TRUE, "Export-dataset")), "" )</f>
        <v>1.1578449905482042</v>
      </c>
      <c r="AM13" s="6" cm="1">
        <f t="array" aca="1" ref="AM13" ca="1">IFERROR( INDIRECT(ADDRESS(ROW()+1, COLUMN(), 4, TRUE, "Export-dataset")) / INDIRECT(ADDRESS(ROW(), COLUMN(), 4, TRUE, "Export-dataset")), "" )</f>
        <v>0.94966442953020136</v>
      </c>
      <c r="AN13" s="6" cm="1">
        <f t="array" aca="1" ref="AN13" ca="1">IFERROR( INDIRECT(ADDRESS(ROW()+1, COLUMN(), 4, TRUE, "Export-dataset")) / INDIRECT(ADDRESS(ROW(), COLUMN(), 4, TRUE, "Export-dataset")), "" )</f>
        <v>1.5238095238095237</v>
      </c>
      <c r="AO13" s="6" cm="1">
        <f t="array" aca="1" ref="AO13" ca="1">IFERROR( INDIRECT(ADDRESS(ROW()+1, COLUMN(), 4, TRUE, "Export-dataset")) / INDIRECT(ADDRESS(ROW(), COLUMN(), 4, TRUE, "Export-dataset")), "" )</f>
        <v>0.74528301886792447</v>
      </c>
      <c r="AP13" s="6" cm="1">
        <f t="array" aca="1" ref="AP13" ca="1">IFERROR( INDIRECT(ADDRESS(ROW()+1, COLUMN(), 4, TRUE, "Export-dataset")) / INDIRECT(ADDRESS(ROW(), COLUMN(), 4, TRUE, "Export-dataset")), "" )</f>
        <v>1.0123456790123457</v>
      </c>
      <c r="AQ13" s="6" cm="1">
        <f t="array" aca="1" ref="AQ13" ca="1">IFERROR( INDIRECT(ADDRESS(ROW()+1, COLUMN(), 4, TRUE, "Export-dataset")) / INDIRECT(ADDRESS(ROW(), COLUMN(), 4, TRUE, "Export-dataset")), "" )</f>
        <v>1.047085201793722</v>
      </c>
      <c r="AR13" s="6" cm="1">
        <f t="array" aca="1" ref="AR13" ca="1">IFERROR( INDIRECT(ADDRESS(ROW()+1, COLUMN(), 4, TRUE, "Export-dataset")) / INDIRECT(ADDRESS(ROW(), COLUMN(), 4, TRUE, "Export-dataset")), "" )</f>
        <v>1.0510234950085711</v>
      </c>
      <c r="AS13" s="6" cm="1">
        <f t="array" aca="1" ref="AS13" ca="1">IFERROR( INDIRECT(ADDRESS(ROW()+1, COLUMN(), 4, TRUE, "Export-dataset")) / INDIRECT(ADDRESS(ROW(), COLUMN(), 4, TRUE, "Export-dataset")), "" )</f>
        <v>0.97450980392156861</v>
      </c>
      <c r="AT13" s="6" cm="1">
        <f t="array" aca="1" ref="AT13" ca="1">IFERROR( INDIRECT(ADDRESS(ROW()+1, COLUMN(), 4, TRUE, "Export-dataset")) / INDIRECT(ADDRESS(ROW(), COLUMN(), 4, TRUE, "Export-dataset")), "" )</f>
        <v>1.0368098159509203</v>
      </c>
      <c r="AU13" s="6" cm="1">
        <f t="array" aca="1" ref="AU13" ca="1">IFERROR( INDIRECT(ADDRESS(ROW()+1, COLUMN(), 4, TRUE, "Export-dataset")) / INDIRECT(ADDRESS(ROW(), COLUMN(), 4, TRUE, "Export-dataset")), "" )</f>
        <v>0.9719626168224299</v>
      </c>
      <c r="AV13" s="6" cm="1">
        <f t="array" aca="1" ref="AV13" ca="1">IFERROR( INDIRECT(ADDRESS(ROW()+1, COLUMN(), 4, TRUE, "Export-dataset")) / INDIRECT(ADDRESS(ROW(), COLUMN(), 4, TRUE, "Export-dataset")), "" )</f>
        <v>1.0120192307692308</v>
      </c>
      <c r="AW13" s="6" cm="1">
        <f t="array" aca="1" ref="AW13" ca="1">IFERROR( INDIRECT(ADDRESS(ROW()+1, COLUMN(), 4, TRUE, "Export-dataset")) / INDIRECT(ADDRESS(ROW(), COLUMN(), 4, TRUE, "Export-dataset")), "" )</f>
        <v>0.94728434504792336</v>
      </c>
      <c r="AX13" s="6" cm="1">
        <f t="array" aca="1" ref="AX13" ca="1">IFERROR( INDIRECT(ADDRESS(ROW()+1, COLUMN(), 4, TRUE, "Export-dataset")) / INDIRECT(ADDRESS(ROW(), COLUMN(), 4, TRUE, "Export-dataset")), "" )</f>
        <v>0.89144316730523632</v>
      </c>
      <c r="AY13" s="6" cm="1">
        <f t="array" aca="1" ref="AY13" ca="1">IFERROR( INDIRECT(ADDRESS(ROW()+1, COLUMN(), 4, TRUE, "Export-dataset")) / INDIRECT(ADDRESS(ROW(), COLUMN(), 4, TRUE, "Export-dataset")), "" )</f>
        <v>1.0960384153661464</v>
      </c>
      <c r="AZ13" s="6" cm="1">
        <f t="array" aca="1" ref="AZ13" ca="1">IFERROR( INDIRECT(ADDRESS(ROW()+1, COLUMN(), 4, TRUE, "Export-dataset")) / INDIRECT(ADDRESS(ROW(), COLUMN(), 4, TRUE, "Export-dataset")), "" )</f>
        <v>1.1063916683683888</v>
      </c>
      <c r="BA13" s="6" cm="1">
        <f t="array" aca="1" ref="BA13" ca="1">IFERROR( INDIRECT(ADDRESS(ROW()+1, COLUMN(), 4, TRUE, "Export-dataset")) / INDIRECT(ADDRESS(ROW(), COLUMN(), 4, TRUE, "Export-dataset")), "" )</f>
        <v>0.93724966622162886</v>
      </c>
      <c r="BB13" s="6" cm="1">
        <f t="array" aca="1" ref="BB13" ca="1">IFERROR( INDIRECT(ADDRESS(ROW()+1, COLUMN(), 4, TRUE, "Export-dataset")) / INDIRECT(ADDRESS(ROW(), COLUMN(), 4, TRUE, "Export-dataset")), "" )</f>
        <v>0.94091671818422684</v>
      </c>
      <c r="BC13" s="6" cm="1">
        <f t="array" aca="1" ref="BC13" ca="1">IFERROR( INDIRECT(ADDRESS(ROW()+1, COLUMN(), 4, TRUE, "Export-dataset")) / INDIRECT(ADDRESS(ROW(), COLUMN(), 4, TRUE, "Export-dataset")), "" )</f>
        <v>0.78067632850241542</v>
      </c>
      <c r="BD13" s="6" cm="1">
        <f t="array" aca="1" ref="BD13" ca="1">IFERROR( INDIRECT(ADDRESS(ROW()+1, COLUMN(), 4, TRUE, "Export-dataset")) / INDIRECT(ADDRESS(ROW(), COLUMN(), 4, TRUE, "Export-dataset")), "" )</f>
        <v>1.1480235492010094</v>
      </c>
      <c r="BE13" s="6" cm="1">
        <f t="array" aca="1" ref="BE13" ca="1">IFERROR( INDIRECT(ADDRESS(ROW()+1, COLUMN(), 4, TRUE, "Export-dataset")) / INDIRECT(ADDRESS(ROW(), COLUMN(), 4, TRUE, "Export-dataset")), "" )</f>
        <v>0.8190045248868778</v>
      </c>
      <c r="BF13" s="6" cm="1">
        <f t="array" aca="1" ref="BF13" ca="1">IFERROR( INDIRECT(ADDRESS(ROW()+1, COLUMN(), 4, TRUE, "Export-dataset")) / INDIRECT(ADDRESS(ROW(), COLUMN(), 4, TRUE, "Export-dataset")), "" )</f>
        <v>0.90226876090750441</v>
      </c>
      <c r="BG13" s="6" cm="1">
        <f t="array" aca="1" ref="BG13" ca="1">IFERROR( INDIRECT(ADDRESS(ROW()+1, COLUMN(), 4, TRUE, "Export-dataset")) / INDIRECT(ADDRESS(ROW(), COLUMN(), 4, TRUE, "Export-dataset")), "" )</f>
        <v>0.93488649940262847</v>
      </c>
      <c r="BH13" s="6" cm="1">
        <f t="array" aca="1" ref="BH13" ca="1">IFERROR( INDIRECT(ADDRESS(ROW()+1, COLUMN(), 4, TRUE, "Export-dataset")) / INDIRECT(ADDRESS(ROW(), COLUMN(), 4, TRUE, "Export-dataset")), "" )</f>
        <v>0.87335359675785207</v>
      </c>
      <c r="BI13" s="6" cm="1">
        <f t="array" aca="1" ref="BI13" ca="1">IFERROR( INDIRECT(ADDRESS(ROW()+1, COLUMN(), 4, TRUE, "Export-dataset")) / INDIRECT(ADDRESS(ROW(), COLUMN(), 4, TRUE, "Export-dataset")), "" )</f>
        <v>1.0118858954041206</v>
      </c>
      <c r="BJ13" s="6" cm="1">
        <f t="array" aca="1" ref="BJ13" ca="1">IFERROR( INDIRECT(ADDRESS(ROW()+1, COLUMN(), 4, TRUE, "Export-dataset")) / INDIRECT(ADDRESS(ROW(), COLUMN(), 4, TRUE, "Export-dataset")), "" )</f>
        <v>0.9967897271268058</v>
      </c>
      <c r="BK13" s="6" cm="1">
        <f t="array" aca="1" ref="BK13" ca="1">IFERROR( INDIRECT(ADDRESS(ROW()+1, COLUMN(), 4, TRUE, "Export-dataset")) / INDIRECT(ADDRESS(ROW(), COLUMN(), 4, TRUE, "Export-dataset")), "" )</f>
        <v>0.88089073019161057</v>
      </c>
      <c r="BL13" s="6" cm="1">
        <f t="array" aca="1" ref="BL13" ca="1">IFERROR( INDIRECT(ADDRESS(ROW()+1, COLUMN(), 4, TRUE, "Export-dataset")) / INDIRECT(ADDRESS(ROW(), COLUMN(), 4, TRUE, "Export-dataset")), "" )</f>
        <v>1.0943025540275049</v>
      </c>
      <c r="BM13" s="6" cm="1">
        <f t="array" aca="1" ref="BM13" ca="1">IFERROR( INDIRECT(ADDRESS(ROW()+1, COLUMN(), 4, TRUE, "Export-dataset")) / INDIRECT(ADDRESS(ROW(), COLUMN(), 4, TRUE, "Export-dataset")), "" )</f>
        <v>0.97701149425287359</v>
      </c>
      <c r="BN13" s="6" cm="1">
        <f t="array" aca="1" ref="BN13" ca="1">IFERROR( INDIRECT(ADDRESS(ROW()+1, COLUMN(), 4, TRUE, "Export-dataset")) / INDIRECT(ADDRESS(ROW(), COLUMN(), 4, TRUE, "Export-dataset")), "" )</f>
        <v>1.0103092783505154</v>
      </c>
      <c r="BO13" s="6" cm="1">
        <f t="array" aca="1" ref="BO13" ca="1">IFERROR( INDIRECT(ADDRESS(ROW()+1, COLUMN(), 4, TRUE, "Export-dataset")) / INDIRECT(ADDRESS(ROW(), COLUMN(), 4, TRUE, "Export-dataset")), "" )</f>
        <v>0.8571428571428571</v>
      </c>
      <c r="BP13" s="6" cm="1">
        <f t="array" aca="1" ref="BP13" ca="1">IFERROR( INDIRECT(ADDRESS(ROW()+1, COLUMN(), 4, TRUE, "Export-dataset")) / INDIRECT(ADDRESS(ROW(), COLUMN(), 4, TRUE, "Export-dataset")), "" )</f>
        <v>0.9707446808510638</v>
      </c>
      <c r="BQ13" s="6" cm="1">
        <f t="array" aca="1" ref="BQ13" ca="1">IFERROR( INDIRECT(ADDRESS(ROW()+1, COLUMN(), 4, TRUE, "Export-dataset")) / INDIRECT(ADDRESS(ROW(), COLUMN(), 4, TRUE, "Export-dataset")), "" )</f>
        <v>1.0508474576271187</v>
      </c>
      <c r="BR13" s="6" cm="1">
        <f t="array" aca="1" ref="BR13" ca="1">IFERROR( INDIRECT(ADDRESS(ROW()+1, COLUMN(), 4, TRUE, "Export-dataset")) / INDIRECT(ADDRESS(ROW(), COLUMN(), 4, TRUE, "Export-dataset")), "" )</f>
        <v>1.228169014084507</v>
      </c>
      <c r="BS13" s="6" cm="1">
        <f t="array" aca="1" ref="BS13" ca="1">IFERROR( INDIRECT(ADDRESS(ROW()+1, COLUMN(), 4, TRUE, "Export-dataset")) / INDIRECT(ADDRESS(ROW(), COLUMN(), 4, TRUE, "Export-dataset")), "" )</f>
        <v>1.0090225563909774</v>
      </c>
      <c r="BT13" s="6" cm="1">
        <f t="array" aca="1" ref="BT13" ca="1">IFERROR( INDIRECT(ADDRESS(ROW()+1, COLUMN(), 4, TRUE, "Export-dataset")) / INDIRECT(ADDRESS(ROW(), COLUMN(), 4, TRUE, "Export-dataset")), "" )</f>
        <v>1.1313518696069031</v>
      </c>
      <c r="BU13" s="6" cm="1">
        <f t="array" aca="1" ref="BU13" ca="1">IFERROR( INDIRECT(ADDRESS(ROW()+1, COLUMN(), 4, TRUE, "Export-dataset")) / INDIRECT(ADDRESS(ROW(), COLUMN(), 4, TRUE, "Export-dataset")), "" )</f>
        <v>1.6887028059350668</v>
      </c>
      <c r="BV13" s="6" cm="1">
        <f t="array" aca="1" ref="BV13" ca="1">IFERROR( INDIRECT(ADDRESS(ROW()+1, COLUMN(), 4, TRUE, "Export-dataset")) / INDIRECT(ADDRESS(ROW(), COLUMN(), 4, TRUE, "Export-dataset")), "" )</f>
        <v>1.4452830188679244</v>
      </c>
      <c r="BW13" s="6" cm="1">
        <f t="array" aca="1" ref="BW13" ca="1">IFERROR( INDIRECT(ADDRESS(ROW()+1, COLUMN(), 4, TRUE, "Export-dataset")) / INDIRECT(ADDRESS(ROW(), COLUMN(), 4, TRUE, "Export-dataset")), "" )</f>
        <v>1.0546875</v>
      </c>
      <c r="BX13" s="6" cm="1">
        <f t="array" aca="1" ref="BX13" ca="1">IFERROR( INDIRECT(ADDRESS(ROW()+1, COLUMN(), 4, TRUE, "Export-dataset")) / INDIRECT(ADDRESS(ROW(), COLUMN(), 4, TRUE, "Export-dataset")), "" )</f>
        <v>2</v>
      </c>
      <c r="BY13" s="6" cm="1">
        <f t="array" aca="1" ref="BY13" ca="1">IFERROR( INDIRECT(ADDRESS(ROW()+1, COLUMN(), 4, TRUE, "Export-dataset")) / INDIRECT(ADDRESS(ROW(), COLUMN(), 4, TRUE, "Export-dataset")), "" )</f>
        <v>1.5523055047735121</v>
      </c>
      <c r="BZ13" s="6" cm="1">
        <f t="array" aca="1" ref="BZ13" ca="1">IFERROR( INDIRECT(ADDRESS(ROW()+1, COLUMN(), 4, TRUE, "Export-dataset")) / INDIRECT(ADDRESS(ROW(), COLUMN(), 4, TRUE, "Export-dataset")), "" )</f>
        <v>2.416393442622951</v>
      </c>
      <c r="CA13" s="6" cm="1">
        <f t="array" aca="1" ref="CA13" ca="1">IFERROR( INDIRECT(ADDRESS(ROW()+1, COLUMN(), 4, TRUE, "Export-dataset")) / INDIRECT(ADDRESS(ROW(), COLUMN(), 4, TRUE, "Export-dataset")), "" )</f>
        <v>1.0494987616464206</v>
      </c>
    </row>
    <row r="14" spans="1:79">
      <c r="A14" s="6" t="s">
        <v>171</v>
      </c>
      <c r="B14" s="6" cm="1">
        <f t="array" aca="1" ref="B14" ca="1">IFERROR( INDIRECT(ADDRESS(ROW()+1, COLUMN(), 4, TRUE, "Export-dataset")) / INDIRECT(ADDRESS(ROW(), COLUMN(), 4, TRUE, "Export-dataset")), "" )</f>
        <v>1.0475059382422802</v>
      </c>
      <c r="C14" s="6" cm="1">
        <f t="array" aca="1" ref="C14" ca="1">IFERROR( INDIRECT(ADDRESS(ROW()+1, COLUMN(), 4, TRUE, "Export-dataset")) / INDIRECT(ADDRESS(ROW(), COLUMN(), 4, TRUE, "Export-dataset")), "" )</f>
        <v>1.2310405643738977</v>
      </c>
      <c r="D14" s="6" cm="1">
        <f t="array" aca="1" ref="D14" ca="1">IFERROR( INDIRECT(ADDRESS(ROW()+1, COLUMN(), 4, TRUE, "Export-dataset")) / INDIRECT(ADDRESS(ROW(), COLUMN(), 4, TRUE, "Export-dataset")), "" )</f>
        <v>1.0644336486832011</v>
      </c>
      <c r="E14" s="6" cm="1">
        <f t="array" aca="1" ref="E14" ca="1">IFERROR( INDIRECT(ADDRESS(ROW()+1, COLUMN(), 4, TRUE, "Export-dataset")) / INDIRECT(ADDRESS(ROW(), COLUMN(), 4, TRUE, "Export-dataset")), "" )</f>
        <v>1.031279178338002</v>
      </c>
      <c r="F14" s="6" cm="1">
        <f t="array" aca="1" ref="F14" ca="1">IFERROR( INDIRECT(ADDRESS(ROW()+1, COLUMN(), 4, TRUE, "Export-dataset")) / INDIRECT(ADDRESS(ROW(), COLUMN(), 4, TRUE, "Export-dataset")), "" )</f>
        <v>1.1774193548387097</v>
      </c>
      <c r="G14" s="6" cm="1">
        <f t="array" aca="1" ref="G14" ca="1">IFERROR( INDIRECT(ADDRESS(ROW()+1, COLUMN(), 4, TRUE, "Export-dataset")) / INDIRECT(ADDRESS(ROW(), COLUMN(), 4, TRUE, "Export-dataset")), "" )</f>
        <v>0.9730914889376121</v>
      </c>
      <c r="H14" s="6" cm="1">
        <f t="array" aca="1" ref="H14" ca="1">IFERROR( INDIRECT(ADDRESS(ROW()+1, COLUMN(), 4, TRUE, "Export-dataset")) / INDIRECT(ADDRESS(ROW(), COLUMN(), 4, TRUE, "Export-dataset")), "" )</f>
        <v>1.0502202643171805</v>
      </c>
      <c r="I14" s="6" cm="1">
        <f t="array" aca="1" ref="I14" ca="1">IFERROR( INDIRECT(ADDRESS(ROW()+1, COLUMN(), 4, TRUE, "Export-dataset")) / INDIRECT(ADDRESS(ROW(), COLUMN(), 4, TRUE, "Export-dataset")), "" )</f>
        <v>0.91111111111111109</v>
      </c>
      <c r="J14" s="6" cm="1">
        <f t="array" aca="1" ref="J14" ca="1">IFERROR( INDIRECT(ADDRESS(ROW()+1, COLUMN(), 4, TRUE, "Export-dataset")) / INDIRECT(ADDRESS(ROW(), COLUMN(), 4, TRUE, "Export-dataset")), "" )</f>
        <v>1.2102272727272727</v>
      </c>
      <c r="K14" s="6" cm="1">
        <f t="array" aca="1" ref="K14" ca="1">IFERROR( INDIRECT(ADDRESS(ROW()+1, COLUMN(), 4, TRUE, "Export-dataset")) / INDIRECT(ADDRESS(ROW(), COLUMN(), 4, TRUE, "Export-dataset")), "" )</f>
        <v>1.1486238532110091</v>
      </c>
      <c r="L14" s="6" cm="1">
        <f t="array" aca="1" ref="L14" ca="1">IFERROR( INDIRECT(ADDRESS(ROW()+1, COLUMN(), 4, TRUE, "Export-dataset")) / INDIRECT(ADDRESS(ROW(), COLUMN(), 4, TRUE, "Export-dataset")), "" )</f>
        <v>1.1428571428571428</v>
      </c>
      <c r="M14" s="6" cm="1">
        <f t="array" aca="1" ref="M14" ca="1">IFERROR( INDIRECT(ADDRESS(ROW()+1, COLUMN(), 4, TRUE, "Export-dataset")) / INDIRECT(ADDRESS(ROW(), COLUMN(), 4, TRUE, "Export-dataset")), "" )</f>
        <v>1.21280276816609</v>
      </c>
      <c r="N14" s="6" cm="1">
        <f t="array" aca="1" ref="N14" ca="1">IFERROR( INDIRECT(ADDRESS(ROW()+1, COLUMN(), 4, TRUE, "Export-dataset")) / INDIRECT(ADDRESS(ROW(), COLUMN(), 4, TRUE, "Export-dataset")), "" )</f>
        <v>1.2407749077490775</v>
      </c>
      <c r="O14" s="6" cm="1">
        <f t="array" aca="1" ref="O14" ca="1">IFERROR( INDIRECT(ADDRESS(ROW()+1, COLUMN(), 4, TRUE, "Export-dataset")) / INDIRECT(ADDRESS(ROW(), COLUMN(), 4, TRUE, "Export-dataset")), "" )</f>
        <v>0.81428571428571428</v>
      </c>
      <c r="P14" s="6" cm="1">
        <f t="array" aca="1" ref="P14" ca="1">IFERROR( INDIRECT(ADDRESS(ROW()+1, COLUMN(), 4, TRUE, "Export-dataset")) / INDIRECT(ADDRESS(ROW(), COLUMN(), 4, TRUE, "Export-dataset")), "" )</f>
        <v>0.93064939415936121</v>
      </c>
      <c r="Q14" s="6" cm="1">
        <f t="array" aca="1" ref="Q14" ca="1">IFERROR( INDIRECT(ADDRESS(ROW()+1, COLUMN(), 4, TRUE, "Export-dataset")) / INDIRECT(ADDRESS(ROW(), COLUMN(), 4, TRUE, "Export-dataset")), "" )</f>
        <v>0.67254901960784319</v>
      </c>
      <c r="R14" s="6" cm="1">
        <f t="array" aca="1" ref="R14" ca="1">IFERROR( INDIRECT(ADDRESS(ROW()+1, COLUMN(), 4, TRUE, "Export-dataset")) / INDIRECT(ADDRESS(ROW(), COLUMN(), 4, TRUE, "Export-dataset")), "" )</f>
        <v>1.7190265486725664</v>
      </c>
      <c r="S14" s="6" cm="1">
        <f t="array" aca="1" ref="S14" ca="1">IFERROR( INDIRECT(ADDRESS(ROW()+1, COLUMN(), 4, TRUE, "Export-dataset")) / INDIRECT(ADDRESS(ROW(), COLUMN(), 4, TRUE, "Export-dataset")), "" )</f>
        <v>1.3</v>
      </c>
      <c r="T14" s="6" cm="1">
        <f t="array" aca="1" ref="T14" ca="1">IFERROR( INDIRECT(ADDRESS(ROW()+1, COLUMN(), 4, TRUE, "Export-dataset")) / INDIRECT(ADDRESS(ROW(), COLUMN(), 4, TRUE, "Export-dataset")), "" )</f>
        <v>0.9985693848354793</v>
      </c>
      <c r="U14" s="6" cm="1">
        <f t="array" aca="1" ref="U14" ca="1">IFERROR( INDIRECT(ADDRESS(ROW()+1, COLUMN(), 4, TRUE, "Export-dataset")) / INDIRECT(ADDRESS(ROW(), COLUMN(), 4, TRUE, "Export-dataset")), "" )</f>
        <v>1.3636363636363635</v>
      </c>
      <c r="V14" s="6" cm="1">
        <f t="array" aca="1" ref="V14" ca="1">IFERROR( INDIRECT(ADDRESS(ROW()+1, COLUMN(), 4, TRUE, "Export-dataset")) / INDIRECT(ADDRESS(ROW(), COLUMN(), 4, TRUE, "Export-dataset")), "" )</f>
        <v>0.88207861425716194</v>
      </c>
      <c r="W14" s="6" cm="1">
        <f t="array" aca="1" ref="W14" ca="1">IFERROR( INDIRECT(ADDRESS(ROW()+1, COLUMN(), 4, TRUE, "Export-dataset")) / INDIRECT(ADDRESS(ROW(), COLUMN(), 4, TRUE, "Export-dataset")), "" )</f>
        <v>0.92427616926503342</v>
      </c>
      <c r="X14" s="6" cm="1">
        <f t="array" aca="1" ref="X14" ca="1">IFERROR( INDIRECT(ADDRESS(ROW()+1, COLUMN(), 4, TRUE, "Export-dataset")) / INDIRECT(ADDRESS(ROW(), COLUMN(), 4, TRUE, "Export-dataset")), "" )</f>
        <v>0.92274171584203357</v>
      </c>
      <c r="Y14" s="6" cm="1">
        <f t="array" aca="1" ref="Y14" ca="1">IFERROR( INDIRECT(ADDRESS(ROW()+1, COLUMN(), 4, TRUE, "Export-dataset")) / INDIRECT(ADDRESS(ROW(), COLUMN(), 4, TRUE, "Export-dataset")), "" )</f>
        <v>1.0362903225806452</v>
      </c>
      <c r="Z14" s="6" cm="1">
        <f t="array" aca="1" ref="Z14" ca="1">IFERROR( INDIRECT(ADDRESS(ROW()+1, COLUMN(), 4, TRUE, "Export-dataset")) / INDIRECT(ADDRESS(ROW(), COLUMN(), 4, TRUE, "Export-dataset")), "" )</f>
        <v>0.95934204417324398</v>
      </c>
      <c r="AA14" s="6" cm="1">
        <f t="array" aca="1" ref="AA14" ca="1">IFERROR( INDIRECT(ADDRESS(ROW()+1, COLUMN(), 4, TRUE, "Export-dataset")) / INDIRECT(ADDRESS(ROW(), COLUMN(), 4, TRUE, "Export-dataset")), "" )</f>
        <v>0.8534876637222053</v>
      </c>
      <c r="AB14" s="6" cm="1">
        <f t="array" aca="1" ref="AB14" ca="1">IFERROR( INDIRECT(ADDRESS(ROW()+1, COLUMN(), 4, TRUE, "Export-dataset")) / INDIRECT(ADDRESS(ROW(), COLUMN(), 4, TRUE, "Export-dataset")), "" )</f>
        <v>1.2371072910491998</v>
      </c>
      <c r="AC14" s="6" cm="1">
        <f t="array" aca="1" ref="AC14" ca="1">IFERROR( INDIRECT(ADDRESS(ROW()+1, COLUMN(), 4, TRUE, "Export-dataset")) / INDIRECT(ADDRESS(ROW(), COLUMN(), 4, TRUE, "Export-dataset")), "" )</f>
        <v>1.013477088948787</v>
      </c>
      <c r="AD14" s="6" cm="1">
        <f t="array" aca="1" ref="AD14" ca="1">IFERROR( INDIRECT(ADDRESS(ROW()+1, COLUMN(), 4, TRUE, "Export-dataset")) / INDIRECT(ADDRESS(ROW(), COLUMN(), 4, TRUE, "Export-dataset")), "" )</f>
        <v>0.84155844155844151</v>
      </c>
      <c r="AE14" s="6" cm="1">
        <f t="array" aca="1" ref="AE14" ca="1">IFERROR( INDIRECT(ADDRESS(ROW()+1, COLUMN(), 4, TRUE, "Export-dataset")) / INDIRECT(ADDRESS(ROW(), COLUMN(), 4, TRUE, "Export-dataset")), "" )</f>
        <v>0.85283018867924532</v>
      </c>
      <c r="AF14" s="6" cm="1">
        <f t="array" aca="1" ref="AF14" ca="1">IFERROR( INDIRECT(ADDRESS(ROW()+1, COLUMN(), 4, TRUE, "Export-dataset")) / INDIRECT(ADDRESS(ROW(), COLUMN(), 4, TRUE, "Export-dataset")), "" )</f>
        <v>0.72857142857142854</v>
      </c>
      <c r="AG14" s="6" cm="1">
        <f t="array" aca="1" ref="AG14" ca="1">IFERROR( INDIRECT(ADDRESS(ROW()+1, COLUMN(), 4, TRUE, "Export-dataset")) / INDIRECT(ADDRESS(ROW(), COLUMN(), 4, TRUE, "Export-dataset")), "" )</f>
        <v>1.02</v>
      </c>
      <c r="AH14" s="6" cm="1">
        <f t="array" aca="1" ref="AH14" ca="1">IFERROR( INDIRECT(ADDRESS(ROW()+1, COLUMN(), 4, TRUE, "Export-dataset")) / INDIRECT(ADDRESS(ROW(), COLUMN(), 4, TRUE, "Export-dataset")), "" )</f>
        <v>1.1378801299084735</v>
      </c>
      <c r="AI14" s="6" cm="1">
        <f t="array" aca="1" ref="AI14" ca="1">IFERROR( INDIRECT(ADDRESS(ROW()+1, COLUMN(), 4, TRUE, "Export-dataset")) / INDIRECT(ADDRESS(ROW(), COLUMN(), 4, TRUE, "Export-dataset")), "" )</f>
        <v>1.1438848920863309</v>
      </c>
      <c r="AJ14" s="6" cm="1">
        <f t="array" aca="1" ref="AJ14" ca="1">IFERROR( INDIRECT(ADDRESS(ROW()+1, COLUMN(), 4, TRUE, "Export-dataset")) / INDIRECT(ADDRESS(ROW(), COLUMN(), 4, TRUE, "Export-dataset")), "" )</f>
        <v>1.2025316455696202</v>
      </c>
      <c r="AK14" s="6" cm="1">
        <f t="array" aca="1" ref="AK14" ca="1">IFERROR( INDIRECT(ADDRESS(ROW()+1, COLUMN(), 4, TRUE, "Export-dataset")) / INDIRECT(ADDRESS(ROW(), COLUMN(), 4, TRUE, "Export-dataset")), "" )</f>
        <v>0.99809523809523815</v>
      </c>
      <c r="AL14" s="6" cm="1">
        <f t="array" aca="1" ref="AL14" ca="1">IFERROR( INDIRECT(ADDRESS(ROW()+1, COLUMN(), 4, TRUE, "Export-dataset")) / INDIRECT(ADDRESS(ROW(), COLUMN(), 4, TRUE, "Export-dataset")), "" )</f>
        <v>1.2089795918367348</v>
      </c>
      <c r="AM14" s="6" cm="1">
        <f t="array" aca="1" ref="AM14" ca="1">IFERROR( INDIRECT(ADDRESS(ROW()+1, COLUMN(), 4, TRUE, "Export-dataset")) / INDIRECT(ADDRESS(ROW(), COLUMN(), 4, TRUE, "Export-dataset")), "" )</f>
        <v>1.1802120141342756</v>
      </c>
      <c r="AN14" s="6" cm="1">
        <f t="array" aca="1" ref="AN14" ca="1">IFERROR( INDIRECT(ADDRESS(ROW()+1, COLUMN(), 4, TRUE, "Export-dataset")) / INDIRECT(ADDRESS(ROW(), COLUMN(), 4, TRUE, "Export-dataset")), "" )</f>
        <v>0.96875</v>
      </c>
      <c r="AO14" s="6" cm="1">
        <f t="array" aca="1" ref="AO14" ca="1">IFERROR( INDIRECT(ADDRESS(ROW()+1, COLUMN(), 4, TRUE, "Export-dataset")) / INDIRECT(ADDRESS(ROW(), COLUMN(), 4, TRUE, "Export-dataset")), "" )</f>
        <v>0.97890295358649793</v>
      </c>
      <c r="AP14" s="6" cm="1">
        <f t="array" aca="1" ref="AP14" ca="1">IFERROR( INDIRECT(ADDRESS(ROW()+1, COLUMN(), 4, TRUE, "Export-dataset")) / INDIRECT(ADDRESS(ROW(), COLUMN(), 4, TRUE, "Export-dataset")), "" )</f>
        <v>1.0853658536585367</v>
      </c>
      <c r="AQ14" s="6" cm="1">
        <f t="array" aca="1" ref="AQ14" ca="1">IFERROR( INDIRECT(ADDRESS(ROW()+1, COLUMN(), 4, TRUE, "Export-dataset")) / INDIRECT(ADDRESS(ROW(), COLUMN(), 4, TRUE, "Export-dataset")), "" )</f>
        <v>1.1477516059957173</v>
      </c>
      <c r="AR14" s="6" cm="1">
        <f t="array" aca="1" ref="AR14" ca="1">IFERROR( INDIRECT(ADDRESS(ROW()+1, COLUMN(), 4, TRUE, "Export-dataset")) / INDIRECT(ADDRESS(ROW(), COLUMN(), 4, TRUE, "Export-dataset")), "" )</f>
        <v>1.0244651252038761</v>
      </c>
      <c r="AS14" s="6" cm="1">
        <f t="array" aca="1" ref="AS14" ca="1">IFERROR( INDIRECT(ADDRESS(ROW()+1, COLUMN(), 4, TRUE, "Export-dataset")) / INDIRECT(ADDRESS(ROW(), COLUMN(), 4, TRUE, "Export-dataset")), "" )</f>
        <v>0.86519114688128773</v>
      </c>
      <c r="AT14" s="6" cm="1">
        <f t="array" aca="1" ref="AT14" ca="1">IFERROR( INDIRECT(ADDRESS(ROW()+1, COLUMN(), 4, TRUE, "Export-dataset")) / INDIRECT(ADDRESS(ROW(), COLUMN(), 4, TRUE, "Export-dataset")), "" )</f>
        <v>1.0650887573964498</v>
      </c>
      <c r="AU14" s="6" cm="1">
        <f t="array" aca="1" ref="AU14" ca="1">IFERROR( INDIRECT(ADDRESS(ROW()+1, COLUMN(), 4, TRUE, "Export-dataset")) / INDIRECT(ADDRESS(ROW(), COLUMN(), 4, TRUE, "Export-dataset")), "" )</f>
        <v>1.3269230769230769</v>
      </c>
      <c r="AV14" s="6" cm="1">
        <f t="array" aca="1" ref="AV14" ca="1">IFERROR( INDIRECT(ADDRESS(ROW()+1, COLUMN(), 4, TRUE, "Export-dataset")) / INDIRECT(ADDRESS(ROW(), COLUMN(), 4, TRUE, "Export-dataset")), "" )</f>
        <v>1.1163895486935866</v>
      </c>
      <c r="AW14" s="6" cm="1">
        <f t="array" aca="1" ref="AW14" ca="1">IFERROR( INDIRECT(ADDRESS(ROW()+1, COLUMN(), 4, TRUE, "Export-dataset")) / INDIRECT(ADDRESS(ROW(), COLUMN(), 4, TRUE, "Export-dataset")), "" )</f>
        <v>1.0185497470489038</v>
      </c>
      <c r="AX14" s="6" cm="1">
        <f t="array" aca="1" ref="AX14" ca="1">IFERROR( INDIRECT(ADDRESS(ROW()+1, COLUMN(), 4, TRUE, "Export-dataset")) / INDIRECT(ADDRESS(ROW(), COLUMN(), 4, TRUE, "Export-dataset")), "" )</f>
        <v>1.2435530085959885</v>
      </c>
      <c r="AY14" s="6" cm="1">
        <f t="array" aca="1" ref="AY14" ca="1">IFERROR( INDIRECT(ADDRESS(ROW()+1, COLUMN(), 4, TRUE, "Export-dataset")) / INDIRECT(ADDRESS(ROW(), COLUMN(), 4, TRUE, "Export-dataset")), "" )</f>
        <v>0.7458926615553122</v>
      </c>
      <c r="AZ14" s="6" cm="1">
        <f t="array" aca="1" ref="AZ14" ca="1">IFERROR( INDIRECT(ADDRESS(ROW()+1, COLUMN(), 4, TRUE, "Export-dataset")) / INDIRECT(ADDRESS(ROW(), COLUMN(), 4, TRUE, "Export-dataset")), "" )</f>
        <v>1.1026208933185677</v>
      </c>
      <c r="BA14" s="6" cm="1">
        <f t="array" aca="1" ref="BA14" ca="1">IFERROR( INDIRECT(ADDRESS(ROW()+1, COLUMN(), 4, TRUE, "Export-dataset")) / INDIRECT(ADDRESS(ROW(), COLUMN(), 4, TRUE, "Export-dataset")), "" )</f>
        <v>0.93732193732193736</v>
      </c>
      <c r="BB14" s="6" cm="1">
        <f t="array" aca="1" ref="BB14" ca="1">IFERROR( INDIRECT(ADDRESS(ROW()+1, COLUMN(), 4, TRUE, "Export-dataset")) / INDIRECT(ADDRESS(ROW(), COLUMN(), 4, TRUE, "Export-dataset")), "" )</f>
        <v>1.0312558663412803</v>
      </c>
      <c r="BC14" s="6" cm="1">
        <f t="array" aca="1" ref="BC14" ca="1">IFERROR( INDIRECT(ADDRESS(ROW()+1, COLUMN(), 4, TRUE, "Export-dataset")) / INDIRECT(ADDRESS(ROW(), COLUMN(), 4, TRUE, "Export-dataset")), "" )</f>
        <v>0.98143564356435642</v>
      </c>
      <c r="BD14" s="6" cm="1">
        <f t="array" aca="1" ref="BD14" ca="1">IFERROR( INDIRECT(ADDRESS(ROW()+1, COLUMN(), 4, TRUE, "Export-dataset")) / INDIRECT(ADDRESS(ROW(), COLUMN(), 4, TRUE, "Export-dataset")), "" )</f>
        <v>0.80293040293040296</v>
      </c>
      <c r="BE14" s="6" cm="1">
        <f t="array" aca="1" ref="BE14" ca="1">IFERROR( INDIRECT(ADDRESS(ROW()+1, COLUMN(), 4, TRUE, "Export-dataset")) / INDIRECT(ADDRESS(ROW(), COLUMN(), 4, TRUE, "Export-dataset")), "" )</f>
        <v>1.0883977900552486</v>
      </c>
      <c r="BF14" s="6" cm="1">
        <f t="array" aca="1" ref="BF14" ca="1">IFERROR( INDIRECT(ADDRESS(ROW()+1, COLUMN(), 4, TRUE, "Export-dataset")) / INDIRECT(ADDRESS(ROW(), COLUMN(), 4, TRUE, "Export-dataset")), "" )</f>
        <v>0.99516441005802703</v>
      </c>
      <c r="BG14" s="6" cm="1">
        <f t="array" aca="1" ref="BG14" ca="1">IFERROR( INDIRECT(ADDRESS(ROW()+1, COLUMN(), 4, TRUE, "Export-dataset")) / INDIRECT(ADDRESS(ROW(), COLUMN(), 4, TRUE, "Export-dataset")), "" )</f>
        <v>0.89776357827476039</v>
      </c>
      <c r="BH14" s="6" cm="1">
        <f t="array" aca="1" ref="BH14" ca="1">IFERROR( INDIRECT(ADDRESS(ROW()+1, COLUMN(), 4, TRUE, "Export-dataset")) / INDIRECT(ADDRESS(ROW(), COLUMN(), 4, TRUE, "Export-dataset")), "" )</f>
        <v>1.0510440835266821</v>
      </c>
      <c r="BI14" s="6" cm="1">
        <f t="array" aca="1" ref="BI14" ca="1">IFERROR( INDIRECT(ADDRESS(ROW()+1, COLUMN(), 4, TRUE, "Export-dataset")) / INDIRECT(ADDRESS(ROW(), COLUMN(), 4, TRUE, "Export-dataset")), "" )</f>
        <v>1.0164447924823805</v>
      </c>
      <c r="BJ14" s="6" cm="1">
        <f t="array" aca="1" ref="BJ14" ca="1">IFERROR( INDIRECT(ADDRESS(ROW()+1, COLUMN(), 4, TRUE, "Export-dataset")) / INDIRECT(ADDRESS(ROW(), COLUMN(), 4, TRUE, "Export-dataset")), "" )</f>
        <v>1.3102522812667741</v>
      </c>
      <c r="BK14" s="6" cm="1">
        <f t="array" aca="1" ref="BK14" ca="1">IFERROR( INDIRECT(ADDRESS(ROW()+1, COLUMN(), 4, TRUE, "Export-dataset")) / INDIRECT(ADDRESS(ROW(), COLUMN(), 4, TRUE, "Export-dataset")), "" )</f>
        <v>1.0717225161669606</v>
      </c>
      <c r="BL14" s="6" cm="1">
        <f t="array" aca="1" ref="BL14" ca="1">IFERROR( INDIRECT(ADDRESS(ROW()+1, COLUMN(), 4, TRUE, "Export-dataset")) / INDIRECT(ADDRESS(ROW(), COLUMN(), 4, TRUE, "Export-dataset")), "" )</f>
        <v>1.0843806104129263</v>
      </c>
      <c r="BM14" s="6" cm="1">
        <f t="array" aca="1" ref="BM14" ca="1">IFERROR( INDIRECT(ADDRESS(ROW()+1, COLUMN(), 4, TRUE, "Export-dataset")) / INDIRECT(ADDRESS(ROW(), COLUMN(), 4, TRUE, "Export-dataset")), "" )</f>
        <v>0.90588235294117647</v>
      </c>
      <c r="BN14" s="6" cm="1">
        <f t="array" aca="1" ref="BN14" ca="1">IFERROR( INDIRECT(ADDRESS(ROW()+1, COLUMN(), 4, TRUE, "Export-dataset")) / INDIRECT(ADDRESS(ROW(), COLUMN(), 4, TRUE, "Export-dataset")), "" )</f>
        <v>1.2959183673469388</v>
      </c>
      <c r="BO14" s="6" cm="1">
        <f t="array" aca="1" ref="BO14" ca="1">IFERROR( INDIRECT(ADDRESS(ROW()+1, COLUMN(), 4, TRUE, "Export-dataset")) / INDIRECT(ADDRESS(ROW(), COLUMN(), 4, TRUE, "Export-dataset")), "" )</f>
        <v>1</v>
      </c>
      <c r="BP14" s="6" cm="1">
        <f t="array" aca="1" ref="BP14" ca="1">IFERROR( INDIRECT(ADDRESS(ROW()+1, COLUMN(), 4, TRUE, "Export-dataset")) / INDIRECT(ADDRESS(ROW(), COLUMN(), 4, TRUE, "Export-dataset")), "" )</f>
        <v>0.9068493150684932</v>
      </c>
      <c r="BQ14" s="6" cm="1">
        <f t="array" aca="1" ref="BQ14" ca="1">IFERROR( INDIRECT(ADDRESS(ROW()+1, COLUMN(), 4, TRUE, "Export-dataset")) / INDIRECT(ADDRESS(ROW(), COLUMN(), 4, TRUE, "Export-dataset")), "" )</f>
        <v>1.0161290322580645</v>
      </c>
      <c r="BR14" s="6" cm="1">
        <f t="array" aca="1" ref="BR14" ca="1">IFERROR( INDIRECT(ADDRESS(ROW()+1, COLUMN(), 4, TRUE, "Export-dataset")) / INDIRECT(ADDRESS(ROW(), COLUMN(), 4, TRUE, "Export-dataset")), "" )</f>
        <v>1.1513761467889909</v>
      </c>
      <c r="BS14" s="6" cm="1">
        <f t="array" aca="1" ref="BS14" ca="1">IFERROR( INDIRECT(ADDRESS(ROW()+1, COLUMN(), 4, TRUE, "Export-dataset")) / INDIRECT(ADDRESS(ROW(), COLUMN(), 4, TRUE, "Export-dataset")), "" )</f>
        <v>1.1684053651266766</v>
      </c>
      <c r="BT14" s="6" cm="1">
        <f t="array" aca="1" ref="BT14" ca="1">IFERROR( INDIRECT(ADDRESS(ROW()+1, COLUMN(), 4, TRUE, "Export-dataset")) / INDIRECT(ADDRESS(ROW(), COLUMN(), 4, TRUE, "Export-dataset")), "" )</f>
        <v>1.0338983050847457</v>
      </c>
      <c r="BU14" s="6" cm="1">
        <f t="array" aca="1" ref="BU14" ca="1">IFERROR( INDIRECT(ADDRESS(ROW()+1, COLUMN(), 4, TRUE, "Export-dataset")) / INDIRECT(ADDRESS(ROW(), COLUMN(), 4, TRUE, "Export-dataset")), "" )</f>
        <v>0.7843410178338408</v>
      </c>
      <c r="BV14" s="6" cm="1">
        <f t="array" aca="1" ref="BV14" ca="1">IFERROR( INDIRECT(ADDRESS(ROW()+1, COLUMN(), 4, TRUE, "Export-dataset")) / INDIRECT(ADDRESS(ROW(), COLUMN(), 4, TRUE, "Export-dataset")), "" )</f>
        <v>2.3590078328981723</v>
      </c>
      <c r="BW14" s="6" cm="1">
        <f t="array" aca="1" ref="BW14" ca="1">IFERROR( INDIRECT(ADDRESS(ROW()+1, COLUMN(), 4, TRUE, "Export-dataset")) / INDIRECT(ADDRESS(ROW(), COLUMN(), 4, TRUE, "Export-dataset")), "" )</f>
        <v>0.72592592592592597</v>
      </c>
      <c r="BX14" s="6" cm="1">
        <f t="array" aca="1" ref="BX14" ca="1">IFERROR( INDIRECT(ADDRESS(ROW()+1, COLUMN(), 4, TRUE, "Export-dataset")) / INDIRECT(ADDRESS(ROW(), COLUMN(), 4, TRUE, "Export-dataset")), "" )</f>
        <v>4</v>
      </c>
      <c r="BY14" s="6" cm="1">
        <f t="array" aca="1" ref="BY14" ca="1">IFERROR( INDIRECT(ADDRESS(ROW()+1, COLUMN(), 4, TRUE, "Export-dataset")) / INDIRECT(ADDRESS(ROW(), COLUMN(), 4, TRUE, "Export-dataset")), "" )</f>
        <v>0.62941638314577331</v>
      </c>
      <c r="BZ14" s="6" cm="1">
        <f t="array" aca="1" ref="BZ14" ca="1">IFERROR( INDIRECT(ADDRESS(ROW()+1, COLUMN(), 4, TRUE, "Export-dataset")) / INDIRECT(ADDRESS(ROW(), COLUMN(), 4, TRUE, "Export-dataset")), "" )</f>
        <v>0.77849389416553594</v>
      </c>
      <c r="CA14" s="6" cm="1">
        <f t="array" aca="1" ref="CA14" ca="1">IFERROR( INDIRECT(ADDRESS(ROW()+1, COLUMN(), 4, TRUE, "Export-dataset")) / INDIRECT(ADDRESS(ROW(), COLUMN(), 4, TRUE, "Export-dataset")), "" )</f>
        <v>0.9764684729230112</v>
      </c>
    </row>
    <row r="15" spans="1:79">
      <c r="A15" s="6" t="s">
        <v>172</v>
      </c>
      <c r="B15" s="6" cm="1">
        <f t="array" aca="1" ref="B15" ca="1">IFERROR( INDIRECT(ADDRESS(ROW()+1, COLUMN(), 4, TRUE, "Export-dataset")) / INDIRECT(ADDRESS(ROW(), COLUMN(), 4, TRUE, "Export-dataset")), "" )</f>
        <v>1.1945704207608969</v>
      </c>
      <c r="C15" s="6" cm="1">
        <f t="array" aca="1" ref="C15" ca="1">IFERROR( INDIRECT(ADDRESS(ROW()+1, COLUMN(), 4, TRUE, "Export-dataset")) / INDIRECT(ADDRESS(ROW(), COLUMN(), 4, TRUE, "Export-dataset")), "" )</f>
        <v>1.1432664756446991</v>
      </c>
      <c r="D15" s="6" cm="1">
        <f t="array" aca="1" ref="D15" ca="1">IFERROR( INDIRECT(ADDRESS(ROW()+1, COLUMN(), 4, TRUE, "Export-dataset")) / INDIRECT(ADDRESS(ROW(), COLUMN(), 4, TRUE, "Export-dataset")), "" )</f>
        <v>1.2101849627672352</v>
      </c>
      <c r="E15" s="6" cm="1">
        <f t="array" aca="1" ref="E15" ca="1">IFERROR( INDIRECT(ADDRESS(ROW()+1, COLUMN(), 4, TRUE, "Export-dataset")) / INDIRECT(ADDRESS(ROW(), COLUMN(), 4, TRUE, "Export-dataset")), "" )</f>
        <v>1.2331371661385242</v>
      </c>
      <c r="F15" s="6" cm="1">
        <f t="array" aca="1" ref="F15" ca="1">IFERROR( INDIRECT(ADDRESS(ROW()+1, COLUMN(), 4, TRUE, "Export-dataset")) / INDIRECT(ADDRESS(ROW(), COLUMN(), 4, TRUE, "Export-dataset")), "" )</f>
        <v>1.2184571016582553</v>
      </c>
      <c r="G15" s="6" cm="1">
        <f t="array" aca="1" ref="G15" ca="1">IFERROR( INDIRECT(ADDRESS(ROW()+1, COLUMN(), 4, TRUE, "Export-dataset")) / INDIRECT(ADDRESS(ROW(), COLUMN(), 4, TRUE, "Export-dataset")), "" )</f>
        <v>1.1073330602212208</v>
      </c>
      <c r="H15" s="6" cm="1">
        <f t="array" aca="1" ref="H15" ca="1">IFERROR( INDIRECT(ADDRESS(ROW()+1, COLUMN(), 4, TRUE, "Export-dataset")) / INDIRECT(ADDRESS(ROW(), COLUMN(), 4, TRUE, "Export-dataset")), "" )</f>
        <v>1.2248322147651007</v>
      </c>
      <c r="I15" s="6" cm="1">
        <f t="array" aca="1" ref="I15" ca="1">IFERROR( INDIRECT(ADDRESS(ROW()+1, COLUMN(), 4, TRUE, "Export-dataset")) / INDIRECT(ADDRESS(ROW(), COLUMN(), 4, TRUE, "Export-dataset")), "" )</f>
        <v>1.274390243902439</v>
      </c>
      <c r="J15" s="6" cm="1">
        <f t="array" aca="1" ref="J15" ca="1">IFERROR( INDIRECT(ADDRESS(ROW()+1, COLUMN(), 4, TRUE, "Export-dataset")) / INDIRECT(ADDRESS(ROW(), COLUMN(), 4, TRUE, "Export-dataset")), "" )</f>
        <v>1.2065727699530517</v>
      </c>
      <c r="K15" s="6" cm="1">
        <f t="array" aca="1" ref="K15" ca="1">IFERROR( INDIRECT(ADDRESS(ROW()+1, COLUMN(), 4, TRUE, "Export-dataset")) / INDIRECT(ADDRESS(ROW(), COLUMN(), 4, TRUE, "Export-dataset")), "" )</f>
        <v>1.560702875399361</v>
      </c>
      <c r="L15" s="6" cm="1">
        <f t="array" aca="1" ref="L15" ca="1">IFERROR( INDIRECT(ADDRESS(ROW()+1, COLUMN(), 4, TRUE, "Export-dataset")) / INDIRECT(ADDRESS(ROW(), COLUMN(), 4, TRUE, "Export-dataset")), "" )</f>
        <v>1.2063953488372092</v>
      </c>
      <c r="M15" s="6" cm="1">
        <f t="array" aca="1" ref="M15" ca="1">IFERROR( INDIRECT(ADDRESS(ROW()+1, COLUMN(), 4, TRUE, "Export-dataset")) / INDIRECT(ADDRESS(ROW(), COLUMN(), 4, TRUE, "Export-dataset")), "" )</f>
        <v>1.2624821683309557</v>
      </c>
      <c r="N15" s="6" cm="1">
        <f t="array" aca="1" ref="N15" ca="1">IFERROR( INDIRECT(ADDRESS(ROW()+1, COLUMN(), 4, TRUE, "Export-dataset")) / INDIRECT(ADDRESS(ROW(), COLUMN(), 4, TRUE, "Export-dataset")), "" )</f>
        <v>1.275092936802974</v>
      </c>
      <c r="O15" s="6" cm="1">
        <f t="array" aca="1" ref="O15" ca="1">IFERROR( INDIRECT(ADDRESS(ROW()+1, COLUMN(), 4, TRUE, "Export-dataset")) / INDIRECT(ADDRESS(ROW(), COLUMN(), 4, TRUE, "Export-dataset")), "" )</f>
        <v>0.98245614035087714</v>
      </c>
      <c r="P15" s="6" cm="1">
        <f t="array" aca="1" ref="P15" ca="1">IFERROR( INDIRECT(ADDRESS(ROW()+1, COLUMN(), 4, TRUE, "Export-dataset")) / INDIRECT(ADDRESS(ROW(), COLUMN(), 4, TRUE, "Export-dataset")), "" )</f>
        <v>1.2740745185096298</v>
      </c>
      <c r="Q15" s="6" cm="1">
        <f t="array" aca="1" ref="Q15" ca="1">IFERROR( INDIRECT(ADDRESS(ROW()+1, COLUMN(), 4, TRUE, "Export-dataset")) / INDIRECT(ADDRESS(ROW(), COLUMN(), 4, TRUE, "Export-dataset")), "" )</f>
        <v>1.7317784256559767</v>
      </c>
      <c r="R15" s="6" cm="1">
        <f t="array" aca="1" ref="R15" ca="1">IFERROR( INDIRECT(ADDRESS(ROW()+1, COLUMN(), 4, TRUE, "Export-dataset")) / INDIRECT(ADDRESS(ROW(), COLUMN(), 4, TRUE, "Export-dataset")), "" )</f>
        <v>0.93050193050193053</v>
      </c>
      <c r="S15" s="6" cm="1">
        <f t="array" aca="1" ref="S15" ca="1">IFERROR( INDIRECT(ADDRESS(ROW()+1, COLUMN(), 4, TRUE, "Export-dataset")) / INDIRECT(ADDRESS(ROW(), COLUMN(), 4, TRUE, "Export-dataset")), "" )</f>
        <v>0.84615384615384615</v>
      </c>
      <c r="T15" s="6" cm="1">
        <f t="array" aca="1" ref="T15" ca="1">IFERROR( INDIRECT(ADDRESS(ROW()+1, COLUMN(), 4, TRUE, "Export-dataset")) / INDIRECT(ADDRESS(ROW(), COLUMN(), 4, TRUE, "Export-dataset")), "" )</f>
        <v>1.2478510028653296</v>
      </c>
      <c r="U15" s="6" cm="1">
        <f t="array" aca="1" ref="U15" ca="1">IFERROR( INDIRECT(ADDRESS(ROW()+1, COLUMN(), 4, TRUE, "Export-dataset")) / INDIRECT(ADDRESS(ROW(), COLUMN(), 4, TRUE, "Export-dataset")), "" )</f>
        <v>1.7333333333333334</v>
      </c>
      <c r="V15" s="6" cm="1">
        <f t="array" aca="1" ref="V15" ca="1">IFERROR( INDIRECT(ADDRESS(ROW()+1, COLUMN(), 4, TRUE, "Export-dataset")) / INDIRECT(ADDRESS(ROW(), COLUMN(), 4, TRUE, "Export-dataset")), "" )</f>
        <v>1.2283484390735147</v>
      </c>
      <c r="W15" s="6" cm="1">
        <f t="array" aca="1" ref="W15" ca="1">IFERROR( INDIRECT(ADDRESS(ROW()+1, COLUMN(), 4, TRUE, "Export-dataset")) / INDIRECT(ADDRESS(ROW(), COLUMN(), 4, TRUE, "Export-dataset")), "" )</f>
        <v>1.0867469879518072</v>
      </c>
      <c r="X15" s="6" cm="1">
        <f t="array" aca="1" ref="X15" ca="1">IFERROR( INDIRECT(ADDRESS(ROW()+1, COLUMN(), 4, TRUE, "Export-dataset")) / INDIRECT(ADDRESS(ROW(), COLUMN(), 4, TRUE, "Export-dataset")), "" )</f>
        <v>1.3166076347894529</v>
      </c>
      <c r="Y15" s="6" cm="1">
        <f t="array" aca="1" ref="Y15" ca="1">IFERROR( INDIRECT(ADDRESS(ROW()+1, COLUMN(), 4, TRUE, "Export-dataset")) / INDIRECT(ADDRESS(ROW(), COLUMN(), 4, TRUE, "Export-dataset")), "" )</f>
        <v>1.0622568093385214</v>
      </c>
      <c r="Z15" s="6" cm="1">
        <f t="array" aca="1" ref="Z15" ca="1">IFERROR( INDIRECT(ADDRESS(ROW()+1, COLUMN(), 4, TRUE, "Export-dataset")) / INDIRECT(ADDRESS(ROW(), COLUMN(), 4, TRUE, "Export-dataset")), "" )</f>
        <v>1.5929894911504425</v>
      </c>
      <c r="AA15" s="6" cm="1">
        <f t="array" aca="1" ref="AA15" ca="1">IFERROR( INDIRECT(ADDRESS(ROW()+1, COLUMN(), 4, TRUE, "Export-dataset")) / INDIRECT(ADDRESS(ROW(), COLUMN(), 4, TRUE, "Export-dataset")), "" )</f>
        <v>1.1121817749226743</v>
      </c>
      <c r="AB15" s="6" cm="1">
        <f t="array" aca="1" ref="AB15" ca="1">IFERROR( INDIRECT(ADDRESS(ROW()+1, COLUMN(), 4, TRUE, "Export-dataset")) / INDIRECT(ADDRESS(ROW(), COLUMN(), 4, TRUE, "Export-dataset")), "" )</f>
        <v>2.507187350263536</v>
      </c>
      <c r="AC15" s="6" cm="1">
        <f t="array" aca="1" ref="AC15" ca="1">IFERROR( INDIRECT(ADDRESS(ROW()+1, COLUMN(), 4, TRUE, "Export-dataset")) / INDIRECT(ADDRESS(ROW(), COLUMN(), 4, TRUE, "Export-dataset")), "" )</f>
        <v>1.7164893617021277</v>
      </c>
      <c r="AD15" s="6" cm="1">
        <f t="array" aca="1" ref="AD15" ca="1">IFERROR( INDIRECT(ADDRESS(ROW()+1, COLUMN(), 4, TRUE, "Export-dataset")) / INDIRECT(ADDRESS(ROW(), COLUMN(), 4, TRUE, "Export-dataset")), "" )</f>
        <v>0.94135802469135799</v>
      </c>
      <c r="AE15" s="6" cm="1">
        <f t="array" aca="1" ref="AE15" ca="1">IFERROR( INDIRECT(ADDRESS(ROW()+1, COLUMN(), 4, TRUE, "Export-dataset")) / INDIRECT(ADDRESS(ROW(), COLUMN(), 4, TRUE, "Export-dataset")), "" )</f>
        <v>0.95132743362831862</v>
      </c>
      <c r="AF15" s="6" cm="1">
        <f t="array" aca="1" ref="AF15" ca="1">IFERROR( INDIRECT(ADDRESS(ROW()+1, COLUMN(), 4, TRUE, "Export-dataset")) / INDIRECT(ADDRESS(ROW(), COLUMN(), 4, TRUE, "Export-dataset")), "" )</f>
        <v>0.82352941176470584</v>
      </c>
      <c r="AG15" s="6" cm="1">
        <f t="array" aca="1" ref="AG15" ca="1">IFERROR( INDIRECT(ADDRESS(ROW()+1, COLUMN(), 4, TRUE, "Export-dataset")) / INDIRECT(ADDRESS(ROW(), COLUMN(), 4, TRUE, "Export-dataset")), "" )</f>
        <v>0.98039215686274506</v>
      </c>
      <c r="AH15" s="6" cm="1">
        <f t="array" aca="1" ref="AH15" ca="1">IFERROR( INDIRECT(ADDRESS(ROW()+1, COLUMN(), 4, TRUE, "Export-dataset")) / INDIRECT(ADDRESS(ROW(), COLUMN(), 4, TRUE, "Export-dataset")), "" )</f>
        <v>1.2239231966787754</v>
      </c>
      <c r="AI15" s="6" cm="1">
        <f t="array" aca="1" ref="AI15" ca="1">IFERROR( INDIRECT(ADDRESS(ROW()+1, COLUMN(), 4, TRUE, "Export-dataset")) / INDIRECT(ADDRESS(ROW(), COLUMN(), 4, TRUE, "Export-dataset")), "" )</f>
        <v>0.77358490566037741</v>
      </c>
      <c r="AJ15" s="6" cm="1">
        <f t="array" aca="1" ref="AJ15" ca="1">IFERROR( INDIRECT(ADDRESS(ROW()+1, COLUMN(), 4, TRUE, "Export-dataset")) / INDIRECT(ADDRESS(ROW(), COLUMN(), 4, TRUE, "Export-dataset")), "" )</f>
        <v>1.2868421052631578</v>
      </c>
      <c r="AK15" s="6" cm="1">
        <f t="array" aca="1" ref="AK15" ca="1">IFERROR( INDIRECT(ADDRESS(ROW()+1, COLUMN(), 4, TRUE, "Export-dataset")) / INDIRECT(ADDRESS(ROW(), COLUMN(), 4, TRUE, "Export-dataset")), "" )</f>
        <v>1.1832061068702291</v>
      </c>
      <c r="AL15" s="6" cm="1">
        <f t="array" aca="1" ref="AL15" ca="1">IFERROR( INDIRECT(ADDRESS(ROW()+1, COLUMN(), 4, TRUE, "Export-dataset")) / INDIRECT(ADDRESS(ROW(), COLUMN(), 4, TRUE, "Export-dataset")), "" )</f>
        <v>1.361242403781229</v>
      </c>
      <c r="AM15" s="6" cm="1">
        <f t="array" aca="1" ref="AM15" ca="1">IFERROR( INDIRECT(ADDRESS(ROW()+1, COLUMN(), 4, TRUE, "Export-dataset")) / INDIRECT(ADDRESS(ROW(), COLUMN(), 4, TRUE, "Export-dataset")), "" )</f>
        <v>1.1287425149700598</v>
      </c>
      <c r="AN15" s="6" cm="1">
        <f t="array" aca="1" ref="AN15" ca="1">IFERROR( INDIRECT(ADDRESS(ROW()+1, COLUMN(), 4, TRUE, "Export-dataset")) / INDIRECT(ADDRESS(ROW(), COLUMN(), 4, TRUE, "Export-dataset")), "" )</f>
        <v>2.3870967741935485</v>
      </c>
      <c r="AO15" s="6" cm="1">
        <f t="array" aca="1" ref="AO15" ca="1">IFERROR( INDIRECT(ADDRESS(ROW()+1, COLUMN(), 4, TRUE, "Export-dataset")) / INDIRECT(ADDRESS(ROW(), COLUMN(), 4, TRUE, "Export-dataset")), "" )</f>
        <v>0.93965517241379315</v>
      </c>
      <c r="AP15" s="6" cm="1">
        <f t="array" aca="1" ref="AP15" ca="1">IFERROR( INDIRECT(ADDRESS(ROW()+1, COLUMN(), 4, TRUE, "Export-dataset")) / INDIRECT(ADDRESS(ROW(), COLUMN(), 4, TRUE, "Export-dataset")), "" )</f>
        <v>1.1292134831460674</v>
      </c>
      <c r="AQ15" s="6" cm="1">
        <f t="array" aca="1" ref="AQ15" ca="1">IFERROR( INDIRECT(ADDRESS(ROW()+1, COLUMN(), 4, TRUE, "Export-dataset")) / INDIRECT(ADDRESS(ROW(), COLUMN(), 4, TRUE, "Export-dataset")), "" )</f>
        <v>1.1156716417910448</v>
      </c>
      <c r="AR15" s="6" cm="1">
        <f t="array" aca="1" ref="AR15" ca="1">IFERROR( INDIRECT(ADDRESS(ROW()+1, COLUMN(), 4, TRUE, "Export-dataset")) / INDIRECT(ADDRESS(ROW(), COLUMN(), 4, TRUE, "Export-dataset")), "" )</f>
        <v>1.271024536430043</v>
      </c>
      <c r="AS15" s="6" cm="1">
        <f t="array" aca="1" ref="AS15" ca="1">IFERROR( INDIRECT(ADDRESS(ROW()+1, COLUMN(), 4, TRUE, "Export-dataset")) / INDIRECT(ADDRESS(ROW(), COLUMN(), 4, TRUE, "Export-dataset")), "" )</f>
        <v>1.172093023255814</v>
      </c>
      <c r="AT15" s="6" cm="1">
        <f t="array" aca="1" ref="AT15" ca="1">IFERROR( INDIRECT(ADDRESS(ROW()+1, COLUMN(), 4, TRUE, "Export-dataset")) / INDIRECT(ADDRESS(ROW(), COLUMN(), 4, TRUE, "Export-dataset")), "" )</f>
        <v>0.91666666666666663</v>
      </c>
      <c r="AU15" s="6" cm="1">
        <f t="array" aca="1" ref="AU15" ca="1">IFERROR( INDIRECT(ADDRESS(ROW()+1, COLUMN(), 4, TRUE, "Export-dataset")) / INDIRECT(ADDRESS(ROW(), COLUMN(), 4, TRUE, "Export-dataset")), "" )</f>
        <v>1.2608695652173914</v>
      </c>
      <c r="AV15" s="6" cm="1">
        <f t="array" aca="1" ref="AV15" ca="1">IFERROR( INDIRECT(ADDRESS(ROW()+1, COLUMN(), 4, TRUE, "Export-dataset")) / INDIRECT(ADDRESS(ROW(), COLUMN(), 4, TRUE, "Export-dataset")), "" )</f>
        <v>1.2021276595744681</v>
      </c>
      <c r="AW15" s="6" cm="1">
        <f t="array" aca="1" ref="AW15" ca="1">IFERROR( INDIRECT(ADDRESS(ROW()+1, COLUMN(), 4, TRUE, "Export-dataset")) / INDIRECT(ADDRESS(ROW(), COLUMN(), 4, TRUE, "Export-dataset")), "" )</f>
        <v>0.99337748344370858</v>
      </c>
      <c r="AX15" s="6" cm="1">
        <f t="array" aca="1" ref="AX15" ca="1">IFERROR( INDIRECT(ADDRESS(ROW()+1, COLUMN(), 4, TRUE, "Export-dataset")) / INDIRECT(ADDRESS(ROW(), COLUMN(), 4, TRUE, "Export-dataset")), "" )</f>
        <v>1.163594470046083</v>
      </c>
      <c r="AY15" s="6" cm="1">
        <f t="array" aca="1" ref="AY15" ca="1">IFERROR( INDIRECT(ADDRESS(ROW()+1, COLUMN(), 4, TRUE, "Export-dataset")) / INDIRECT(ADDRESS(ROW(), COLUMN(), 4, TRUE, "Export-dataset")), "" )</f>
        <v>0.86049926578560942</v>
      </c>
      <c r="AZ15" s="6" cm="1">
        <f t="array" aca="1" ref="AZ15" ca="1">IFERROR( INDIRECT(ADDRESS(ROW()+1, COLUMN(), 4, TRUE, "Export-dataset")) / INDIRECT(ADDRESS(ROW(), COLUMN(), 4, TRUE, "Export-dataset")), "" )</f>
        <v>1.4588215600937395</v>
      </c>
      <c r="BA15" s="6" cm="1">
        <f t="array" aca="1" ref="BA15" ca="1">IFERROR( INDIRECT(ADDRESS(ROW()+1, COLUMN(), 4, TRUE, "Export-dataset")) / INDIRECT(ADDRESS(ROW(), COLUMN(), 4, TRUE, "Export-dataset")), "" )</f>
        <v>1.0121580547112461</v>
      </c>
      <c r="BB15" s="6" cm="1">
        <f t="array" aca="1" ref="BB15" ca="1">IFERROR( INDIRECT(ADDRESS(ROW()+1, COLUMN(), 4, TRUE, "Export-dataset")) / INDIRECT(ADDRESS(ROW(), COLUMN(), 4, TRUE, "Export-dataset")), "" )</f>
        <v>1.1365249840720852</v>
      </c>
      <c r="BC15" s="6" cm="1">
        <f t="array" aca="1" ref="BC15" ca="1">IFERROR( INDIRECT(ADDRESS(ROW()+1, COLUMN(), 4, TRUE, "Export-dataset")) / INDIRECT(ADDRESS(ROW(), COLUMN(), 4, TRUE, "Export-dataset")), "" )</f>
        <v>1.2181588902900378</v>
      </c>
      <c r="BD15" s="6" cm="1">
        <f t="array" aca="1" ref="BD15" ca="1">IFERROR( INDIRECT(ADDRESS(ROW()+1, COLUMN(), 4, TRUE, "Export-dataset")) / INDIRECT(ADDRESS(ROW(), COLUMN(), 4, TRUE, "Export-dataset")), "" )</f>
        <v>1.1268248175182483</v>
      </c>
      <c r="BE15" s="6" cm="1">
        <f t="array" aca="1" ref="BE15" ca="1">IFERROR( INDIRECT(ADDRESS(ROW()+1, COLUMN(), 4, TRUE, "Export-dataset")) / INDIRECT(ADDRESS(ROW(), COLUMN(), 4, TRUE, "Export-dataset")), "" )</f>
        <v>1.2994923857868019</v>
      </c>
      <c r="BF15" s="6" cm="1">
        <f t="array" aca="1" ref="BF15" ca="1">IFERROR( INDIRECT(ADDRESS(ROW()+1, COLUMN(), 4, TRUE, "Export-dataset")) / INDIRECT(ADDRESS(ROW(), COLUMN(), 4, TRUE, "Export-dataset")), "" )</f>
        <v>1.087463556851312</v>
      </c>
      <c r="BG15" s="6" cm="1">
        <f t="array" aca="1" ref="BG15" ca="1">IFERROR( INDIRECT(ADDRESS(ROW()+1, COLUMN(), 4, TRUE, "Export-dataset")) / INDIRECT(ADDRESS(ROW(), COLUMN(), 4, TRUE, "Export-dataset")), "" )</f>
        <v>0.99928825622775797</v>
      </c>
      <c r="BH15" s="6" cm="1">
        <f t="array" aca="1" ref="BH15" ca="1">IFERROR( INDIRECT(ADDRESS(ROW()+1, COLUMN(), 4, TRUE, "Export-dataset")) / INDIRECT(ADDRESS(ROW(), COLUMN(), 4, TRUE, "Export-dataset")), "" )</f>
        <v>1.6004415011037527</v>
      </c>
      <c r="BI15" s="6" cm="1">
        <f t="array" aca="1" ref="BI15" ca="1">IFERROR( INDIRECT(ADDRESS(ROW()+1, COLUMN(), 4, TRUE, "Export-dataset")) / INDIRECT(ADDRESS(ROW(), COLUMN(), 4, TRUE, "Export-dataset")), "" )</f>
        <v>1.1571648690292757</v>
      </c>
      <c r="BJ15" s="6" cm="1">
        <f t="array" aca="1" ref="BJ15" ca="1">IFERROR( INDIRECT(ADDRESS(ROW()+1, COLUMN(), 4, TRUE, "Export-dataset")) / INDIRECT(ADDRESS(ROW(), COLUMN(), 4, TRUE, "Export-dataset")), "" )</f>
        <v>1.3416632527652601</v>
      </c>
      <c r="BK15" s="6" cm="1">
        <f t="array" aca="1" ref="BK15" ca="1">IFERROR( INDIRECT(ADDRESS(ROW()+1, COLUMN(), 4, TRUE, "Export-dataset")) / INDIRECT(ADDRESS(ROW(), COLUMN(), 4, TRUE, "Export-dataset")), "" )</f>
        <v>0.70597915523861765</v>
      </c>
      <c r="BL15" s="6" cm="1">
        <f t="array" aca="1" ref="BL15" ca="1">IFERROR( INDIRECT(ADDRESS(ROW()+1, COLUMN(), 4, TRUE, "Export-dataset")) / INDIRECT(ADDRESS(ROW(), COLUMN(), 4, TRUE, "Export-dataset")), "" )</f>
        <v>1.1503863134657837</v>
      </c>
      <c r="BM15" s="6" cm="1">
        <f t="array" aca="1" ref="BM15" ca="1">IFERROR( INDIRECT(ADDRESS(ROW()+1, COLUMN(), 4, TRUE, "Export-dataset")) / INDIRECT(ADDRESS(ROW(), COLUMN(), 4, TRUE, "Export-dataset")), "" )</f>
        <v>1.0909090909090908</v>
      </c>
      <c r="BN15" s="6" cm="1">
        <f t="array" aca="1" ref="BN15" ca="1">IFERROR( INDIRECT(ADDRESS(ROW()+1, COLUMN(), 4, TRUE, "Export-dataset")) / INDIRECT(ADDRESS(ROW(), COLUMN(), 4, TRUE, "Export-dataset")), "" )</f>
        <v>0.952755905511811</v>
      </c>
      <c r="BO15" s="6" cm="1">
        <f t="array" aca="1" ref="BO15" ca="1">IFERROR( INDIRECT(ADDRESS(ROW()+1, COLUMN(), 4, TRUE, "Export-dataset")) / INDIRECT(ADDRESS(ROW(), COLUMN(), 4, TRUE, "Export-dataset")), "" )</f>
        <v>1.1666666666666667</v>
      </c>
      <c r="BP15" s="6" cm="1">
        <f t="array" aca="1" ref="BP15" ca="1">IFERROR( INDIRECT(ADDRESS(ROW()+1, COLUMN(), 4, TRUE, "Export-dataset")) / INDIRECT(ADDRESS(ROW(), COLUMN(), 4, TRUE, "Export-dataset")), "" )</f>
        <v>1.0271903323262841</v>
      </c>
      <c r="BQ15" s="6" cm="1">
        <f t="array" aca="1" ref="BQ15" ca="1">IFERROR( INDIRECT(ADDRESS(ROW()+1, COLUMN(), 4, TRUE, "Export-dataset")) / INDIRECT(ADDRESS(ROW(), COLUMN(), 4, TRUE, "Export-dataset")), "" )</f>
        <v>1.0317460317460319</v>
      </c>
      <c r="BR15" s="6" cm="1">
        <f t="array" aca="1" ref="BR15" ca="1">IFERROR( INDIRECT(ADDRESS(ROW()+1, COLUMN(), 4, TRUE, "Export-dataset")) / INDIRECT(ADDRESS(ROW(), COLUMN(), 4, TRUE, "Export-dataset")), "" )</f>
        <v>1.1274900398406376</v>
      </c>
      <c r="BS15" s="6" cm="1">
        <f t="array" aca="1" ref="BS15" ca="1">IFERROR( INDIRECT(ADDRESS(ROW()+1, COLUMN(), 4, TRUE, "Export-dataset")) / INDIRECT(ADDRESS(ROW(), COLUMN(), 4, TRUE, "Export-dataset")), "" )</f>
        <v>1.3533163265306123</v>
      </c>
      <c r="BT15" s="6" cm="1">
        <f t="array" aca="1" ref="BT15" ca="1">IFERROR( INDIRECT(ADDRESS(ROW()+1, COLUMN(), 4, TRUE, "Export-dataset")) / INDIRECT(ADDRESS(ROW(), COLUMN(), 4, TRUE, "Export-dataset")), "" )</f>
        <v>1.1057377049180328</v>
      </c>
      <c r="BU15" s="6" cm="1">
        <f t="array" aca="1" ref="BU15" ca="1">IFERROR( INDIRECT(ADDRESS(ROW()+1, COLUMN(), 4, TRUE, "Export-dataset")) / INDIRECT(ADDRESS(ROW(), COLUMN(), 4, TRUE, "Export-dataset")), "" )</f>
        <v>1.1197870452528838</v>
      </c>
      <c r="BV15" s="6" cm="1">
        <f t="array" aca="1" ref="BV15" ca="1">IFERROR( INDIRECT(ADDRESS(ROW()+1, COLUMN(), 4, TRUE, "Export-dataset")) / INDIRECT(ADDRESS(ROW(), COLUMN(), 4, TRUE, "Export-dataset")), "" )</f>
        <v>0.99169894853348095</v>
      </c>
      <c r="BW15" s="6" cm="1">
        <f t="array" aca="1" ref="BW15" ca="1">IFERROR( INDIRECT(ADDRESS(ROW()+1, COLUMN(), 4, TRUE, "Export-dataset")) / INDIRECT(ADDRESS(ROW(), COLUMN(), 4, TRUE, "Export-dataset")), "" )</f>
        <v>0.84693877551020413</v>
      </c>
      <c r="BX15" s="6" cm="1">
        <f t="array" aca="1" ref="BX15" ca="1">IFERROR( INDIRECT(ADDRESS(ROW()+1, COLUMN(), 4, TRUE, "Export-dataset")) / INDIRECT(ADDRESS(ROW(), COLUMN(), 4, TRUE, "Export-dataset")), "" )</f>
        <v>0.625</v>
      </c>
      <c r="BY15" s="6" cm="1">
        <f t="array" aca="1" ref="BY15" ca="1">IFERROR( INDIRECT(ADDRESS(ROW()+1, COLUMN(), 4, TRUE, "Export-dataset")) / INDIRECT(ADDRESS(ROW(), COLUMN(), 4, TRUE, "Export-dataset")), "" )</f>
        <v>1.0295218295218296</v>
      </c>
      <c r="BZ15" s="6" cm="1">
        <f t="array" aca="1" ref="BZ15" ca="1">IFERROR( INDIRECT(ADDRESS(ROW()+1, COLUMN(), 4, TRUE, "Export-dataset")) / INDIRECT(ADDRESS(ROW(), COLUMN(), 4, TRUE, "Export-dataset")), "" )</f>
        <v>1.420479302832244</v>
      </c>
      <c r="CA15" s="6" cm="1">
        <f t="array" aca="1" ref="CA15" ca="1">IFERROR( INDIRECT(ADDRESS(ROW()+1, COLUMN(), 4, TRUE, "Export-dataset")) / INDIRECT(ADDRESS(ROW(), COLUMN(), 4, TRUE, "Export-dataset")), "" )</f>
        <v>1.2700102424821331</v>
      </c>
    </row>
    <row r="16" spans="1:79">
      <c r="A16" s="6" t="s">
        <v>173</v>
      </c>
      <c r="B16" s="6" cm="1">
        <f t="array" aca="1" ref="B16" ca="1">IFERROR( INDIRECT(ADDRESS(ROW()+1, COLUMN(), 4, TRUE, "Export-dataset")) / INDIRECT(ADDRESS(ROW(), COLUMN(), 4, TRUE, "Export-dataset")), "" )</f>
        <v>1.1595570788294227</v>
      </c>
      <c r="C16" s="6" cm="1">
        <f t="array" aca="1" ref="C16" ca="1">IFERROR( INDIRECT(ADDRESS(ROW()+1, COLUMN(), 4, TRUE, "Export-dataset")) / INDIRECT(ADDRESS(ROW(), COLUMN(), 4, TRUE, "Export-dataset")), "" )</f>
        <v>1.2907268170426065</v>
      </c>
      <c r="D16" s="6" cm="1">
        <f t="array" aca="1" ref="D16" ca="1">IFERROR( INDIRECT(ADDRESS(ROW()+1, COLUMN(), 4, TRUE, "Export-dataset")) / INDIRECT(ADDRESS(ROW(), COLUMN(), 4, TRUE, "Export-dataset")), "" )</f>
        <v>1.2641921397379912</v>
      </c>
      <c r="E16" s="6" cm="1">
        <f t="array" aca="1" ref="E16" ca="1">IFERROR( INDIRECT(ADDRESS(ROW()+1, COLUMN(), 4, TRUE, "Export-dataset")) / INDIRECT(ADDRESS(ROW(), COLUMN(), 4, TRUE, "Export-dataset")), "" )</f>
        <v>1.1193098384728342</v>
      </c>
      <c r="F16" s="6" cm="1">
        <f t="array" aca="1" ref="F16" ca="1">IFERROR( INDIRECT(ADDRESS(ROW()+1, COLUMN(), 4, TRUE, "Export-dataset")) / INDIRECT(ADDRESS(ROW(), COLUMN(), 4, TRUE, "Export-dataset")), "" )</f>
        <v>1.0124260355029586</v>
      </c>
      <c r="G16" s="6" cm="1">
        <f t="array" aca="1" ref="G16" ca="1">IFERROR( INDIRECT(ADDRESS(ROW()+1, COLUMN(), 4, TRUE, "Export-dataset")) / INDIRECT(ADDRESS(ROW(), COLUMN(), 4, TRUE, "Export-dataset")), "" )</f>
        <v>1.161857195708472</v>
      </c>
      <c r="H16" s="6" cm="1">
        <f t="array" aca="1" ref="H16" ca="1">IFERROR( INDIRECT(ADDRESS(ROW()+1, COLUMN(), 4, TRUE, "Export-dataset")) / INDIRECT(ADDRESS(ROW(), COLUMN(), 4, TRUE, "Export-dataset")), "" )</f>
        <v>1.1191780821917807</v>
      </c>
      <c r="I16" s="6" cm="1">
        <f t="array" aca="1" ref="I16" ca="1">IFERROR( INDIRECT(ADDRESS(ROW()+1, COLUMN(), 4, TRUE, "Export-dataset")) / INDIRECT(ADDRESS(ROW(), COLUMN(), 4, TRUE, "Export-dataset")), "" )</f>
        <v>1.0717703349282297</v>
      </c>
      <c r="J16" s="6" cm="1">
        <f t="array" aca="1" ref="J16" ca="1">IFERROR( INDIRECT(ADDRESS(ROW()+1, COLUMN(), 4, TRUE, "Export-dataset")) / INDIRECT(ADDRESS(ROW(), COLUMN(), 4, TRUE, "Export-dataset")), "" )</f>
        <v>1.0038910505836576</v>
      </c>
      <c r="K16" s="6" cm="1">
        <f t="array" aca="1" ref="K16" ca="1">IFERROR( INDIRECT(ADDRESS(ROW()+1, COLUMN(), 4, TRUE, "Export-dataset")) / INDIRECT(ADDRESS(ROW(), COLUMN(), 4, TRUE, "Export-dataset")), "" )</f>
        <v>1.0204708290685773</v>
      </c>
      <c r="L16" s="6" cm="1">
        <f t="array" aca="1" ref="L16" ca="1">IFERROR( INDIRECT(ADDRESS(ROW()+1, COLUMN(), 4, TRUE, "Export-dataset")) / INDIRECT(ADDRESS(ROW(), COLUMN(), 4, TRUE, "Export-dataset")), "" )</f>
        <v>1.0481927710843373</v>
      </c>
      <c r="M16" s="6" cm="1">
        <f t="array" aca="1" ref="M16" ca="1">IFERROR( INDIRECT(ADDRESS(ROW()+1, COLUMN(), 4, TRUE, "Export-dataset")) / INDIRECT(ADDRESS(ROW(), COLUMN(), 4, TRUE, "Export-dataset")), "" )</f>
        <v>1.2344632768361581</v>
      </c>
      <c r="N16" s="6" cm="1">
        <f t="array" aca="1" ref="N16" ca="1">IFERROR( INDIRECT(ADDRESS(ROW()+1, COLUMN(), 4, TRUE, "Export-dataset")) / INDIRECT(ADDRESS(ROW(), COLUMN(), 4, TRUE, "Export-dataset")), "" )</f>
        <v>1.2332361516034986</v>
      </c>
      <c r="O16" s="6" cm="1">
        <f t="array" aca="1" ref="O16" ca="1">IFERROR( INDIRECT(ADDRESS(ROW()+1, COLUMN(), 4, TRUE, "Export-dataset")) / INDIRECT(ADDRESS(ROW(), COLUMN(), 4, TRUE, "Export-dataset")), "" )</f>
        <v>1.2857142857142858</v>
      </c>
      <c r="P16" s="6" cm="1">
        <f t="array" aca="1" ref="P16" ca="1">IFERROR( INDIRECT(ADDRESS(ROW()+1, COLUMN(), 4, TRUE, "Export-dataset")) / INDIRECT(ADDRESS(ROW(), COLUMN(), 4, TRUE, "Export-dataset")), "" )</f>
        <v>1.1194254768071581</v>
      </c>
      <c r="Q16" s="6" cm="1">
        <f t="array" aca="1" ref="Q16" ca="1">IFERROR( INDIRECT(ADDRESS(ROW()+1, COLUMN(), 4, TRUE, "Export-dataset")) / INDIRECT(ADDRESS(ROW(), COLUMN(), 4, TRUE, "Export-dataset")), "" )</f>
        <v>1.393939393939394</v>
      </c>
      <c r="R16" s="6" cm="1">
        <f t="array" aca="1" ref="R16" ca="1">IFERROR( INDIRECT(ADDRESS(ROW()+1, COLUMN(), 4, TRUE, "Export-dataset")) / INDIRECT(ADDRESS(ROW(), COLUMN(), 4, TRUE, "Export-dataset")), "" )</f>
        <v>1.0165975103734439</v>
      </c>
      <c r="S16" s="6" cm="1">
        <f t="array" aca="1" ref="S16" ca="1">IFERROR( INDIRECT(ADDRESS(ROW()+1, COLUMN(), 4, TRUE, "Export-dataset")) / INDIRECT(ADDRESS(ROW(), COLUMN(), 4, TRUE, "Export-dataset")), "" )</f>
        <v>1.5454545454545454</v>
      </c>
      <c r="T16" s="6" cm="1">
        <f t="array" aca="1" ref="T16" ca="1">IFERROR( INDIRECT(ADDRESS(ROW()+1, COLUMN(), 4, TRUE, "Export-dataset")) / INDIRECT(ADDRESS(ROW(), COLUMN(), 4, TRUE, "Export-dataset")), "" )</f>
        <v>0.98622273249138925</v>
      </c>
      <c r="U16" s="6" cm="1">
        <f t="array" aca="1" ref="U16" ca="1">IFERROR( INDIRECT(ADDRESS(ROW()+1, COLUMN(), 4, TRUE, "Export-dataset")) / INDIRECT(ADDRESS(ROW(), COLUMN(), 4, TRUE, "Export-dataset")), "" )</f>
        <v>0.98076923076923073</v>
      </c>
      <c r="V16" s="6" cm="1">
        <f t="array" aca="1" ref="V16" ca="1">IFERROR( INDIRECT(ADDRESS(ROW()+1, COLUMN(), 4, TRUE, "Export-dataset")) / INDIRECT(ADDRESS(ROW(), COLUMN(), 4, TRUE, "Export-dataset")), "" )</f>
        <v>1.1440869030539045</v>
      </c>
      <c r="W16" s="6" cm="1">
        <f t="array" aca="1" ref="W16" ca="1">IFERROR( INDIRECT(ADDRESS(ROW()+1, COLUMN(), 4, TRUE, "Export-dataset")) / INDIRECT(ADDRESS(ROW(), COLUMN(), 4, TRUE, "Export-dataset")), "" )</f>
        <v>1.1773835920177385</v>
      </c>
      <c r="X16" s="6" cm="1">
        <f t="array" aca="1" ref="X16" ca="1">IFERROR( INDIRECT(ADDRESS(ROW()+1, COLUMN(), 4, TRUE, "Export-dataset")) / INDIRECT(ADDRESS(ROW(), COLUMN(), 4, TRUE, "Export-dataset")), "" )</f>
        <v>1.1110446868928412</v>
      </c>
      <c r="Y16" s="6" cm="1">
        <f t="array" aca="1" ref="Y16" ca="1">IFERROR( INDIRECT(ADDRESS(ROW()+1, COLUMN(), 4, TRUE, "Export-dataset")) / INDIRECT(ADDRESS(ROW(), COLUMN(), 4, TRUE, "Export-dataset")), "" )</f>
        <v>1.1098901098901099</v>
      </c>
      <c r="Z16" s="6" cm="1">
        <f t="array" aca="1" ref="Z16" ca="1">IFERROR( INDIRECT(ADDRESS(ROW()+1, COLUMN(), 4, TRUE, "Export-dataset")) / INDIRECT(ADDRESS(ROW(), COLUMN(), 4, TRUE, "Export-dataset")), "" )</f>
        <v>1.1035979341174429</v>
      </c>
      <c r="AA16" s="6" cm="1">
        <f t="array" aca="1" ref="AA16" ca="1">IFERROR( INDIRECT(ADDRESS(ROW()+1, COLUMN(), 4, TRUE, "Export-dataset")) / INDIRECT(ADDRESS(ROW(), COLUMN(), 4, TRUE, "Export-dataset")), "" )</f>
        <v>1.3385388811637609</v>
      </c>
      <c r="AB16" s="6" cm="1">
        <f t="array" aca="1" ref="AB16" ca="1">IFERROR( INDIRECT(ADDRESS(ROW()+1, COLUMN(), 4, TRUE, "Export-dataset")) / INDIRECT(ADDRESS(ROW(), COLUMN(), 4, TRUE, "Export-dataset")), "" )</f>
        <v>0.88026755852842808</v>
      </c>
      <c r="AC16" s="6" cm="1">
        <f t="array" aca="1" ref="AC16" ca="1">IFERROR( INDIRECT(ADDRESS(ROW()+1, COLUMN(), 4, TRUE, "Export-dataset")) / INDIRECT(ADDRESS(ROW(), COLUMN(), 4, TRUE, "Export-dataset")), "" )</f>
        <v>1.1478153083359157</v>
      </c>
      <c r="AD16" s="6" cm="1">
        <f t="array" aca="1" ref="AD16" ca="1">IFERROR( INDIRECT(ADDRESS(ROW()+1, COLUMN(), 4, TRUE, "Export-dataset")) / INDIRECT(ADDRESS(ROW(), COLUMN(), 4, TRUE, "Export-dataset")), "" )</f>
        <v>1.0098360655737706</v>
      </c>
      <c r="AE16" s="6" cm="1">
        <f t="array" aca="1" ref="AE16" ca="1">IFERROR( INDIRECT(ADDRESS(ROW()+1, COLUMN(), 4, TRUE, "Export-dataset")) / INDIRECT(ADDRESS(ROW(), COLUMN(), 4, TRUE, "Export-dataset")), "" )</f>
        <v>1.0093023255813953</v>
      </c>
      <c r="AF16" s="6" cm="1">
        <f t="array" aca="1" ref="AF16" ca="1">IFERROR( INDIRECT(ADDRESS(ROW()+1, COLUMN(), 4, TRUE, "Export-dataset")) / INDIRECT(ADDRESS(ROW(), COLUMN(), 4, TRUE, "Export-dataset")), "" )</f>
        <v>1.0476190476190477</v>
      </c>
      <c r="AG16" s="6" cm="1">
        <f t="array" aca="1" ref="AG16" ca="1">IFERROR( INDIRECT(ADDRESS(ROW()+1, COLUMN(), 4, TRUE, "Export-dataset")) / INDIRECT(ADDRESS(ROW(), COLUMN(), 4, TRUE, "Export-dataset")), "" )</f>
        <v>0.96</v>
      </c>
      <c r="AH16" s="6" cm="1">
        <f t="array" aca="1" ref="AH16" ca="1">IFERROR( INDIRECT(ADDRESS(ROW()+1, COLUMN(), 4, TRUE, "Export-dataset")) / INDIRECT(ADDRESS(ROW(), COLUMN(), 4, TRUE, "Export-dataset")), "" )</f>
        <v>1.1492474030103879</v>
      </c>
      <c r="AI16" s="6" cm="1">
        <f t="array" aca="1" ref="AI16" ca="1">IFERROR( INDIRECT(ADDRESS(ROW()+1, COLUMN(), 4, TRUE, "Export-dataset")) / INDIRECT(ADDRESS(ROW(), COLUMN(), 4, TRUE, "Export-dataset")), "" )</f>
        <v>1.1056910569105691</v>
      </c>
      <c r="AJ16" s="6" cm="1">
        <f t="array" aca="1" ref="AJ16" ca="1">IFERROR( INDIRECT(ADDRESS(ROW()+1, COLUMN(), 4, TRUE, "Export-dataset")) / INDIRECT(ADDRESS(ROW(), COLUMN(), 4, TRUE, "Export-dataset")), "" )</f>
        <v>1.1533742331288344</v>
      </c>
      <c r="AK16" s="6" cm="1">
        <f t="array" aca="1" ref="AK16" ca="1">IFERROR( INDIRECT(ADDRESS(ROW()+1, COLUMN(), 4, TRUE, "Export-dataset")) / INDIRECT(ADDRESS(ROW(), COLUMN(), 4, TRUE, "Export-dataset")), "" )</f>
        <v>1.0435483870967741</v>
      </c>
      <c r="AL16" s="6" cm="1">
        <f t="array" aca="1" ref="AL16" ca="1">IFERROR( INDIRECT(ADDRESS(ROW()+1, COLUMN(), 4, TRUE, "Export-dataset")) / INDIRECT(ADDRESS(ROW(), COLUMN(), 4, TRUE, "Export-dataset")), "" )</f>
        <v>1.2073412698412698</v>
      </c>
      <c r="AM16" s="6" cm="1">
        <f t="array" aca="1" ref="AM16" ca="1">IFERROR( INDIRECT(ADDRESS(ROW()+1, COLUMN(), 4, TRUE, "Export-dataset")) / INDIRECT(ADDRESS(ROW(), COLUMN(), 4, TRUE, "Export-dataset")), "" )</f>
        <v>1.0450928381962865</v>
      </c>
      <c r="AN16" s="6" cm="1">
        <f t="array" aca="1" ref="AN16" ca="1">IFERROR( INDIRECT(ADDRESS(ROW()+1, COLUMN(), 4, TRUE, "Export-dataset")) / INDIRECT(ADDRESS(ROW(), COLUMN(), 4, TRUE, "Export-dataset")), "" )</f>
        <v>2.0540540540540539</v>
      </c>
      <c r="AO16" s="6" cm="1">
        <f t="array" aca="1" ref="AO16" ca="1">IFERROR( INDIRECT(ADDRESS(ROW()+1, COLUMN(), 4, TRUE, "Export-dataset")) / INDIRECT(ADDRESS(ROW(), COLUMN(), 4, TRUE, "Export-dataset")), "" )</f>
        <v>1.073394495412844</v>
      </c>
      <c r="AP16" s="6" cm="1">
        <f t="array" aca="1" ref="AP16" ca="1">IFERROR( INDIRECT(ADDRESS(ROW()+1, COLUMN(), 4, TRUE, "Export-dataset")) / INDIRECT(ADDRESS(ROW(), COLUMN(), 4, TRUE, "Export-dataset")), "" )</f>
        <v>1.1393034825870647</v>
      </c>
      <c r="AQ16" s="6" cm="1">
        <f t="array" aca="1" ref="AQ16" ca="1">IFERROR( INDIRECT(ADDRESS(ROW()+1, COLUMN(), 4, TRUE, "Export-dataset")) / INDIRECT(ADDRESS(ROW(), COLUMN(), 4, TRUE, "Export-dataset")), "" )</f>
        <v>1.0618729096989967</v>
      </c>
      <c r="AR16" s="6" cm="1">
        <f t="array" aca="1" ref="AR16" ca="1">IFERROR( INDIRECT(ADDRESS(ROW()+1, COLUMN(), 4, TRUE, "Export-dataset")) / INDIRECT(ADDRESS(ROW(), COLUMN(), 4, TRUE, "Export-dataset")), "" )</f>
        <v>1.0255673445328617</v>
      </c>
      <c r="AS16" s="6" cm="1">
        <f t="array" aca="1" ref="AS16" ca="1">IFERROR( INDIRECT(ADDRESS(ROW()+1, COLUMN(), 4, TRUE, "Export-dataset")) / INDIRECT(ADDRESS(ROW(), COLUMN(), 4, TRUE, "Export-dataset")), "" )</f>
        <v>1.0813492063492063</v>
      </c>
      <c r="AT16" s="6" cm="1">
        <f t="array" aca="1" ref="AT16" ca="1">IFERROR( INDIRECT(ADDRESS(ROW()+1, COLUMN(), 4, TRUE, "Export-dataset")) / INDIRECT(ADDRESS(ROW(), COLUMN(), 4, TRUE, "Export-dataset")), "" )</f>
        <v>1.0484848484848486</v>
      </c>
      <c r="AU16" s="6" cm="1">
        <f t="array" aca="1" ref="AU16" ca="1">IFERROR( INDIRECT(ADDRESS(ROW()+1, COLUMN(), 4, TRUE, "Export-dataset")) / INDIRECT(ADDRESS(ROW(), COLUMN(), 4, TRUE, "Export-dataset")), "" )</f>
        <v>1.2471264367816093</v>
      </c>
      <c r="AV16" s="6" cm="1">
        <f t="array" aca="1" ref="AV16" ca="1">IFERROR( INDIRECT(ADDRESS(ROW()+1, COLUMN(), 4, TRUE, "Export-dataset")) / INDIRECT(ADDRESS(ROW(), COLUMN(), 4, TRUE, "Export-dataset")), "" )</f>
        <v>1.1699115044247788</v>
      </c>
      <c r="AW16" s="6" cm="1">
        <f t="array" aca="1" ref="AW16" ca="1">IFERROR( INDIRECT(ADDRESS(ROW()+1, COLUMN(), 4, TRUE, "Export-dataset")) / INDIRECT(ADDRESS(ROW(), COLUMN(), 4, TRUE, "Export-dataset")), "" )</f>
        <v>0.94666666666666666</v>
      </c>
      <c r="AX16" s="6" cm="1">
        <f t="array" aca="1" ref="AX16" ca="1">IFERROR( INDIRECT(ADDRESS(ROW()+1, COLUMN(), 4, TRUE, "Export-dataset")) / INDIRECT(ADDRESS(ROW(), COLUMN(), 4, TRUE, "Export-dataset")), "" )</f>
        <v>0.94257425742574252</v>
      </c>
      <c r="AY16" s="6" cm="1">
        <f t="array" aca="1" ref="AY16" ca="1">IFERROR( INDIRECT(ADDRESS(ROW()+1, COLUMN(), 4, TRUE, "Export-dataset")) / INDIRECT(ADDRESS(ROW(), COLUMN(), 4, TRUE, "Export-dataset")), "" )</f>
        <v>0.62883959044368598</v>
      </c>
      <c r="AZ16" s="6" cm="1">
        <f t="array" aca="1" ref="AZ16" ca="1">IFERROR( INDIRECT(ADDRESS(ROW()+1, COLUMN(), 4, TRUE, "Export-dataset")) / INDIRECT(ADDRESS(ROW(), COLUMN(), 4, TRUE, "Export-dataset")), "" )</f>
        <v>1.0693057946069995</v>
      </c>
      <c r="BA16" s="6" cm="1">
        <f t="array" aca="1" ref="BA16" ca="1">IFERROR( INDIRECT(ADDRESS(ROW()+1, COLUMN(), 4, TRUE, "Export-dataset")) / INDIRECT(ADDRESS(ROW(), COLUMN(), 4, TRUE, "Export-dataset")), "" )</f>
        <v>1.1276276276276276</v>
      </c>
      <c r="BB16" s="6" cm="1">
        <f t="array" aca="1" ref="BB16" ca="1">IFERROR( INDIRECT(ADDRESS(ROW()+1, COLUMN(), 4, TRUE, "Export-dataset")) / INDIRECT(ADDRESS(ROW(), COLUMN(), 4, TRUE, "Export-dataset")), "" )</f>
        <v>1.1085128533675022</v>
      </c>
      <c r="BC16" s="6" cm="1">
        <f t="array" aca="1" ref="BC16" ca="1">IFERROR( INDIRECT(ADDRESS(ROW()+1, COLUMN(), 4, TRUE, "Export-dataset")) / INDIRECT(ADDRESS(ROW(), COLUMN(), 4, TRUE, "Export-dataset")), "" )</f>
        <v>0.77639751552795033</v>
      </c>
      <c r="BD16" s="6" cm="1">
        <f t="array" aca="1" ref="BD16" ca="1">IFERROR( INDIRECT(ADDRESS(ROW()+1, COLUMN(), 4, TRUE, "Export-dataset")) / INDIRECT(ADDRESS(ROW(), COLUMN(), 4, TRUE, "Export-dataset")), "" )</f>
        <v>1.1141700404858299</v>
      </c>
      <c r="BE16" s="6" cm="1">
        <f t="array" aca="1" ref="BE16" ca="1">IFERROR( INDIRECT(ADDRESS(ROW()+1, COLUMN(), 4, TRUE, "Export-dataset")) / INDIRECT(ADDRESS(ROW(), COLUMN(), 4, TRUE, "Export-dataset")), "" )</f>
        <v>0.8125</v>
      </c>
      <c r="BF16" s="6" cm="1">
        <f t="array" aca="1" ref="BF16" ca="1">IFERROR( INDIRECT(ADDRESS(ROW()+1, COLUMN(), 4, TRUE, "Export-dataset")) / INDIRECT(ADDRESS(ROW(), COLUMN(), 4, TRUE, "Export-dataset")), "" )</f>
        <v>1.1644325290437891</v>
      </c>
      <c r="BG16" s="6" cm="1">
        <f t="array" aca="1" ref="BG16" ca="1">IFERROR( INDIRECT(ADDRESS(ROW()+1, COLUMN(), 4, TRUE, "Export-dataset")) / INDIRECT(ADDRESS(ROW(), COLUMN(), 4, TRUE, "Export-dataset")), "" )</f>
        <v>1.1666666666666667</v>
      </c>
      <c r="BH16" s="6" cm="1">
        <f t="array" aca="1" ref="BH16" ca="1">IFERROR( INDIRECT(ADDRESS(ROW()+1, COLUMN(), 4, TRUE, "Export-dataset")) / INDIRECT(ADDRESS(ROW(), COLUMN(), 4, TRUE, "Export-dataset")), "" )</f>
        <v>0.93586206896551727</v>
      </c>
      <c r="BI16" s="6" cm="1">
        <f t="array" aca="1" ref="BI16" ca="1">IFERROR( INDIRECT(ADDRESS(ROW()+1, COLUMN(), 4, TRUE, "Export-dataset")) / INDIRECT(ADDRESS(ROW(), COLUMN(), 4, TRUE, "Export-dataset")), "" )</f>
        <v>1.1378162450066578</v>
      </c>
      <c r="BJ16" s="6" cm="1">
        <f t="array" aca="1" ref="BJ16" ca="1">IFERROR( INDIRECT(ADDRESS(ROW()+1, COLUMN(), 4, TRUE, "Export-dataset")) / INDIRECT(ADDRESS(ROW(), COLUMN(), 4, TRUE, "Export-dataset")), "" )</f>
        <v>1.2977099236641221</v>
      </c>
      <c r="BK16" s="6" cm="1">
        <f t="array" aca="1" ref="BK16" ca="1">IFERROR( INDIRECT(ADDRESS(ROW()+1, COLUMN(), 4, TRUE, "Export-dataset")) / INDIRECT(ADDRESS(ROW(), COLUMN(), 4, TRUE, "Export-dataset")), "" )</f>
        <v>0.97202797202797198</v>
      </c>
      <c r="BL16" s="6" cm="1">
        <f t="array" aca="1" ref="BL16" ca="1">IFERROR( INDIRECT(ADDRESS(ROW()+1, COLUMN(), 4, TRUE, "Export-dataset")) / INDIRECT(ADDRESS(ROW(), COLUMN(), 4, TRUE, "Export-dataset")), "" )</f>
        <v>1.0949868073878628</v>
      </c>
      <c r="BM16" s="6" cm="1">
        <f t="array" aca="1" ref="BM16" ca="1">IFERROR( INDIRECT(ADDRESS(ROW()+1, COLUMN(), 4, TRUE, "Export-dataset")) / INDIRECT(ADDRESS(ROW(), COLUMN(), 4, TRUE, "Export-dataset")), "" )</f>
        <v>1.1309523809523809</v>
      </c>
      <c r="BN16" s="6" cm="1">
        <f t="array" aca="1" ref="BN16" ca="1">IFERROR( INDIRECT(ADDRESS(ROW()+1, COLUMN(), 4, TRUE, "Export-dataset")) / INDIRECT(ADDRESS(ROW(), COLUMN(), 4, TRUE, "Export-dataset")), "" )</f>
        <v>1.2231404958677685</v>
      </c>
      <c r="BO16" s="6" cm="1">
        <f t="array" aca="1" ref="BO16" ca="1">IFERROR( INDIRECT(ADDRESS(ROW()+1, COLUMN(), 4, TRUE, "Export-dataset")) / INDIRECT(ADDRESS(ROW(), COLUMN(), 4, TRUE, "Export-dataset")), "" )</f>
        <v>0.9285714285714286</v>
      </c>
      <c r="BP16" s="6" cm="1">
        <f t="array" aca="1" ref="BP16" ca="1">IFERROR( INDIRECT(ADDRESS(ROW()+1, COLUMN(), 4, TRUE, "Export-dataset")) / INDIRECT(ADDRESS(ROW(), COLUMN(), 4, TRUE, "Export-dataset")), "" )</f>
        <v>1.0852941176470587</v>
      </c>
      <c r="BQ16" s="6" cm="1">
        <f t="array" aca="1" ref="BQ16" ca="1">IFERROR( INDIRECT(ADDRESS(ROW()+1, COLUMN(), 4, TRUE, "Export-dataset")) / INDIRECT(ADDRESS(ROW(), COLUMN(), 4, TRUE, "Export-dataset")), "" )</f>
        <v>0.9538461538461539</v>
      </c>
      <c r="BR16" s="6" cm="1">
        <f t="array" aca="1" ref="BR16" ca="1">IFERROR( INDIRECT(ADDRESS(ROW()+1, COLUMN(), 4, TRUE, "Export-dataset")) / INDIRECT(ADDRESS(ROW(), COLUMN(), 4, TRUE, "Export-dataset")), "" )</f>
        <v>1.1404593639575973</v>
      </c>
      <c r="BS16" s="6" cm="1">
        <f t="array" aca="1" ref="BS16" ca="1">IFERROR( INDIRECT(ADDRESS(ROW()+1, COLUMN(), 4, TRUE, "Export-dataset")) / INDIRECT(ADDRESS(ROW(), COLUMN(), 4, TRUE, "Export-dataset")), "" )</f>
        <v>1.0490103675777569</v>
      </c>
      <c r="BT16" s="6" cm="1">
        <f t="array" aca="1" ref="BT16" ca="1">IFERROR( INDIRECT(ADDRESS(ROW()+1, COLUMN(), 4, TRUE, "Export-dataset")) / INDIRECT(ADDRESS(ROW(), COLUMN(), 4, TRUE, "Export-dataset")), "" )</f>
        <v>1.0896960711638251</v>
      </c>
      <c r="BU16" s="6" cm="1">
        <f t="array" aca="1" ref="BU16" ca="1">IFERROR( INDIRECT(ADDRESS(ROW()+1, COLUMN(), 4, TRUE, "Export-dataset")) / INDIRECT(ADDRESS(ROW(), COLUMN(), 4, TRUE, "Export-dataset")), "" )</f>
        <v>1.0990491283676704</v>
      </c>
      <c r="BV16" s="6" cm="1">
        <f t="array" aca="1" ref="BV16" ca="1">IFERROR( INDIRECT(ADDRESS(ROW()+1, COLUMN(), 4, TRUE, "Export-dataset")) / INDIRECT(ADDRESS(ROW(), COLUMN(), 4, TRUE, "Export-dataset")), "" )</f>
        <v>1.2455357142857142</v>
      </c>
      <c r="BW16" s="6" cm="1">
        <f t="array" aca="1" ref="BW16" ca="1">IFERROR( INDIRECT(ADDRESS(ROW()+1, COLUMN(), 4, TRUE, "Export-dataset")) / INDIRECT(ADDRESS(ROW(), COLUMN(), 4, TRUE, "Export-dataset")), "" )</f>
        <v>0.73493975903614461</v>
      </c>
      <c r="BX16" s="6" cm="1">
        <f t="array" aca="1" ref="BX16" ca="1">IFERROR( INDIRECT(ADDRESS(ROW()+1, COLUMN(), 4, TRUE, "Export-dataset")) / INDIRECT(ADDRESS(ROW(), COLUMN(), 4, TRUE, "Export-dataset")), "" )</f>
        <v>0</v>
      </c>
      <c r="BY16" s="6" cm="1">
        <f t="array" aca="1" ref="BY16" ca="1">IFERROR( INDIRECT(ADDRESS(ROW()+1, COLUMN(), 4, TRUE, "Export-dataset")) / INDIRECT(ADDRESS(ROW(), COLUMN(), 4, TRUE, "Export-dataset")), "" )</f>
        <v>1.0413974151857834</v>
      </c>
      <c r="BZ16" s="6" cm="1">
        <f t="array" aca="1" ref="BZ16" ca="1">IFERROR( INDIRECT(ADDRESS(ROW()+1, COLUMN(), 4, TRUE, "Export-dataset")) / INDIRECT(ADDRESS(ROW(), COLUMN(), 4, TRUE, "Export-dataset")), "" )</f>
        <v>1.1180981595092025</v>
      </c>
      <c r="CA16" s="6" cm="1">
        <f t="array" aca="1" ref="CA16" ca="1">IFERROR( INDIRECT(ADDRESS(ROW()+1, COLUMN(), 4, TRUE, "Export-dataset")) / INDIRECT(ADDRESS(ROW(), COLUMN(), 4, TRUE, "Export-dataset")), "" )</f>
        <v>1.110334828507997</v>
      </c>
    </row>
    <row r="17" spans="1:79">
      <c r="A17" s="6" t="s">
        <v>174</v>
      </c>
      <c r="B17" s="6" cm="1">
        <f t="array" aca="1" ref="B17" ca="1">IFERROR( INDIRECT(ADDRESS(ROW()+1, COLUMN(), 4, TRUE, "Export-dataset")) / INDIRECT(ADDRESS(ROW(), COLUMN(), 4, TRUE, "Export-dataset")), "" )</f>
        <v>0.96139329725796918</v>
      </c>
      <c r="C17" s="6" cm="1">
        <f t="array" aca="1" ref="C17" ca="1">IFERROR( INDIRECT(ADDRESS(ROW()+1, COLUMN(), 4, TRUE, "Export-dataset")) / INDIRECT(ADDRESS(ROW(), COLUMN(), 4, TRUE, "Export-dataset")), "" )</f>
        <v>1.1339805825242719</v>
      </c>
      <c r="D17" s="6" cm="1">
        <f t="array" aca="1" ref="D17" ca="1">IFERROR( INDIRECT(ADDRESS(ROW()+1, COLUMN(), 4, TRUE, "Export-dataset")) / INDIRECT(ADDRESS(ROW(), COLUMN(), 4, TRUE, "Export-dataset")), "" )</f>
        <v>0.93452661328308995</v>
      </c>
      <c r="E17" s="6" cm="1">
        <f t="array" aca="1" ref="E17" ca="1">IFERROR( INDIRECT(ADDRESS(ROW()+1, COLUMN(), 4, TRUE, "Export-dataset")) / INDIRECT(ADDRESS(ROW(), COLUMN(), 4, TRUE, "Export-dataset")), "" )</f>
        <v>0.94686782551656279</v>
      </c>
      <c r="F17" s="6" cm="1">
        <f t="array" aca="1" ref="F17" ca="1">IFERROR( INDIRECT(ADDRESS(ROW()+1, COLUMN(), 4, TRUE, "Export-dataset")) / INDIRECT(ADDRESS(ROW(), COLUMN(), 4, TRUE, "Export-dataset")), "" )</f>
        <v>0.95090590298071298</v>
      </c>
      <c r="G17" s="6" cm="1">
        <f t="array" aca="1" ref="G17" ca="1">IFERROR( INDIRECT(ADDRESS(ROW()+1, COLUMN(), 4, TRUE, "Export-dataset")) / INDIRECT(ADDRESS(ROW(), COLUMN(), 4, TRUE, "Export-dataset")), "" )</f>
        <v>0.94873427798121324</v>
      </c>
      <c r="H17" s="6" cm="1">
        <f t="array" aca="1" ref="H17" ca="1">IFERROR( INDIRECT(ADDRESS(ROW()+1, COLUMN(), 4, TRUE, "Export-dataset")) / INDIRECT(ADDRESS(ROW(), COLUMN(), 4, TRUE, "Export-dataset")), "" )</f>
        <v>1.0061199510403918</v>
      </c>
      <c r="I17" s="6" cm="1">
        <f t="array" aca="1" ref="I17" ca="1">IFERROR( INDIRECT(ADDRESS(ROW()+1, COLUMN(), 4, TRUE, "Export-dataset")) / INDIRECT(ADDRESS(ROW(), COLUMN(), 4, TRUE, "Export-dataset")), "" )</f>
        <v>1.0267857142857142</v>
      </c>
      <c r="J17" s="6" cm="1">
        <f t="array" aca="1" ref="J17" ca="1">IFERROR( INDIRECT(ADDRESS(ROW()+1, COLUMN(), 4, TRUE, "Export-dataset")) / INDIRECT(ADDRESS(ROW(), COLUMN(), 4, TRUE, "Export-dataset")), "" )</f>
        <v>1.0891472868217054</v>
      </c>
      <c r="K17" s="6" cm="1">
        <f t="array" aca="1" ref="K17" ca="1">IFERROR( INDIRECT(ADDRESS(ROW()+1, COLUMN(), 4, TRUE, "Export-dataset")) / INDIRECT(ADDRESS(ROW(), COLUMN(), 4, TRUE, "Export-dataset")), "" )</f>
        <v>0.96188565697091277</v>
      </c>
      <c r="L17" s="6" cm="1">
        <f t="array" aca="1" ref="L17" ca="1">IFERROR( INDIRECT(ADDRESS(ROW()+1, COLUMN(), 4, TRUE, "Export-dataset")) / INDIRECT(ADDRESS(ROW(), COLUMN(), 4, TRUE, "Export-dataset")), "" )</f>
        <v>1.0091954022988505</v>
      </c>
      <c r="M17" s="6" cm="1">
        <f t="array" aca="1" ref="M17" ca="1">IFERROR( INDIRECT(ADDRESS(ROW()+1, COLUMN(), 4, TRUE, "Export-dataset")) / INDIRECT(ADDRESS(ROW(), COLUMN(), 4, TRUE, "Export-dataset")), "" )</f>
        <v>1.1977116704805493</v>
      </c>
      <c r="N17" s="6" cm="1">
        <f t="array" aca="1" ref="N17" ca="1">IFERROR( INDIRECT(ADDRESS(ROW()+1, COLUMN(), 4, TRUE, "Export-dataset")) / INDIRECT(ADDRESS(ROW(), COLUMN(), 4, TRUE, "Export-dataset")), "" )</f>
        <v>1.1895981087470449</v>
      </c>
      <c r="O17" s="6" cm="1">
        <f t="array" aca="1" ref="O17" ca="1">IFERROR( INDIRECT(ADDRESS(ROW()+1, COLUMN(), 4, TRUE, "Export-dataset")) / INDIRECT(ADDRESS(ROW(), COLUMN(), 4, TRUE, "Export-dataset")), "" )</f>
        <v>1.3888888888888888</v>
      </c>
      <c r="P17" s="6" cm="1">
        <f t="array" aca="1" ref="P17" ca="1">IFERROR( INDIRECT(ADDRESS(ROW()+1, COLUMN(), 4, TRUE, "Export-dataset")) / INDIRECT(ADDRESS(ROW(), COLUMN(), 4, TRUE, "Export-dataset")), "" )</f>
        <v>0.92734844979176312</v>
      </c>
      <c r="Q17" s="6" cm="1">
        <f t="array" aca="1" ref="Q17" ca="1">IFERROR( INDIRECT(ADDRESS(ROW()+1, COLUMN(), 4, TRUE, "Export-dataset")) / INDIRECT(ADDRESS(ROW(), COLUMN(), 4, TRUE, "Export-dataset")), "" )</f>
        <v>0.79468599033816423</v>
      </c>
      <c r="R17" s="6" cm="1">
        <f t="array" aca="1" ref="R17" ca="1">IFERROR( INDIRECT(ADDRESS(ROW()+1, COLUMN(), 4, TRUE, "Export-dataset")) / INDIRECT(ADDRESS(ROW(), COLUMN(), 4, TRUE, "Export-dataset")), "" )</f>
        <v>1.0299319727891156</v>
      </c>
      <c r="S17" s="6" cm="1">
        <f t="array" aca="1" ref="S17" ca="1">IFERROR( INDIRECT(ADDRESS(ROW()+1, COLUMN(), 4, TRUE, "Export-dataset")) / INDIRECT(ADDRESS(ROW(), COLUMN(), 4, TRUE, "Export-dataset")), "" )</f>
        <v>1.1176470588235294</v>
      </c>
      <c r="T17" s="6" cm="1">
        <f t="array" aca="1" ref="T17" ca="1">IFERROR( INDIRECT(ADDRESS(ROW()+1, COLUMN(), 4, TRUE, "Export-dataset")) / INDIRECT(ADDRESS(ROW(), COLUMN(), 4, TRUE, "Export-dataset")), "" )</f>
        <v>1.1315483119906868</v>
      </c>
      <c r="U17" s="6" cm="1">
        <f t="array" aca="1" ref="U17" ca="1">IFERROR( INDIRECT(ADDRESS(ROW()+1, COLUMN(), 4, TRUE, "Export-dataset")) / INDIRECT(ADDRESS(ROW(), COLUMN(), 4, TRUE, "Export-dataset")), "" )</f>
        <v>0.94117647058823528</v>
      </c>
      <c r="V17" s="6" cm="1">
        <f t="array" aca="1" ref="V17" ca="1">IFERROR( INDIRECT(ADDRESS(ROW()+1, COLUMN(), 4, TRUE, "Export-dataset")) / INDIRECT(ADDRESS(ROW(), COLUMN(), 4, TRUE, "Export-dataset")), "" )</f>
        <v>0.87710498029380146</v>
      </c>
      <c r="W17" s="6" cm="1">
        <f t="array" aca="1" ref="W17" ca="1">IFERROR( INDIRECT(ADDRESS(ROW()+1, COLUMN(), 4, TRUE, "Export-dataset")) / INDIRECT(ADDRESS(ROW(), COLUMN(), 4, TRUE, "Export-dataset")), "" )</f>
        <v>0.94538606403013181</v>
      </c>
      <c r="X17" s="6" cm="1">
        <f t="array" aca="1" ref="X17" ca="1">IFERROR( INDIRECT(ADDRESS(ROW()+1, COLUMN(), 4, TRUE, "Export-dataset")) / INDIRECT(ADDRESS(ROW(), COLUMN(), 4, TRUE, "Export-dataset")), "" )</f>
        <v>0.93415388754371809</v>
      </c>
      <c r="Y17" s="6" cm="1">
        <f t="array" aca="1" ref="Y17" ca="1">IFERROR( INDIRECT(ADDRESS(ROW()+1, COLUMN(), 4, TRUE, "Export-dataset")) / INDIRECT(ADDRESS(ROW(), COLUMN(), 4, TRUE, "Export-dataset")), "" )</f>
        <v>0.99339933993399343</v>
      </c>
      <c r="Z17" s="6" cm="1">
        <f t="array" aca="1" ref="Z17" ca="1">IFERROR( INDIRECT(ADDRESS(ROW()+1, COLUMN(), 4, TRUE, "Export-dataset")) / INDIRECT(ADDRESS(ROW(), COLUMN(), 4, TRUE, "Export-dataset")), "" )</f>
        <v>0.97133081642284091</v>
      </c>
      <c r="AA17" s="6" cm="1">
        <f t="array" aca="1" ref="AA17" ca="1">IFERROR( INDIRECT(ADDRESS(ROW()+1, COLUMN(), 4, TRUE, "Export-dataset")) / INDIRECT(ADDRESS(ROW(), COLUMN(), 4, TRUE, "Export-dataset")), "" )</f>
        <v>1.0290075115870225</v>
      </c>
      <c r="AB17" s="6" cm="1">
        <f t="array" aca="1" ref="AB17" ca="1">IFERROR( INDIRECT(ADDRESS(ROW()+1, COLUMN(), 4, TRUE, "Export-dataset")) / INDIRECT(ADDRESS(ROW(), COLUMN(), 4, TRUE, "Export-dataset")), "" )</f>
        <v>0.93595310464611381</v>
      </c>
      <c r="AC17" s="6" cm="1">
        <f t="array" aca="1" ref="AC17" ca="1">IFERROR( INDIRECT(ADDRESS(ROW()+1, COLUMN(), 4, TRUE, "Export-dataset")) / INDIRECT(ADDRESS(ROW(), COLUMN(), 4, TRUE, "Export-dataset")), "" )</f>
        <v>0.86420086393088558</v>
      </c>
      <c r="AD17" s="6" cm="1">
        <f t="array" aca="1" ref="AD17" ca="1">IFERROR( INDIRECT(ADDRESS(ROW()+1, COLUMN(), 4, TRUE, "Export-dataset")) / INDIRECT(ADDRESS(ROW(), COLUMN(), 4, TRUE, "Export-dataset")), "" )</f>
        <v>1.025974025974026</v>
      </c>
      <c r="AE17" s="6" cm="1">
        <f t="array" aca="1" ref="AE17" ca="1">IFERROR( INDIRECT(ADDRESS(ROW()+1, COLUMN(), 4, TRUE, "Export-dataset")) / INDIRECT(ADDRESS(ROW(), COLUMN(), 4, TRUE, "Export-dataset")), "" )</f>
        <v>0.95852534562211977</v>
      </c>
      <c r="AF17" s="6" cm="1">
        <f t="array" aca="1" ref="AF17" ca="1">IFERROR( INDIRECT(ADDRESS(ROW()+1, COLUMN(), 4, TRUE, "Export-dataset")) / INDIRECT(ADDRESS(ROW(), COLUMN(), 4, TRUE, "Export-dataset")), "" )</f>
        <v>1.25</v>
      </c>
      <c r="AG17" s="6" cm="1">
        <f t="array" aca="1" ref="AG17" ca="1">IFERROR( INDIRECT(ADDRESS(ROW()+1, COLUMN(), 4, TRUE, "Export-dataset")) / INDIRECT(ADDRESS(ROW(), COLUMN(), 4, TRUE, "Export-dataset")), "" )</f>
        <v>1.1875</v>
      </c>
      <c r="AH17" s="6" cm="1">
        <f t="array" aca="1" ref="AH17" ca="1">IFERROR( INDIRECT(ADDRESS(ROW()+1, COLUMN(), 4, TRUE, "Export-dataset")) / INDIRECT(ADDRESS(ROW(), COLUMN(), 4, TRUE, "Export-dataset")), "" )</f>
        <v>0.93672754104408784</v>
      </c>
      <c r="AI17" s="6" cm="1">
        <f t="array" aca="1" ref="AI17" ca="1">IFERROR( INDIRECT(ADDRESS(ROW()+1, COLUMN(), 4, TRUE, "Export-dataset")) / INDIRECT(ADDRESS(ROW(), COLUMN(), 4, TRUE, "Export-dataset")), "" )</f>
        <v>0.96323529411764708</v>
      </c>
      <c r="AJ17" s="6" cm="1">
        <f t="array" aca="1" ref="AJ17" ca="1">IFERROR( INDIRECT(ADDRESS(ROW()+1, COLUMN(), 4, TRUE, "Export-dataset")) / INDIRECT(ADDRESS(ROW(), COLUMN(), 4, TRUE, "Export-dataset")), "" )</f>
        <v>0.97163120567375882</v>
      </c>
      <c r="AK17" s="6" cm="1">
        <f t="array" aca="1" ref="AK17" ca="1">IFERROR( INDIRECT(ADDRESS(ROW()+1, COLUMN(), 4, TRUE, "Export-dataset")) / INDIRECT(ADDRESS(ROW(), COLUMN(), 4, TRUE, "Export-dataset")), "" )</f>
        <v>1.0494590417310665</v>
      </c>
      <c r="AL17" s="6" cm="1">
        <f t="array" aca="1" ref="AL17" ca="1">IFERROR( INDIRECT(ADDRESS(ROW()+1, COLUMN(), 4, TRUE, "Export-dataset")) / INDIRECT(ADDRESS(ROW(), COLUMN(), 4, TRUE, "Export-dataset")), "" )</f>
        <v>0.79868529170090385</v>
      </c>
      <c r="AM17" s="6" cm="1">
        <f t="array" aca="1" ref="AM17" ca="1">IFERROR( INDIRECT(ADDRESS(ROW()+1, COLUMN(), 4, TRUE, "Export-dataset")) / INDIRECT(ADDRESS(ROW(), COLUMN(), 4, TRUE, "Export-dataset")), "" )</f>
        <v>1.248730964467005</v>
      </c>
      <c r="AN17" s="6" cm="1">
        <f t="array" aca="1" ref="AN17" ca="1">IFERROR( INDIRECT(ADDRESS(ROW()+1, COLUMN(), 4, TRUE, "Export-dataset")) / INDIRECT(ADDRESS(ROW(), COLUMN(), 4, TRUE, "Export-dataset")), "" )</f>
        <v>0.77631578947368418</v>
      </c>
      <c r="AO17" s="6" cm="1">
        <f t="array" aca="1" ref="AO17" ca="1">IFERROR( INDIRECT(ADDRESS(ROW()+1, COLUMN(), 4, TRUE, "Export-dataset")) / INDIRECT(ADDRESS(ROW(), COLUMN(), 4, TRUE, "Export-dataset")), "" )</f>
        <v>1</v>
      </c>
      <c r="AP17" s="6" cm="1">
        <f t="array" aca="1" ref="AP17" ca="1">IFERROR( INDIRECT(ADDRESS(ROW()+1, COLUMN(), 4, TRUE, "Export-dataset")) / INDIRECT(ADDRESS(ROW(), COLUMN(), 4, TRUE, "Export-dataset")), "" )</f>
        <v>1.1048034934497817</v>
      </c>
      <c r="AQ17" s="6" cm="1">
        <f t="array" aca="1" ref="AQ17" ca="1">IFERROR( INDIRECT(ADDRESS(ROW()+1, COLUMN(), 4, TRUE, "Export-dataset")) / INDIRECT(ADDRESS(ROW(), COLUMN(), 4, TRUE, "Export-dataset")), "" )</f>
        <v>1.0614173228346457</v>
      </c>
      <c r="AR17" s="6" cm="1">
        <f t="array" aca="1" ref="AR17" ca="1">IFERROR( INDIRECT(ADDRESS(ROW()+1, COLUMN(), 4, TRUE, "Export-dataset")) / INDIRECT(ADDRESS(ROW(), COLUMN(), 4, TRUE, "Export-dataset")), "" )</f>
        <v>0.96702349306703073</v>
      </c>
      <c r="AS17" s="6" cm="1">
        <f t="array" aca="1" ref="AS17" ca="1">IFERROR( INDIRECT(ADDRESS(ROW()+1, COLUMN(), 4, TRUE, "Export-dataset")) / INDIRECT(ADDRESS(ROW(), COLUMN(), 4, TRUE, "Export-dataset")), "" )</f>
        <v>1.1412844036697247</v>
      </c>
      <c r="AT17" s="6" cm="1">
        <f t="array" aca="1" ref="AT17" ca="1">IFERROR( INDIRECT(ADDRESS(ROW()+1, COLUMN(), 4, TRUE, "Export-dataset")) / INDIRECT(ADDRESS(ROW(), COLUMN(), 4, TRUE, "Export-dataset")), "" )</f>
        <v>0.81502890173410403</v>
      </c>
      <c r="AU17" s="6" cm="1">
        <f t="array" aca="1" ref="AU17" ca="1">IFERROR( INDIRECT(ADDRESS(ROW()+1, COLUMN(), 4, TRUE, "Export-dataset")) / INDIRECT(ADDRESS(ROW(), COLUMN(), 4, TRUE, "Export-dataset")), "" )</f>
        <v>1.0230414746543779</v>
      </c>
      <c r="AV17" s="6" cm="1">
        <f t="array" aca="1" ref="AV17" ca="1">IFERROR( INDIRECT(ADDRESS(ROW()+1, COLUMN(), 4, TRUE, "Export-dataset")) / INDIRECT(ADDRESS(ROW(), COLUMN(), 4, TRUE, "Export-dataset")), "" )</f>
        <v>1.1951588502269288</v>
      </c>
      <c r="AW17" s="6" cm="1">
        <f t="array" aca="1" ref="AW17" ca="1">IFERROR( INDIRECT(ADDRESS(ROW()+1, COLUMN(), 4, TRUE, "Export-dataset")) / INDIRECT(ADDRESS(ROW(), COLUMN(), 4, TRUE, "Export-dataset")), "" )</f>
        <v>0.9119718309859155</v>
      </c>
      <c r="AX17" s="6" cm="1">
        <f t="array" aca="1" ref="AX17" ca="1">IFERROR( INDIRECT(ADDRESS(ROW()+1, COLUMN(), 4, TRUE, "Export-dataset")) / INDIRECT(ADDRESS(ROW(), COLUMN(), 4, TRUE, "Export-dataset")), "" )</f>
        <v>0.96953781512605042</v>
      </c>
      <c r="AY17" s="6" cm="1">
        <f t="array" aca="1" ref="AY17" ca="1">IFERROR( INDIRECT(ADDRESS(ROW()+1, COLUMN(), 4, TRUE, "Export-dataset")) / INDIRECT(ADDRESS(ROW(), COLUMN(), 4, TRUE, "Export-dataset")), "" )</f>
        <v>1.0786974219810042</v>
      </c>
      <c r="AZ17" s="6" cm="1">
        <f t="array" aca="1" ref="AZ17" ca="1">IFERROR( INDIRECT(ADDRESS(ROW()+1, COLUMN(), 4, TRUE, "Export-dataset")) / INDIRECT(ADDRESS(ROW(), COLUMN(), 4, TRUE, "Export-dataset")), "" )</f>
        <v>0.92681618199377613</v>
      </c>
      <c r="BA17" s="6" cm="1">
        <f t="array" aca="1" ref="BA17" ca="1">IFERROR( INDIRECT(ADDRESS(ROW()+1, COLUMN(), 4, TRUE, "Export-dataset")) / INDIRECT(ADDRESS(ROW(), COLUMN(), 4, TRUE, "Export-dataset")), "" )</f>
        <v>1.0825565912117177</v>
      </c>
      <c r="BB17" s="6" cm="1">
        <f t="array" aca="1" ref="BB17" ca="1">IFERROR( INDIRECT(ADDRESS(ROW()+1, COLUMN(), 4, TRUE, "Export-dataset")) / INDIRECT(ADDRESS(ROW(), COLUMN(), 4, TRUE, "Export-dataset")), "" )</f>
        <v>1.025646582863748</v>
      </c>
      <c r="BC17" s="6" cm="1">
        <f t="array" aca="1" ref="BC17" ca="1">IFERROR( INDIRECT(ADDRESS(ROW()+1, COLUMN(), 4, TRUE, "Export-dataset")) / INDIRECT(ADDRESS(ROW(), COLUMN(), 4, TRUE, "Export-dataset")), "" )</f>
        <v>0.9</v>
      </c>
      <c r="BD17" s="6" cm="1">
        <f t="array" aca="1" ref="BD17" ca="1">IFERROR( INDIRECT(ADDRESS(ROW()+1, COLUMN(), 4, TRUE, "Export-dataset")) / INDIRECT(ADDRESS(ROW(), COLUMN(), 4, TRUE, "Export-dataset")), "" )</f>
        <v>0.99345930232558144</v>
      </c>
      <c r="BE17" s="6" cm="1">
        <f t="array" aca="1" ref="BE17" ca="1">IFERROR( INDIRECT(ADDRESS(ROW()+1, COLUMN(), 4, TRUE, "Export-dataset")) / INDIRECT(ADDRESS(ROW(), COLUMN(), 4, TRUE, "Export-dataset")), "" )</f>
        <v>0.6875</v>
      </c>
      <c r="BF17" s="6" cm="1">
        <f t="array" aca="1" ref="BF17" ca="1">IFERROR( INDIRECT(ADDRESS(ROW()+1, COLUMN(), 4, TRUE, "Export-dataset")) / INDIRECT(ADDRESS(ROW(), COLUMN(), 4, TRUE, "Export-dataset")), "" )</f>
        <v>0.96623177283192629</v>
      </c>
      <c r="BG17" s="6" cm="1">
        <f t="array" aca="1" ref="BG17" ca="1">IFERROR( INDIRECT(ADDRESS(ROW()+1, COLUMN(), 4, TRUE, "Export-dataset")) / INDIRECT(ADDRESS(ROW(), COLUMN(), 4, TRUE, "Export-dataset")), "" )</f>
        <v>0.98290598290598286</v>
      </c>
      <c r="BH17" s="6" cm="1">
        <f t="array" aca="1" ref="BH17" ca="1">IFERROR( INDIRECT(ADDRESS(ROW()+1, COLUMN(), 4, TRUE, "Export-dataset")) / INDIRECT(ADDRESS(ROW(), COLUMN(), 4, TRUE, "Export-dataset")), "" )</f>
        <v>0.55342667649226229</v>
      </c>
      <c r="BI17" s="6" cm="1">
        <f t="array" aca="1" ref="BI17" ca="1">IFERROR( INDIRECT(ADDRESS(ROW()+1, COLUMN(), 4, TRUE, "Export-dataset")) / INDIRECT(ADDRESS(ROW(), COLUMN(), 4, TRUE, "Export-dataset")), "" )</f>
        <v>1.0087770626097132</v>
      </c>
      <c r="BJ17" s="6" cm="1">
        <f t="array" aca="1" ref="BJ17" ca="1">IFERROR( INDIRECT(ADDRESS(ROW()+1, COLUMN(), 4, TRUE, "Export-dataset")) / INDIRECT(ADDRESS(ROW(), COLUMN(), 4, TRUE, "Export-dataset")), "" )</f>
        <v>1.0030588235294118</v>
      </c>
      <c r="BK17" s="6" cm="1">
        <f t="array" aca="1" ref="BK17" ca="1">IFERROR( INDIRECT(ADDRESS(ROW()+1, COLUMN(), 4, TRUE, "Export-dataset")) / INDIRECT(ADDRESS(ROW(), COLUMN(), 4, TRUE, "Export-dataset")), "" )</f>
        <v>1.9184652278177459</v>
      </c>
      <c r="BL17" s="6" cm="1">
        <f t="array" aca="1" ref="BL17" ca="1">IFERROR( INDIRECT(ADDRESS(ROW()+1, COLUMN(), 4, TRUE, "Export-dataset")) / INDIRECT(ADDRESS(ROW(), COLUMN(), 4, TRUE, "Export-dataset")), "" )</f>
        <v>0.97064622124863087</v>
      </c>
      <c r="BM17" s="6" cm="1">
        <f t="array" aca="1" ref="BM17" ca="1">IFERROR( INDIRECT(ADDRESS(ROW()+1, COLUMN(), 4, TRUE, "Export-dataset")) / INDIRECT(ADDRESS(ROW(), COLUMN(), 4, TRUE, "Export-dataset")), "" )</f>
        <v>1.3368421052631578</v>
      </c>
      <c r="BN17" s="6" cm="1">
        <f t="array" aca="1" ref="BN17" ca="1">IFERROR( INDIRECT(ADDRESS(ROW()+1, COLUMN(), 4, TRUE, "Export-dataset")) / INDIRECT(ADDRESS(ROW(), COLUMN(), 4, TRUE, "Export-dataset")), "" )</f>
        <v>1.1959459459459461</v>
      </c>
      <c r="BO17" s="6" cm="1">
        <f t="array" aca="1" ref="BO17" ca="1">IFERROR( INDIRECT(ADDRESS(ROW()+1, COLUMN(), 4, TRUE, "Export-dataset")) / INDIRECT(ADDRESS(ROW(), COLUMN(), 4, TRUE, "Export-dataset")), "" )</f>
        <v>1.1538461538461537</v>
      </c>
      <c r="BP17" s="6" cm="1">
        <f t="array" aca="1" ref="BP17" ca="1">IFERROR( INDIRECT(ADDRESS(ROW()+1, COLUMN(), 4, TRUE, "Export-dataset")) / INDIRECT(ADDRESS(ROW(), COLUMN(), 4, TRUE, "Export-dataset")), "" )</f>
        <v>0.86720867208672092</v>
      </c>
      <c r="BQ17" s="6" cm="1">
        <f t="array" aca="1" ref="BQ17" ca="1">IFERROR( INDIRECT(ADDRESS(ROW()+1, COLUMN(), 4, TRUE, "Export-dataset")) / INDIRECT(ADDRESS(ROW(), COLUMN(), 4, TRUE, "Export-dataset")), "" )</f>
        <v>0.91935483870967738</v>
      </c>
      <c r="BR17" s="6" cm="1">
        <f t="array" aca="1" ref="BR17" ca="1">IFERROR( INDIRECT(ADDRESS(ROW()+1, COLUMN(), 4, TRUE, "Export-dataset")) / INDIRECT(ADDRESS(ROW(), COLUMN(), 4, TRUE, "Export-dataset")), "" )</f>
        <v>1.0340821068938808</v>
      </c>
      <c r="BS17" s="6" cm="1">
        <f t="array" aca="1" ref="BS17" ca="1">IFERROR( INDIRECT(ADDRESS(ROW()+1, COLUMN(), 4, TRUE, "Export-dataset")) / INDIRECT(ADDRESS(ROW(), COLUMN(), 4, TRUE, "Export-dataset")), "" )</f>
        <v>0.65139263252470803</v>
      </c>
      <c r="BT17" s="6" cm="1">
        <f t="array" aca="1" ref="BT17" ca="1">IFERROR( INDIRECT(ADDRESS(ROW()+1, COLUMN(), 4, TRUE, "Export-dataset")) / INDIRECT(ADDRESS(ROW(), COLUMN(), 4, TRUE, "Export-dataset")), "" )</f>
        <v>1.1360544217687074</v>
      </c>
      <c r="BU17" s="6" cm="1">
        <f t="array" aca="1" ref="BU17" ca="1">IFERROR( INDIRECT(ADDRESS(ROW()+1, COLUMN(), 4, TRUE, "Export-dataset")) / INDIRECT(ADDRESS(ROW(), COLUMN(), 4, TRUE, "Export-dataset")), "" )</f>
        <v>1.0339762076423937</v>
      </c>
      <c r="BV17" s="6" cm="1">
        <f t="array" aca="1" ref="BV17" ca="1">IFERROR( INDIRECT(ADDRESS(ROW()+1, COLUMN(), 4, TRUE, "Export-dataset")) / INDIRECT(ADDRESS(ROW(), COLUMN(), 4, TRUE, "Export-dataset")), "" )</f>
        <v>1.1169354838709677</v>
      </c>
      <c r="BW17" s="6" cm="1">
        <f t="array" aca="1" ref="BW17" ca="1">IFERROR( INDIRECT(ADDRESS(ROW()+1, COLUMN(), 4, TRUE, "Export-dataset")) / INDIRECT(ADDRESS(ROW(), COLUMN(), 4, TRUE, "Export-dataset")), "" )</f>
        <v>1.1147540983606556</v>
      </c>
      <c r="BX17" s="6" t="str" cm="1">
        <f t="array" aca="1" ref="BX17" ca="1">IFERROR( INDIRECT(ADDRESS(ROW()+1, COLUMN(), 4, TRUE, "Export-dataset")) / INDIRECT(ADDRESS(ROW(), COLUMN(), 4, TRUE, "Export-dataset")), "" )</f>
        <v/>
      </c>
      <c r="BY17" s="6" cm="1">
        <f t="array" aca="1" ref="BY17" ca="1">IFERROR( INDIRECT(ADDRESS(ROW()+1, COLUMN(), 4, TRUE, "Export-dataset")) / INDIRECT(ADDRESS(ROW(), COLUMN(), 4, TRUE, "Export-dataset")), "" )</f>
        <v>1.0290866783013379</v>
      </c>
      <c r="BZ17" s="6" cm="1">
        <f t="array" aca="1" ref="BZ17" ca="1">IFERROR( INDIRECT(ADDRESS(ROW()+1, COLUMN(), 4, TRUE, "Export-dataset")) / INDIRECT(ADDRESS(ROW(), COLUMN(), 4, TRUE, "Export-dataset")), "" )</f>
        <v>0.98847736625514404</v>
      </c>
      <c r="CA17" s="6" cm="1">
        <f t="array" aca="1" ref="CA17" ca="1">IFERROR( INDIRECT(ADDRESS(ROW()+1, COLUMN(), 4, TRUE, "Export-dataset")) / INDIRECT(ADDRESS(ROW(), COLUMN(), 4, TRUE, "Export-dataset")), "" )</f>
        <v>0.97492063232977777</v>
      </c>
    </row>
    <row r="18" spans="1:79">
      <c r="A18" s="6" t="s">
        <v>175</v>
      </c>
      <c r="B18" s="6" cm="1">
        <f t="array" aca="1" ref="B18" ca="1">IFERROR( INDIRECT(ADDRESS(ROW()+1, COLUMN(), 4, TRUE, "Export-dataset")) / INDIRECT(ADDRESS(ROW(), COLUMN(), 4, TRUE, "Export-dataset")), "" )</f>
        <v>0.77499763503925834</v>
      </c>
      <c r="C18" s="6" cm="1">
        <f t="array" aca="1" ref="C18" ca="1">IFERROR( INDIRECT(ADDRESS(ROW()+1, COLUMN(), 4, TRUE, "Export-dataset")) / INDIRECT(ADDRESS(ROW(), COLUMN(), 4, TRUE, "Export-dataset")), "" )</f>
        <v>0.82962328767123283</v>
      </c>
      <c r="D18" s="6" cm="1">
        <f t="array" aca="1" ref="D18" ca="1">IFERROR( INDIRECT(ADDRESS(ROW()+1, COLUMN(), 4, TRUE, "Export-dataset")) / INDIRECT(ADDRESS(ROW(), COLUMN(), 4, TRUE, "Export-dataset")), "" )</f>
        <v>0.89196908602150538</v>
      </c>
      <c r="E18" s="6" cm="1">
        <f t="array" aca="1" ref="E18" ca="1">IFERROR( INDIRECT(ADDRESS(ROW()+1, COLUMN(), 4, TRUE, "Export-dataset")) / INDIRECT(ADDRESS(ROW(), COLUMN(), 4, TRUE, "Export-dataset")), "" )</f>
        <v>0.71735365431243503</v>
      </c>
      <c r="F18" s="6" cm="1">
        <f t="array" aca="1" ref="F18" ca="1">IFERROR( INDIRECT(ADDRESS(ROW()+1, COLUMN(), 4, TRUE, "Export-dataset")) / INDIRECT(ADDRESS(ROW(), COLUMN(), 4, TRUE, "Export-dataset")), "" )</f>
        <v>0.83036263060848192</v>
      </c>
      <c r="G18" s="6" cm="1">
        <f t="array" aca="1" ref="G18" ca="1">IFERROR( INDIRECT(ADDRESS(ROW()+1, COLUMN(), 4, TRUE, "Export-dataset")) / INDIRECT(ADDRESS(ROW(), COLUMN(), 4, TRUE, "Export-dataset")), "" )</f>
        <v>0.6126866923980534</v>
      </c>
      <c r="H18" s="6" cm="1">
        <f t="array" aca="1" ref="H18" ca="1">IFERROR( INDIRECT(ADDRESS(ROW()+1, COLUMN(), 4, TRUE, "Export-dataset")) / INDIRECT(ADDRESS(ROW(), COLUMN(), 4, TRUE, "Export-dataset")), "" )</f>
        <v>0.7487834549878345</v>
      </c>
      <c r="I18" s="6" cm="1">
        <f t="array" aca="1" ref="I18" ca="1">IFERROR( INDIRECT(ADDRESS(ROW()+1, COLUMN(), 4, TRUE, "Export-dataset")) / INDIRECT(ADDRESS(ROW(), COLUMN(), 4, TRUE, "Export-dataset")), "" )</f>
        <v>0.77391304347826084</v>
      </c>
      <c r="J18" s="6" cm="1">
        <f t="array" aca="1" ref="J18" ca="1">IFERROR( INDIRECT(ADDRESS(ROW()+1, COLUMN(), 4, TRUE, "Export-dataset")) / INDIRECT(ADDRESS(ROW(), COLUMN(), 4, TRUE, "Export-dataset")), "" )</f>
        <v>1</v>
      </c>
      <c r="K18" s="6" cm="1">
        <f t="array" aca="1" ref="K18" ca="1">IFERROR( INDIRECT(ADDRESS(ROW()+1, COLUMN(), 4, TRUE, "Export-dataset")) / INDIRECT(ADDRESS(ROW(), COLUMN(), 4, TRUE, "Export-dataset")), "" )</f>
        <v>0.9051094890510949</v>
      </c>
      <c r="L18" s="6" cm="1">
        <f t="array" aca="1" ref="L18" ca="1">IFERROR( INDIRECT(ADDRESS(ROW()+1, COLUMN(), 4, TRUE, "Export-dataset")) / INDIRECT(ADDRESS(ROW(), COLUMN(), 4, TRUE, "Export-dataset")), "" )</f>
        <v>1.0911161731207288</v>
      </c>
      <c r="M18" s="6" cm="1">
        <f t="array" aca="1" ref="M18" ca="1">IFERROR( INDIRECT(ADDRESS(ROW()+1, COLUMN(), 4, TRUE, "Export-dataset")) / INDIRECT(ADDRESS(ROW(), COLUMN(), 4, TRUE, "Export-dataset")), "" )</f>
        <v>1.0034390523500192</v>
      </c>
      <c r="N18" s="6" cm="1">
        <f t="array" aca="1" ref="N18" ca="1">IFERROR( INDIRECT(ADDRESS(ROW()+1, COLUMN(), 4, TRUE, "Export-dataset")) / INDIRECT(ADDRESS(ROW(), COLUMN(), 4, TRUE, "Export-dataset")), "" )</f>
        <v>1.0047694753577106</v>
      </c>
      <c r="O18" s="6" cm="1">
        <f t="array" aca="1" ref="O18" ca="1">IFERROR( INDIRECT(ADDRESS(ROW()+1, COLUMN(), 4, TRUE, "Export-dataset")) / INDIRECT(ADDRESS(ROW(), COLUMN(), 4, TRUE, "Export-dataset")), "" )</f>
        <v>0.98</v>
      </c>
      <c r="P18" s="6" cm="1">
        <f t="array" aca="1" ref="P18" ca="1">IFERROR( INDIRECT(ADDRESS(ROW()+1, COLUMN(), 4, TRUE, "Export-dataset")) / INDIRECT(ADDRESS(ROW(), COLUMN(), 4, TRUE, "Export-dataset")), "" )</f>
        <v>0.91643984757757213</v>
      </c>
      <c r="Q18" s="6" cm="1">
        <f t="array" aca="1" ref="Q18" ca="1">IFERROR( INDIRECT(ADDRESS(ROW()+1, COLUMN(), 4, TRUE, "Export-dataset")) / INDIRECT(ADDRESS(ROW(), COLUMN(), 4, TRUE, "Export-dataset")), "" )</f>
        <v>0.96808510638297873</v>
      </c>
      <c r="R18" s="6" cm="1">
        <f t="array" aca="1" ref="R18" ca="1">IFERROR( INDIRECT(ADDRESS(ROW()+1, COLUMN(), 4, TRUE, "Export-dataset")) / INDIRECT(ADDRESS(ROW(), COLUMN(), 4, TRUE, "Export-dataset")), "" )</f>
        <v>0.49273447820343463</v>
      </c>
      <c r="S18" s="6" cm="1">
        <f t="array" aca="1" ref="S18" ca="1">IFERROR( INDIRECT(ADDRESS(ROW()+1, COLUMN(), 4, TRUE, "Export-dataset")) / INDIRECT(ADDRESS(ROW(), COLUMN(), 4, TRUE, "Export-dataset")), "" )</f>
        <v>0.84210526315789469</v>
      </c>
      <c r="T18" s="6" cm="1">
        <f t="array" aca="1" ref="T18" ca="1">IFERROR( INDIRECT(ADDRESS(ROW()+1, COLUMN(), 4, TRUE, "Export-dataset")) / INDIRECT(ADDRESS(ROW(), COLUMN(), 4, TRUE, "Export-dataset")), "" )</f>
        <v>0.98662551440329216</v>
      </c>
      <c r="U18" s="6" cm="1">
        <f t="array" aca="1" ref="U18" ca="1">IFERROR( INDIRECT(ADDRESS(ROW()+1, COLUMN(), 4, TRUE, "Export-dataset")) / INDIRECT(ADDRESS(ROW(), COLUMN(), 4, TRUE, "Export-dataset")), "" )</f>
        <v>1.1666666666666667</v>
      </c>
      <c r="V18" s="6" cm="1">
        <f t="array" aca="1" ref="V18" ca="1">IFERROR( INDIRECT(ADDRESS(ROW()+1, COLUMN(), 4, TRUE, "Export-dataset")) / INDIRECT(ADDRESS(ROW(), COLUMN(), 4, TRUE, "Export-dataset")), "" )</f>
        <v>0.71425653594771243</v>
      </c>
      <c r="W18" s="6" cm="1">
        <f t="array" aca="1" ref="W18" ca="1">IFERROR( INDIRECT(ADDRESS(ROW()+1, COLUMN(), 4, TRUE, "Export-dataset")) / INDIRECT(ADDRESS(ROW(), COLUMN(), 4, TRUE, "Export-dataset")), "" )</f>
        <v>0.89641434262948205</v>
      </c>
      <c r="X18" s="6" cm="1">
        <f t="array" aca="1" ref="X18" ca="1">IFERROR( INDIRECT(ADDRESS(ROW()+1, COLUMN(), 4, TRUE, "Export-dataset")) / INDIRECT(ADDRESS(ROW(), COLUMN(), 4, TRUE, "Export-dataset")), "" )</f>
        <v>1.0056879544963639</v>
      </c>
      <c r="Y18" s="6" cm="1">
        <f t="array" aca="1" ref="Y18" ca="1">IFERROR( INDIRECT(ADDRESS(ROW()+1, COLUMN(), 4, TRUE, "Export-dataset")) / INDIRECT(ADDRESS(ROW(), COLUMN(), 4, TRUE, "Export-dataset")), "" )</f>
        <v>0.8039867109634552</v>
      </c>
      <c r="Z18" s="6" cm="1">
        <f t="array" aca="1" ref="Z18" ca="1">IFERROR( INDIRECT(ADDRESS(ROW()+1, COLUMN(), 4, TRUE, "Export-dataset")) / INDIRECT(ADDRESS(ROW(), COLUMN(), 4, TRUE, "Export-dataset")), "" )</f>
        <v>0.86432649095105063</v>
      </c>
      <c r="AA18" s="6" cm="1">
        <f t="array" aca="1" ref="AA18" ca="1">IFERROR( INDIRECT(ADDRESS(ROW()+1, COLUMN(), 4, TRUE, "Export-dataset")) / INDIRECT(ADDRESS(ROW(), COLUMN(), 4, TRUE, "Export-dataset")), "" )</f>
        <v>0.84647045119204789</v>
      </c>
      <c r="AB18" s="6" cm="1">
        <f t="array" aca="1" ref="AB18" ca="1">IFERROR( INDIRECT(ADDRESS(ROW()+1, COLUMN(), 4, TRUE, "Export-dataset")) / INDIRECT(ADDRESS(ROW(), COLUMN(), 4, TRUE, "Export-dataset")), "" )</f>
        <v>0.84017629320343312</v>
      </c>
      <c r="AC18" s="6" cm="1">
        <f t="array" aca="1" ref="AC18" ca="1">IFERROR( INDIRECT(ADDRESS(ROW()+1, COLUMN(), 4, TRUE, "Export-dataset")) / INDIRECT(ADDRESS(ROW(), COLUMN(), 4, TRUE, "Export-dataset")), "" )</f>
        <v>1</v>
      </c>
      <c r="AD18" s="6" cm="1">
        <f t="array" aca="1" ref="AD18" ca="1">IFERROR( INDIRECT(ADDRESS(ROW()+1, COLUMN(), 4, TRUE, "Export-dataset")) / INDIRECT(ADDRESS(ROW(), COLUMN(), 4, TRUE, "Export-dataset")), "" )</f>
        <v>1.0316455696202531</v>
      </c>
      <c r="AE18" s="6" cm="1">
        <f t="array" aca="1" ref="AE18" ca="1">IFERROR( INDIRECT(ADDRESS(ROW()+1, COLUMN(), 4, TRUE, "Export-dataset")) / INDIRECT(ADDRESS(ROW(), COLUMN(), 4, TRUE, "Export-dataset")), "" )</f>
        <v>1.1490384615384615</v>
      </c>
      <c r="AF18" s="6" cm="1">
        <f t="array" aca="1" ref="AF18" ca="1">IFERROR( INDIRECT(ADDRESS(ROW()+1, COLUMN(), 4, TRUE, "Export-dataset")) / INDIRECT(ADDRESS(ROW(), COLUMN(), 4, TRUE, "Export-dataset")), "" )</f>
        <v>0.69090909090909092</v>
      </c>
      <c r="AG18" s="6" cm="1">
        <f t="array" aca="1" ref="AG18" ca="1">IFERROR( INDIRECT(ADDRESS(ROW()+1, COLUMN(), 4, TRUE, "Export-dataset")) / INDIRECT(ADDRESS(ROW(), COLUMN(), 4, TRUE, "Export-dataset")), "" )</f>
        <v>0.89473684210526316</v>
      </c>
      <c r="AH18" s="6" cm="1">
        <f t="array" aca="1" ref="AH18" ca="1">IFERROR( INDIRECT(ADDRESS(ROW()+1, COLUMN(), 4, TRUE, "Export-dataset")) / INDIRECT(ADDRESS(ROW(), COLUMN(), 4, TRUE, "Export-dataset")), "" )</f>
        <v>1.0226467113036628</v>
      </c>
      <c r="AI18" s="6" cm="1">
        <f t="array" aca="1" ref="AI18" ca="1">IFERROR( INDIRECT(ADDRESS(ROW()+1, COLUMN(), 4, TRUE, "Export-dataset")) / INDIRECT(ADDRESS(ROW(), COLUMN(), 4, TRUE, "Export-dataset")), "" )</f>
        <v>1.1068702290076335</v>
      </c>
      <c r="AJ18" s="6" cm="1">
        <f t="array" aca="1" ref="AJ18" ca="1">IFERROR( INDIRECT(ADDRESS(ROW()+1, COLUMN(), 4, TRUE, "Export-dataset")) / INDIRECT(ADDRESS(ROW(), COLUMN(), 4, TRUE, "Export-dataset")), "" )</f>
        <v>0.95255474452554745</v>
      </c>
      <c r="AK18" s="6" cm="1">
        <f t="array" aca="1" ref="AK18" ca="1">IFERROR( INDIRECT(ADDRESS(ROW()+1, COLUMN(), 4, TRUE, "Export-dataset")) / INDIRECT(ADDRESS(ROW(), COLUMN(), 4, TRUE, "Export-dataset")), "" )</f>
        <v>0.91016200294550809</v>
      </c>
      <c r="AL18" s="6" cm="1">
        <f t="array" aca="1" ref="AL18" ca="1">IFERROR( INDIRECT(ADDRESS(ROW()+1, COLUMN(), 4, TRUE, "Export-dataset")) / INDIRECT(ADDRESS(ROW(), COLUMN(), 4, TRUE, "Export-dataset")), "" )</f>
        <v>1.1502057613168724</v>
      </c>
      <c r="AM18" s="6" cm="1">
        <f t="array" aca="1" ref="AM18" ca="1">IFERROR( INDIRECT(ADDRESS(ROW()+1, COLUMN(), 4, TRUE, "Export-dataset")) / INDIRECT(ADDRESS(ROW(), COLUMN(), 4, TRUE, "Export-dataset")), "" )</f>
        <v>0.87804878048780488</v>
      </c>
      <c r="AN18" s="6" cm="1">
        <f t="array" aca="1" ref="AN18" ca="1">IFERROR( INDIRECT(ADDRESS(ROW()+1, COLUMN(), 4, TRUE, "Export-dataset")) / INDIRECT(ADDRESS(ROW(), COLUMN(), 4, TRUE, "Export-dataset")), "" )</f>
        <v>1.2796610169491525</v>
      </c>
      <c r="AO18" s="6" cm="1">
        <f t="array" aca="1" ref="AO18" ca="1">IFERROR( INDIRECT(ADDRESS(ROW()+1, COLUMN(), 4, TRUE, "Export-dataset")) / INDIRECT(ADDRESS(ROW(), COLUMN(), 4, TRUE, "Export-dataset")), "" )</f>
        <v>0.86752136752136755</v>
      </c>
      <c r="AP18" s="6" cm="1">
        <f t="array" aca="1" ref="AP18" ca="1">IFERROR( INDIRECT(ADDRESS(ROW()+1, COLUMN(), 4, TRUE, "Export-dataset")) / INDIRECT(ADDRESS(ROW(), COLUMN(), 4, TRUE, "Export-dataset")), "" )</f>
        <v>0.96047430830039526</v>
      </c>
      <c r="AQ18" s="6" cm="1">
        <f t="array" aca="1" ref="AQ18" ca="1">IFERROR( INDIRECT(ADDRESS(ROW()+1, COLUMN(), 4, TRUE, "Export-dataset")) / INDIRECT(ADDRESS(ROW(), COLUMN(), 4, TRUE, "Export-dataset")), "" )</f>
        <v>0.95400593471810091</v>
      </c>
      <c r="AR18" s="6" cm="1">
        <f t="array" aca="1" ref="AR18" ca="1">IFERROR( INDIRECT(ADDRESS(ROW()+1, COLUMN(), 4, TRUE, "Export-dataset")) / INDIRECT(ADDRESS(ROW(), COLUMN(), 4, TRUE, "Export-dataset")), "" )</f>
        <v>0.84479940564635958</v>
      </c>
      <c r="AS18" s="6" cm="1">
        <f t="array" aca="1" ref="AS18" ca="1">IFERROR( INDIRECT(ADDRESS(ROW()+1, COLUMN(), 4, TRUE, "Export-dataset")) / INDIRECT(ADDRESS(ROW(), COLUMN(), 4, TRUE, "Export-dataset")), "" )</f>
        <v>0.83601286173633438</v>
      </c>
      <c r="AT18" s="6" cm="1">
        <f t="array" aca="1" ref="AT18" ca="1">IFERROR( INDIRECT(ADDRESS(ROW()+1, COLUMN(), 4, TRUE, "Export-dataset")) / INDIRECT(ADDRESS(ROW(), COLUMN(), 4, TRUE, "Export-dataset")), "" )</f>
        <v>0.95744680851063835</v>
      </c>
      <c r="AU18" s="6" cm="1">
        <f t="array" aca="1" ref="AU18" ca="1">IFERROR( INDIRECT(ADDRESS(ROW()+1, COLUMN(), 4, TRUE, "Export-dataset")) / INDIRECT(ADDRESS(ROW(), COLUMN(), 4, TRUE, "Export-dataset")), "" )</f>
        <v>0.8783783783783784</v>
      </c>
      <c r="AV18" s="6" cm="1">
        <f t="array" aca="1" ref="AV18" ca="1">IFERROR( INDIRECT(ADDRESS(ROW()+1, COLUMN(), 4, TRUE, "Export-dataset")) / INDIRECT(ADDRESS(ROW(), COLUMN(), 4, TRUE, "Export-dataset")), "" )</f>
        <v>0.94303797468354433</v>
      </c>
      <c r="AW18" s="6" cm="1">
        <f t="array" aca="1" ref="AW18" ca="1">IFERROR( INDIRECT(ADDRESS(ROW()+1, COLUMN(), 4, TRUE, "Export-dataset")) / INDIRECT(ADDRESS(ROW(), COLUMN(), 4, TRUE, "Export-dataset")), "" )</f>
        <v>0.91698841698841704</v>
      </c>
      <c r="AX18" s="6" cm="1">
        <f t="array" aca="1" ref="AX18" ca="1">IFERROR( INDIRECT(ADDRESS(ROW()+1, COLUMN(), 4, TRUE, "Export-dataset")) / INDIRECT(ADDRESS(ROW(), COLUMN(), 4, TRUE, "Export-dataset")), "" )</f>
        <v>0.94257854821235099</v>
      </c>
      <c r="AY18" s="6" cm="1">
        <f t="array" aca="1" ref="AY18" ca="1">IFERROR( INDIRECT(ADDRESS(ROW()+1, COLUMN(), 4, TRUE, "Export-dataset")) / INDIRECT(ADDRESS(ROW(), COLUMN(), 4, TRUE, "Export-dataset")), "" )</f>
        <v>1.1232704402515723</v>
      </c>
      <c r="AZ18" s="6" cm="1">
        <f t="array" aca="1" ref="AZ18" ca="1">IFERROR( INDIRECT(ADDRESS(ROW()+1, COLUMN(), 4, TRUE, "Export-dataset")) / INDIRECT(ADDRESS(ROW(), COLUMN(), 4, TRUE, "Export-dataset")), "" )</f>
        <v>0.78383698043302075</v>
      </c>
      <c r="BA18" s="6" cm="1">
        <f t="array" aca="1" ref="BA18" ca="1">IFERROR( INDIRECT(ADDRESS(ROW()+1, COLUMN(), 4, TRUE, "Export-dataset")) / INDIRECT(ADDRESS(ROW(), COLUMN(), 4, TRUE, "Export-dataset")), "" )</f>
        <v>0.94833948339483398</v>
      </c>
      <c r="BB18" s="6" cm="1">
        <f t="array" aca="1" ref="BB18" ca="1">IFERROR( INDIRECT(ADDRESS(ROW()+1, COLUMN(), 4, TRUE, "Export-dataset")) / INDIRECT(ADDRESS(ROW(), COLUMN(), 4, TRUE, "Export-dataset")), "" )</f>
        <v>0.87701627104317814</v>
      </c>
      <c r="BC18" s="6" cm="1">
        <f t="array" aca="1" ref="BC18" ca="1">IFERROR( INDIRECT(ADDRESS(ROW()+1, COLUMN(), 4, TRUE, "Export-dataset")) / INDIRECT(ADDRESS(ROW(), COLUMN(), 4, TRUE, "Export-dataset")), "" )</f>
        <v>1.1051851851851853</v>
      </c>
      <c r="BD18" s="6" cm="1">
        <f t="array" aca="1" ref="BD18" ca="1">IFERROR( INDIRECT(ADDRESS(ROW()+1, COLUMN(), 4, TRUE, "Export-dataset")) / INDIRECT(ADDRESS(ROW(), COLUMN(), 4, TRUE, "Export-dataset")), "" )</f>
        <v>0.86174103877103148</v>
      </c>
      <c r="BE18" s="6" cm="1">
        <f t="array" aca="1" ref="BE18" ca="1">IFERROR( INDIRECT(ADDRESS(ROW()+1, COLUMN(), 4, TRUE, "Export-dataset")) / INDIRECT(ADDRESS(ROW(), COLUMN(), 4, TRUE, "Export-dataset")), "" )</f>
        <v>0.98601398601398604</v>
      </c>
      <c r="BF18" s="6" cm="1">
        <f t="array" aca="1" ref="BF18" ca="1">IFERROR( INDIRECT(ADDRESS(ROW()+1, COLUMN(), 4, TRUE, "Export-dataset")) / INDIRECT(ADDRESS(ROW(), COLUMN(), 4, TRUE, "Export-dataset")), "" )</f>
        <v>0.99046862589356632</v>
      </c>
      <c r="BG18" s="6" cm="1">
        <f t="array" aca="1" ref="BG18" ca="1">IFERROR( INDIRECT(ADDRESS(ROW()+1, COLUMN(), 4, TRUE, "Export-dataset")) / INDIRECT(ADDRESS(ROW(), COLUMN(), 4, TRUE, "Export-dataset")), "" )</f>
        <v>0.831055900621118</v>
      </c>
      <c r="BH18" s="6" cm="1">
        <f t="array" aca="1" ref="BH18" ca="1">IFERROR( INDIRECT(ADDRESS(ROW()+1, COLUMN(), 4, TRUE, "Export-dataset")) / INDIRECT(ADDRESS(ROW(), COLUMN(), 4, TRUE, "Export-dataset")), "" )</f>
        <v>1.0372836218375499</v>
      </c>
      <c r="BI18" s="6" cm="1">
        <f t="array" aca="1" ref="BI18" ca="1">IFERROR( INDIRECT(ADDRESS(ROW()+1, COLUMN(), 4, TRUE, "Export-dataset")) / INDIRECT(ADDRESS(ROW(), COLUMN(), 4, TRUE, "Export-dataset")), "" )</f>
        <v>0.89095127610208813</v>
      </c>
      <c r="BJ18" s="6" cm="1">
        <f t="array" aca="1" ref="BJ18" ca="1">IFERROR( INDIRECT(ADDRESS(ROW()+1, COLUMN(), 4, TRUE, "Export-dataset")) / INDIRECT(ADDRESS(ROW(), COLUMN(), 4, TRUE, "Export-dataset")), "" )</f>
        <v>0.96199859254046449</v>
      </c>
      <c r="BK18" s="6" cm="1">
        <f t="array" aca="1" ref="BK18" ca="1">IFERROR( INDIRECT(ADDRESS(ROW()+1, COLUMN(), 4, TRUE, "Export-dataset")) / INDIRECT(ADDRESS(ROW(), COLUMN(), 4, TRUE, "Export-dataset")), "" )</f>
        <v>0.57708333333333328</v>
      </c>
      <c r="BL18" s="6" cm="1">
        <f t="array" aca="1" ref="BL18" ca="1">IFERROR( INDIRECT(ADDRESS(ROW()+1, COLUMN(), 4, TRUE, "Export-dataset")) / INDIRECT(ADDRESS(ROW(), COLUMN(), 4, TRUE, "Export-dataset")), "" )</f>
        <v>0.96659896185962535</v>
      </c>
      <c r="BM18" s="6" cm="1">
        <f t="array" aca="1" ref="BM18" ca="1">IFERROR( INDIRECT(ADDRESS(ROW()+1, COLUMN(), 4, TRUE, "Export-dataset")) / INDIRECT(ADDRESS(ROW(), COLUMN(), 4, TRUE, "Export-dataset")), "" )</f>
        <v>0.76377952755905509</v>
      </c>
      <c r="BN18" s="6" cm="1">
        <f t="array" aca="1" ref="BN18" ca="1">IFERROR( INDIRECT(ADDRESS(ROW()+1, COLUMN(), 4, TRUE, "Export-dataset")) / INDIRECT(ADDRESS(ROW(), COLUMN(), 4, TRUE, "Export-dataset")), "" )</f>
        <v>0.89265536723163841</v>
      </c>
      <c r="BO18" s="6" cm="1">
        <f t="array" aca="1" ref="BO18" ca="1">IFERROR( INDIRECT(ADDRESS(ROW()+1, COLUMN(), 4, TRUE, "Export-dataset")) / INDIRECT(ADDRESS(ROW(), COLUMN(), 4, TRUE, "Export-dataset")), "" )</f>
        <v>1.4</v>
      </c>
      <c r="BP18" s="6" cm="1">
        <f t="array" aca="1" ref="BP18" ca="1">IFERROR( INDIRECT(ADDRESS(ROW()+1, COLUMN(), 4, TRUE, "Export-dataset")) / INDIRECT(ADDRESS(ROW(), COLUMN(), 4, TRUE, "Export-dataset")), "" )</f>
        <v>1.034375</v>
      </c>
      <c r="BQ18" s="6" cm="1">
        <f t="array" aca="1" ref="BQ18" ca="1">IFERROR( INDIRECT(ADDRESS(ROW()+1, COLUMN(), 4, TRUE, "Export-dataset")) / INDIRECT(ADDRESS(ROW(), COLUMN(), 4, TRUE, "Export-dataset")), "" )</f>
        <v>0.8771929824561403</v>
      </c>
      <c r="BR18" s="6" cm="1">
        <f t="array" aca="1" ref="BR18" ca="1">IFERROR( INDIRECT(ADDRESS(ROW()+1, COLUMN(), 4, TRUE, "Export-dataset")) / INDIRECT(ADDRESS(ROW(), COLUMN(), 4, TRUE, "Export-dataset")), "" )</f>
        <v>0.90262172284644193</v>
      </c>
      <c r="BS18" s="6" cm="1">
        <f t="array" aca="1" ref="BS18" ca="1">IFERROR( INDIRECT(ADDRESS(ROW()+1, COLUMN(), 4, TRUE, "Export-dataset")) / INDIRECT(ADDRESS(ROW(), COLUMN(), 4, TRUE, "Export-dataset")), "" )</f>
        <v>0.80413793103448272</v>
      </c>
      <c r="BT18" s="6" cm="1">
        <f t="array" aca="1" ref="BT18" ca="1">IFERROR( INDIRECT(ADDRESS(ROW()+1, COLUMN(), 4, TRUE, "Export-dataset")) / INDIRECT(ADDRESS(ROW(), COLUMN(), 4, TRUE, "Export-dataset")), "" )</f>
        <v>1.1053892215568861</v>
      </c>
      <c r="BU18" s="6" cm="1">
        <f t="array" aca="1" ref="BU18" ca="1">IFERROR( INDIRECT(ADDRESS(ROW()+1, COLUMN(), 4, TRUE, "Export-dataset")) / INDIRECT(ADDRESS(ROW(), COLUMN(), 4, TRUE, "Export-dataset")), "" )</f>
        <v>1.1999477033034081</v>
      </c>
      <c r="BV18" s="6" cm="1">
        <f t="array" aca="1" ref="BV18" ca="1">IFERROR( INDIRECT(ADDRESS(ROW()+1, COLUMN(), 4, TRUE, "Export-dataset")) / INDIRECT(ADDRESS(ROW(), COLUMN(), 4, TRUE, "Export-dataset")), "" )</f>
        <v>1.0842358604091455</v>
      </c>
      <c r="BW18" s="6" cm="1">
        <f t="array" aca="1" ref="BW18" ca="1">IFERROR( INDIRECT(ADDRESS(ROW()+1, COLUMN(), 4, TRUE, "Export-dataset")) / INDIRECT(ADDRESS(ROW(), COLUMN(), 4, TRUE, "Export-dataset")), "" )</f>
        <v>1.1764705882352942</v>
      </c>
      <c r="BX18" s="6" t="str" cm="1">
        <f t="array" aca="1" ref="BX18" ca="1">IFERROR( INDIRECT(ADDRESS(ROW()+1, COLUMN(), 4, TRUE, "Export-dataset")) / INDIRECT(ADDRESS(ROW(), COLUMN(), 4, TRUE, "Export-dataset")), "" )</f>
        <v/>
      </c>
      <c r="BY18" s="6" cm="1">
        <f t="array" aca="1" ref="BY18" ca="1">IFERROR( INDIRECT(ADDRESS(ROW()+1, COLUMN(), 4, TRUE, "Export-dataset")) / INDIRECT(ADDRESS(ROW(), COLUMN(), 4, TRUE, "Export-dataset")), "" )</f>
        <v>1.1047672884869042</v>
      </c>
      <c r="BZ18" s="6" cm="1">
        <f t="array" aca="1" ref="BZ18" ca="1">IFERROR( INDIRECT(ADDRESS(ROW()+1, COLUMN(), 4, TRUE, "Export-dataset")) / INDIRECT(ADDRESS(ROW(), COLUMN(), 4, TRUE, "Export-dataset")), "" )</f>
        <v>1.4210380238689981</v>
      </c>
      <c r="CA18" s="6" cm="1">
        <f t="array" aca="1" ref="CA18" ca="1">IFERROR( INDIRECT(ADDRESS(ROW()+1, COLUMN(), 4, TRUE, "Export-dataset")) / INDIRECT(ADDRESS(ROW(), COLUMN(), 4, TRUE, "Export-dataset")), "" )</f>
        <v>0.90371511326156473</v>
      </c>
    </row>
    <row r="19" spans="1:79">
      <c r="A19" s="6" t="s">
        <v>176</v>
      </c>
      <c r="B19" s="6" cm="1">
        <f t="array" aca="1" ref="B19" ca="1">IFERROR( INDIRECT(ADDRESS(ROW()+1, COLUMN(), 4, TRUE, "Export-dataset")) / INDIRECT(ADDRESS(ROW(), COLUMN(), 4, TRUE, "Export-dataset")), "" )</f>
        <v>1.2473603906011597</v>
      </c>
      <c r="C19" s="6" cm="1">
        <f t="array" aca="1" ref="C19" ca="1">IFERROR( INDIRECT(ADDRESS(ROW()+1, COLUMN(), 4, TRUE, "Export-dataset")) / INDIRECT(ADDRESS(ROW(), COLUMN(), 4, TRUE, "Export-dataset")), "" )</f>
        <v>0.85552115583075339</v>
      </c>
      <c r="D19" s="6" cm="1">
        <f t="array" aca="1" ref="D19" ca="1">IFERROR( INDIRECT(ADDRESS(ROW()+1, COLUMN(), 4, TRUE, "Export-dataset")) / INDIRECT(ADDRESS(ROW(), COLUMN(), 4, TRUE, "Export-dataset")), "" )</f>
        <v>1.2341307214164625</v>
      </c>
      <c r="E19" s="6" cm="1">
        <f t="array" aca="1" ref="E19" ca="1">IFERROR( INDIRECT(ADDRESS(ROW()+1, COLUMN(), 4, TRUE, "Export-dataset")) / INDIRECT(ADDRESS(ROW(), COLUMN(), 4, TRUE, "Export-dataset")), "" )</f>
        <v>1.1477547078705939</v>
      </c>
      <c r="F19" s="6" cm="1">
        <f t="array" aca="1" ref="F19" ca="1">IFERROR( INDIRECT(ADDRESS(ROW()+1, COLUMN(), 4, TRUE, "Export-dataset")) / INDIRECT(ADDRESS(ROW(), COLUMN(), 4, TRUE, "Export-dataset")), "" )</f>
        <v>0.91117690599555889</v>
      </c>
      <c r="G19" s="6" cm="1">
        <f t="array" aca="1" ref="G19" ca="1">IFERROR( INDIRECT(ADDRESS(ROW()+1, COLUMN(), 4, TRUE, "Export-dataset")) / INDIRECT(ADDRESS(ROW(), COLUMN(), 4, TRUE, "Export-dataset")), "" )</f>
        <v>1.6959737058340181</v>
      </c>
      <c r="H19" s="6" cm="1">
        <f t="array" aca="1" ref="H19" ca="1">IFERROR( INDIRECT(ADDRESS(ROW()+1, COLUMN(), 4, TRUE, "Export-dataset")) / INDIRECT(ADDRESS(ROW(), COLUMN(), 4, TRUE, "Export-dataset")), "" )</f>
        <v>1.0438667749796913</v>
      </c>
      <c r="I19" s="6" cm="1">
        <f t="array" aca="1" ref="I19" ca="1">IFERROR( INDIRECT(ADDRESS(ROW()+1, COLUMN(), 4, TRUE, "Export-dataset")) / INDIRECT(ADDRESS(ROW(), COLUMN(), 4, TRUE, "Export-dataset")), "" )</f>
        <v>1.1235955056179776</v>
      </c>
      <c r="J19" s="6" cm="1">
        <f t="array" aca="1" ref="J19" ca="1">IFERROR( INDIRECT(ADDRESS(ROW()+1, COLUMN(), 4, TRUE, "Export-dataset")) / INDIRECT(ADDRESS(ROW(), COLUMN(), 4, TRUE, "Export-dataset")), "" )</f>
        <v>1.0177935943060499</v>
      </c>
      <c r="K19" s="6" cm="1">
        <f t="array" aca="1" ref="K19" ca="1">IFERROR( INDIRECT(ADDRESS(ROW()+1, COLUMN(), 4, TRUE, "Export-dataset")) / INDIRECT(ADDRESS(ROW(), COLUMN(), 4, TRUE, "Export-dataset")), "" )</f>
        <v>1.1716589861751152</v>
      </c>
      <c r="L19" s="6" cm="1">
        <f t="array" aca="1" ref="L19" ca="1">IFERROR( INDIRECT(ADDRESS(ROW()+1, COLUMN(), 4, TRUE, "Export-dataset")) / INDIRECT(ADDRESS(ROW(), COLUMN(), 4, TRUE, "Export-dataset")), "" )</f>
        <v>0.97286012526096033</v>
      </c>
      <c r="M19" s="6" cm="1">
        <f t="array" aca="1" ref="M19" ca="1">IFERROR( INDIRECT(ADDRESS(ROW()+1, COLUMN(), 4, TRUE, "Export-dataset")) / INDIRECT(ADDRESS(ROW(), COLUMN(), 4, TRUE, "Export-dataset")), "" )</f>
        <v>1.1210967250571211</v>
      </c>
      <c r="N19" s="6" cm="1">
        <f t="array" aca="1" ref="N19" ca="1">IFERROR( INDIRECT(ADDRESS(ROW()+1, COLUMN(), 4, TRUE, "Export-dataset")) / INDIRECT(ADDRESS(ROW(), COLUMN(), 4, TRUE, "Export-dataset")), "" )</f>
        <v>1.1222310126582278</v>
      </c>
      <c r="O19" s="6" cm="1">
        <f t="array" aca="1" ref="O19" ca="1">IFERROR( INDIRECT(ADDRESS(ROW()+1, COLUMN(), 4, TRUE, "Export-dataset")) / INDIRECT(ADDRESS(ROW(), COLUMN(), 4, TRUE, "Export-dataset")), "" )</f>
        <v>1.0714285714285714</v>
      </c>
      <c r="P19" s="6" cm="1">
        <f t="array" aca="1" ref="P19" ca="1">IFERROR( INDIRECT(ADDRESS(ROW()+1, COLUMN(), 4, TRUE, "Export-dataset")) / INDIRECT(ADDRESS(ROW(), COLUMN(), 4, TRUE, "Export-dataset")), "" )</f>
        <v>1.1414711414711414</v>
      </c>
      <c r="Q19" s="6" cm="1">
        <f t="array" aca="1" ref="Q19" ca="1">IFERROR( INDIRECT(ADDRESS(ROW()+1, COLUMN(), 4, TRUE, "Export-dataset")) / INDIRECT(ADDRESS(ROW(), COLUMN(), 4, TRUE, "Export-dataset")), "" )</f>
        <v>1.0769230769230769</v>
      </c>
      <c r="R19" s="6" cm="1">
        <f t="array" aca="1" ref="R19" ca="1">IFERROR( INDIRECT(ADDRESS(ROW()+1, COLUMN(), 4, TRUE, "Export-dataset")) / INDIRECT(ADDRESS(ROW(), COLUMN(), 4, TRUE, "Export-dataset")), "" )</f>
        <v>1.7024128686327078</v>
      </c>
      <c r="S19" s="6" cm="1">
        <f t="array" aca="1" ref="S19" ca="1">IFERROR( INDIRECT(ADDRESS(ROW()+1, COLUMN(), 4, TRUE, "Export-dataset")) / INDIRECT(ADDRESS(ROW(), COLUMN(), 4, TRUE, "Export-dataset")), "" )</f>
        <v>0.9375</v>
      </c>
      <c r="T19" s="6" cm="1">
        <f t="array" aca="1" ref="T19" ca="1">IFERROR( INDIRECT(ADDRESS(ROW()+1, COLUMN(), 4, TRUE, "Export-dataset")) / INDIRECT(ADDRESS(ROW(), COLUMN(), 4, TRUE, "Export-dataset")), "" )</f>
        <v>1.0875912408759123</v>
      </c>
      <c r="U19" s="6" cm="1">
        <f t="array" aca="1" ref="U19" ca="1">IFERROR( INDIRECT(ADDRESS(ROW()+1, COLUMN(), 4, TRUE, "Export-dataset")) / INDIRECT(ADDRESS(ROW(), COLUMN(), 4, TRUE, "Export-dataset")), "" )</f>
        <v>1.2321428571428572</v>
      </c>
      <c r="V19" s="6" cm="1">
        <f t="array" aca="1" ref="V19" ca="1">IFERROR( INDIRECT(ADDRESS(ROW()+1, COLUMN(), 4, TRUE, "Export-dataset")) / INDIRECT(ADDRESS(ROW(), COLUMN(), 4, TRUE, "Export-dataset")), "" )</f>
        <v>1.0237346296825851</v>
      </c>
      <c r="W19" s="6" cm="1">
        <f t="array" aca="1" ref="W19" ca="1">IFERROR( INDIRECT(ADDRESS(ROW()+1, COLUMN(), 4, TRUE, "Export-dataset")) / INDIRECT(ADDRESS(ROW(), COLUMN(), 4, TRUE, "Export-dataset")), "" )</f>
        <v>0.93333333333333335</v>
      </c>
      <c r="X19" s="6" cm="1">
        <f t="array" aca="1" ref="X19" ca="1">IFERROR( INDIRECT(ADDRESS(ROW()+1, COLUMN(), 4, TRUE, "Export-dataset")) / INDIRECT(ADDRESS(ROW(), COLUMN(), 4, TRUE, "Export-dataset")), "" )</f>
        <v>1.1693155784650631</v>
      </c>
      <c r="Y19" s="6" cm="1">
        <f t="array" aca="1" ref="Y19" ca="1">IFERROR( INDIRECT(ADDRESS(ROW()+1, COLUMN(), 4, TRUE, "Export-dataset")) / INDIRECT(ADDRESS(ROW(), COLUMN(), 4, TRUE, "Export-dataset")), "" )</f>
        <v>1.1446280991735538</v>
      </c>
      <c r="Z19" s="6" cm="1">
        <f t="array" aca="1" ref="Z19" ca="1">IFERROR( INDIRECT(ADDRESS(ROW()+1, COLUMN(), 4, TRUE, "Export-dataset")) / INDIRECT(ADDRESS(ROW(), COLUMN(), 4, TRUE, "Export-dataset")), "" )</f>
        <v>1.1166385609893199</v>
      </c>
      <c r="AA19" s="6" cm="1">
        <f t="array" aca="1" ref="AA19" ca="1">IFERROR( INDIRECT(ADDRESS(ROW()+1, COLUMN(), 4, TRUE, "Export-dataset")) / INDIRECT(ADDRESS(ROW(), COLUMN(), 4, TRUE, "Export-dataset")), "" )</f>
        <v>1.2362385321100917</v>
      </c>
      <c r="AB19" s="6" cm="1">
        <f t="array" aca="1" ref="AB19" ca="1">IFERROR( INDIRECT(ADDRESS(ROW()+1, COLUMN(), 4, TRUE, "Export-dataset")) / INDIRECT(ADDRESS(ROW(), COLUMN(), 4, TRUE, "Export-dataset")), "" )</f>
        <v>0.97846493649917177</v>
      </c>
      <c r="AC19" s="6" cm="1">
        <f t="array" aca="1" ref="AC19" ca="1">IFERROR( INDIRECT(ADDRESS(ROW()+1, COLUMN(), 4, TRUE, "Export-dataset")) / INDIRECT(ADDRESS(ROW(), COLUMN(), 4, TRUE, "Export-dataset")), "" )</f>
        <v>1.0224929709465791</v>
      </c>
      <c r="AD19" s="6" cm="1">
        <f t="array" aca="1" ref="AD19" ca="1">IFERROR( INDIRECT(ADDRESS(ROW()+1, COLUMN(), 4, TRUE, "Export-dataset")) / INDIRECT(ADDRESS(ROW(), COLUMN(), 4, TRUE, "Export-dataset")), "" )</f>
        <v>1.1196319018404908</v>
      </c>
      <c r="AE19" s="6" cm="1">
        <f t="array" aca="1" ref="AE19" ca="1">IFERROR( INDIRECT(ADDRESS(ROW()+1, COLUMN(), 4, TRUE, "Export-dataset")) / INDIRECT(ADDRESS(ROW(), COLUMN(), 4, TRUE, "Export-dataset")), "" )</f>
        <v>1.00418410041841</v>
      </c>
      <c r="AF19" s="6" cm="1">
        <f t="array" aca="1" ref="AF19" ca="1">IFERROR( INDIRECT(ADDRESS(ROW()+1, COLUMN(), 4, TRUE, "Export-dataset")) / INDIRECT(ADDRESS(ROW(), COLUMN(), 4, TRUE, "Export-dataset")), "" )</f>
        <v>1.6052631578947369</v>
      </c>
      <c r="AG19" s="6" cm="1">
        <f t="array" aca="1" ref="AG19" ca="1">IFERROR( INDIRECT(ADDRESS(ROW()+1, COLUMN(), 4, TRUE, "Export-dataset")) / INDIRECT(ADDRESS(ROW(), COLUMN(), 4, TRUE, "Export-dataset")), "" )</f>
        <v>1.2745098039215685</v>
      </c>
      <c r="AH19" s="6" cm="1">
        <f t="array" aca="1" ref="AH19" ca="1">IFERROR( INDIRECT(ADDRESS(ROW()+1, COLUMN(), 4, TRUE, "Export-dataset")) / INDIRECT(ADDRESS(ROW(), COLUMN(), 4, TRUE, "Export-dataset")), "" )</f>
        <v>1.0635470826112075</v>
      </c>
      <c r="AI19" s="6" cm="1">
        <f t="array" aca="1" ref="AI19" ca="1">IFERROR( INDIRECT(ADDRESS(ROW()+1, COLUMN(), 4, TRUE, "Export-dataset")) / INDIRECT(ADDRESS(ROW(), COLUMN(), 4, TRUE, "Export-dataset")), "" )</f>
        <v>0.90344827586206899</v>
      </c>
      <c r="AJ19" s="6" cm="1">
        <f t="array" aca="1" ref="AJ19" ca="1">IFERROR( INDIRECT(ADDRESS(ROW()+1, COLUMN(), 4, TRUE, "Export-dataset")) / INDIRECT(ADDRESS(ROW(), COLUMN(), 4, TRUE, "Export-dataset")), "" )</f>
        <v>0.98084291187739459</v>
      </c>
      <c r="AK19" s="6" cm="1">
        <f t="array" aca="1" ref="AK19" ca="1">IFERROR( INDIRECT(ADDRESS(ROW()+1, COLUMN(), 4, TRUE, "Export-dataset")) / INDIRECT(ADDRESS(ROW(), COLUMN(), 4, TRUE, "Export-dataset")), "" )</f>
        <v>1.0145631067961165</v>
      </c>
      <c r="AL19" s="6" cm="1">
        <f t="array" aca="1" ref="AL19" ca="1">IFERROR( INDIRECT(ADDRESS(ROW()+1, COLUMN(), 4, TRUE, "Export-dataset")) / INDIRECT(ADDRESS(ROW(), COLUMN(), 4, TRUE, "Export-dataset")), "" )</f>
        <v>1.1623434704830053</v>
      </c>
      <c r="AM19" s="6" cm="1">
        <f t="array" aca="1" ref="AM19" ca="1">IFERROR( INDIRECT(ADDRESS(ROW()+1, COLUMN(), 4, TRUE, "Export-dataset")) / INDIRECT(ADDRESS(ROW(), COLUMN(), 4, TRUE, "Export-dataset")), "" )</f>
        <v>0.96527777777777779</v>
      </c>
      <c r="AN19" s="6" cm="1">
        <f t="array" aca="1" ref="AN19" ca="1">IFERROR( INDIRECT(ADDRESS(ROW()+1, COLUMN(), 4, TRUE, "Export-dataset")) / INDIRECT(ADDRESS(ROW(), COLUMN(), 4, TRUE, "Export-dataset")), "" )</f>
        <v>0.90066225165562919</v>
      </c>
      <c r="AO19" s="6" cm="1">
        <f t="array" aca="1" ref="AO19" ca="1">IFERROR( INDIRECT(ADDRESS(ROW()+1, COLUMN(), 4, TRUE, "Export-dataset")) / INDIRECT(ADDRESS(ROW(), COLUMN(), 4, TRUE, "Export-dataset")), "" )</f>
        <v>1.0591133004926108</v>
      </c>
      <c r="AP19" s="6" cm="1">
        <f t="array" aca="1" ref="AP19" ca="1">IFERROR( INDIRECT(ADDRESS(ROW()+1, COLUMN(), 4, TRUE, "Export-dataset")) / INDIRECT(ADDRESS(ROW(), COLUMN(), 4, TRUE, "Export-dataset")), "" )</f>
        <v>1.1604938271604939</v>
      </c>
      <c r="AQ19" s="6" cm="1">
        <f t="array" aca="1" ref="AQ19" ca="1">IFERROR( INDIRECT(ADDRESS(ROW()+1, COLUMN(), 4, TRUE, "Export-dataset")) / INDIRECT(ADDRESS(ROW(), COLUMN(), 4, TRUE, "Export-dataset")), "" )</f>
        <v>0.94401244167962672</v>
      </c>
      <c r="AR19" s="6" cm="1">
        <f t="array" aca="1" ref="AR19" ca="1">IFERROR( INDIRECT(ADDRESS(ROW()+1, COLUMN(), 4, TRUE, "Export-dataset")) / INDIRECT(ADDRESS(ROW(), COLUMN(), 4, TRUE, "Export-dataset")), "" )</f>
        <v>1.0564594142995338</v>
      </c>
      <c r="AS19" s="6" cm="1">
        <f t="array" aca="1" ref="AS19" ca="1">IFERROR( INDIRECT(ADDRESS(ROW()+1, COLUMN(), 4, TRUE, "Export-dataset")) / INDIRECT(ADDRESS(ROW(), COLUMN(), 4, TRUE, "Export-dataset")), "" )</f>
        <v>0.86923076923076925</v>
      </c>
      <c r="AT19" s="6" cm="1">
        <f t="array" aca="1" ref="AT19" ca="1">IFERROR( INDIRECT(ADDRESS(ROW()+1, COLUMN(), 4, TRUE, "Export-dataset")) / INDIRECT(ADDRESS(ROW(), COLUMN(), 4, TRUE, "Export-dataset")), "" )</f>
        <v>1.0740740740740742</v>
      </c>
      <c r="AU19" s="6" cm="1">
        <f t="array" aca="1" ref="AU19" ca="1">IFERROR( INDIRECT(ADDRESS(ROW()+1, COLUMN(), 4, TRUE, "Export-dataset")) / INDIRECT(ADDRESS(ROW(), COLUMN(), 4, TRUE, "Export-dataset")), "" )</f>
        <v>1.1897435897435897</v>
      </c>
      <c r="AV19" s="6" cm="1">
        <f t="array" aca="1" ref="AV19" ca="1">IFERROR( INDIRECT(ADDRESS(ROW()+1, COLUMN(), 4, TRUE, "Export-dataset")) / INDIRECT(ADDRESS(ROW(), COLUMN(), 4, TRUE, "Export-dataset")), "" )</f>
        <v>1.025503355704698</v>
      </c>
      <c r="AW19" s="6" cm="1">
        <f t="array" aca="1" ref="AW19" ca="1">IFERROR( INDIRECT(ADDRESS(ROW()+1, COLUMN(), 4, TRUE, "Export-dataset")) / INDIRECT(ADDRESS(ROW(), COLUMN(), 4, TRUE, "Export-dataset")), "" )</f>
        <v>0.93684210526315792</v>
      </c>
      <c r="AX19" s="6" cm="1">
        <f t="array" aca="1" ref="AX19" ca="1">IFERROR( INDIRECT(ADDRESS(ROW()+1, COLUMN(), 4, TRUE, "Export-dataset")) / INDIRECT(ADDRESS(ROW(), COLUMN(), 4, TRUE, "Export-dataset")), "" )</f>
        <v>0.95287356321839078</v>
      </c>
      <c r="AY19" s="6" cm="1">
        <f t="array" aca="1" ref="AY19" ca="1">IFERROR( INDIRECT(ADDRESS(ROW()+1, COLUMN(), 4, TRUE, "Export-dataset")) / INDIRECT(ADDRESS(ROW(), COLUMN(), 4, TRUE, "Export-dataset")), "" )</f>
        <v>0.97088465845464722</v>
      </c>
      <c r="AZ19" s="6" cm="1">
        <f t="array" aca="1" ref="AZ19" ca="1">IFERROR( INDIRECT(ADDRESS(ROW()+1, COLUMN(), 4, TRUE, "Export-dataset")) / INDIRECT(ADDRESS(ROW(), COLUMN(), 4, TRUE, "Export-dataset")), "" )</f>
        <v>1.108714918759232</v>
      </c>
      <c r="BA19" s="6" cm="1">
        <f t="array" aca="1" ref="BA19" ca="1">IFERROR( INDIRECT(ADDRESS(ROW()+1, COLUMN(), 4, TRUE, "Export-dataset")) / INDIRECT(ADDRESS(ROW(), COLUMN(), 4, TRUE, "Export-dataset")), "" )</f>
        <v>1</v>
      </c>
      <c r="BB19" s="6" cm="1">
        <f t="array" aca="1" ref="BB19" ca="1">IFERROR( INDIRECT(ADDRESS(ROW()+1, COLUMN(), 4, TRUE, "Export-dataset")) / INDIRECT(ADDRESS(ROW(), COLUMN(), 4, TRUE, "Export-dataset")), "" )</f>
        <v>0.96152919444221352</v>
      </c>
      <c r="BC19" s="6" cm="1">
        <f t="array" aca="1" ref="BC19" ca="1">IFERROR( INDIRECT(ADDRESS(ROW()+1, COLUMN(), 4, TRUE, "Export-dataset")) / INDIRECT(ADDRESS(ROW(), COLUMN(), 4, TRUE, "Export-dataset")), "" )</f>
        <v>1.2533512064343164</v>
      </c>
      <c r="BD19" s="6" cm="1">
        <f t="array" aca="1" ref="BD19" ca="1">IFERROR( INDIRECT(ADDRESS(ROW()+1, COLUMN(), 4, TRUE, "Export-dataset")) / INDIRECT(ADDRESS(ROW(), COLUMN(), 4, TRUE, "Export-dataset")), "" )</f>
        <v>1.0076400679117148</v>
      </c>
      <c r="BE19" s="6" cm="1">
        <f t="array" aca="1" ref="BE19" ca="1">IFERROR( INDIRECT(ADDRESS(ROW()+1, COLUMN(), 4, TRUE, "Export-dataset")) / INDIRECT(ADDRESS(ROW(), COLUMN(), 4, TRUE, "Export-dataset")), "" )</f>
        <v>0.97163120567375882</v>
      </c>
      <c r="BF19" s="6" cm="1">
        <f t="array" aca="1" ref="BF19" ca="1">IFERROR( INDIRECT(ADDRESS(ROW()+1, COLUMN(), 4, TRUE, "Export-dataset")) / INDIRECT(ADDRESS(ROW(), COLUMN(), 4, TRUE, "Export-dataset")), "" )</f>
        <v>1.0986367281475542</v>
      </c>
      <c r="BG19" s="6" cm="1">
        <f t="array" aca="1" ref="BG19" ca="1">IFERROR( INDIRECT(ADDRESS(ROW()+1, COLUMN(), 4, TRUE, "Export-dataset")) / INDIRECT(ADDRESS(ROW(), COLUMN(), 4, TRUE, "Export-dataset")), "" )</f>
        <v>0.84304932735426008</v>
      </c>
      <c r="BH19" s="6" cm="1">
        <f t="array" aca="1" ref="BH19" ca="1">IFERROR( INDIRECT(ADDRESS(ROW()+1, COLUMN(), 4, TRUE, "Export-dataset")) / INDIRECT(ADDRESS(ROW(), COLUMN(), 4, TRUE, "Export-dataset")), "" )</f>
        <v>1.1026957637997432</v>
      </c>
      <c r="BI19" s="6" cm="1">
        <f t="array" aca="1" ref="BI19" ca="1">IFERROR( INDIRECT(ADDRESS(ROW()+1, COLUMN(), 4, TRUE, "Export-dataset")) / INDIRECT(ADDRESS(ROW(), COLUMN(), 4, TRUE, "Export-dataset")), "" )</f>
        <v>1.0006510416666667</v>
      </c>
      <c r="BJ19" s="6" cm="1">
        <f t="array" aca="1" ref="BJ19" ca="1">IFERROR( INDIRECT(ADDRESS(ROW()+1, COLUMN(), 4, TRUE, "Export-dataset")) / INDIRECT(ADDRESS(ROW(), COLUMN(), 4, TRUE, "Export-dataset")), "" )</f>
        <v>0.96244818336990978</v>
      </c>
      <c r="BK19" s="6" cm="1">
        <f t="array" aca="1" ref="BK19" ca="1">IFERROR( INDIRECT(ADDRESS(ROW()+1, COLUMN(), 4, TRUE, "Export-dataset")) / INDIRECT(ADDRESS(ROW(), COLUMN(), 4, TRUE, "Export-dataset")), "" )</f>
        <v>0.62815884476534301</v>
      </c>
      <c r="BL19" s="6" cm="1">
        <f t="array" aca="1" ref="BL19" ca="1">IFERROR( INDIRECT(ADDRESS(ROW()+1, COLUMN(), 4, TRUE, "Export-dataset")) / INDIRECT(ADDRESS(ROW(), COLUMN(), 4, TRUE, "Export-dataset")), "" )</f>
        <v>1.028251225776325</v>
      </c>
      <c r="BM19" s="6" cm="1">
        <f t="array" aca="1" ref="BM19" ca="1">IFERROR( INDIRECT(ADDRESS(ROW()+1, COLUMN(), 4, TRUE, "Export-dataset")) / INDIRECT(ADDRESS(ROW(), COLUMN(), 4, TRUE, "Export-dataset")), "" )</f>
        <v>1.0206185567010309</v>
      </c>
      <c r="BN19" s="6" cm="1">
        <f t="array" aca="1" ref="BN19" ca="1">IFERROR( INDIRECT(ADDRESS(ROW()+1, COLUMN(), 4, TRUE, "Export-dataset")) / INDIRECT(ADDRESS(ROW(), COLUMN(), 4, TRUE, "Export-dataset")), "" )</f>
        <v>0.83544303797468356</v>
      </c>
      <c r="BO19" s="6" cm="1">
        <f t="array" aca="1" ref="BO19" ca="1">IFERROR( INDIRECT(ADDRESS(ROW()+1, COLUMN(), 4, TRUE, "Export-dataset")) / INDIRECT(ADDRESS(ROW(), COLUMN(), 4, TRUE, "Export-dataset")), "" )</f>
        <v>1</v>
      </c>
      <c r="BP19" s="6" cm="1">
        <f t="array" aca="1" ref="BP19" ca="1">IFERROR( INDIRECT(ADDRESS(ROW()+1, COLUMN(), 4, TRUE, "Export-dataset")) / INDIRECT(ADDRESS(ROW(), COLUMN(), 4, TRUE, "Export-dataset")), "" )</f>
        <v>0.8761329305135952</v>
      </c>
      <c r="BQ19" s="6" cm="1">
        <f t="array" aca="1" ref="BQ19" ca="1">IFERROR( INDIRECT(ADDRESS(ROW()+1, COLUMN(), 4, TRUE, "Export-dataset")) / INDIRECT(ADDRESS(ROW(), COLUMN(), 4, TRUE, "Export-dataset")), "" )</f>
        <v>0.88</v>
      </c>
      <c r="BR19" s="6" cm="1">
        <f t="array" aca="1" ref="BR19" ca="1">IFERROR( INDIRECT(ADDRESS(ROW()+1, COLUMN(), 4, TRUE, "Export-dataset")) / INDIRECT(ADDRESS(ROW(), COLUMN(), 4, TRUE, "Export-dataset")), "" )</f>
        <v>1.0846473029045642</v>
      </c>
      <c r="BS19" s="6" cm="1">
        <f t="array" aca="1" ref="BS19" ca="1">IFERROR( INDIRECT(ADDRESS(ROW()+1, COLUMN(), 4, TRUE, "Export-dataset")) / INDIRECT(ADDRESS(ROW(), COLUMN(), 4, TRUE, "Export-dataset")), "" )</f>
        <v>0.97255574614065177</v>
      </c>
      <c r="BT19" s="6" cm="1">
        <f t="array" aca="1" ref="BT19" ca="1">IFERROR( INDIRECT(ADDRESS(ROW()+1, COLUMN(), 4, TRUE, "Export-dataset")) / INDIRECT(ADDRESS(ROW(), COLUMN(), 4, TRUE, "Export-dataset")), "" )</f>
        <v>1.0541711809317442</v>
      </c>
      <c r="BU19" s="6" cm="1">
        <f t="array" aca="1" ref="BU19" ca="1">IFERROR( INDIRECT(ADDRESS(ROW()+1, COLUMN(), 4, TRUE, "Export-dataset")) / INDIRECT(ADDRESS(ROW(), COLUMN(), 4, TRUE, "Export-dataset")), "" )</f>
        <v>0.96004939347715557</v>
      </c>
      <c r="BV19" s="6" cm="1">
        <f t="array" aca="1" ref="BV19" ca="1">IFERROR( INDIRECT(ADDRESS(ROW()+1, COLUMN(), 4, TRUE, "Export-dataset")) / INDIRECT(ADDRESS(ROW(), COLUMN(), 4, TRUE, "Export-dataset")), "" )</f>
        <v>0.7162412134665187</v>
      </c>
      <c r="BW19" s="6" cm="1">
        <f t="array" aca="1" ref="BW19" ca="1">IFERROR( INDIRECT(ADDRESS(ROW()+1, COLUMN(), 4, TRUE, "Export-dataset")) / INDIRECT(ADDRESS(ROW(), COLUMN(), 4, TRUE, "Export-dataset")), "" )</f>
        <v>1.3625</v>
      </c>
      <c r="BX19" s="6" t="str" cm="1">
        <f t="array" aca="1" ref="BX19" ca="1">IFERROR( INDIRECT(ADDRESS(ROW()+1, COLUMN(), 4, TRUE, "Export-dataset")) / INDIRECT(ADDRESS(ROW(), COLUMN(), 4, TRUE, "Export-dataset")), "" )</f>
        <v/>
      </c>
      <c r="BY19" s="6" cm="1">
        <f t="array" aca="1" ref="BY19" ca="1">IFERROR( INDIRECT(ADDRESS(ROW()+1, COLUMN(), 4, TRUE, "Export-dataset")) / INDIRECT(ADDRESS(ROW(), COLUMN(), 4, TRUE, "Export-dataset")), "" )</f>
        <v>0.96213542555005971</v>
      </c>
      <c r="BZ19" s="6" cm="1">
        <f t="array" aca="1" ref="BZ19" ca="1">IFERROR( INDIRECT(ADDRESS(ROW()+1, COLUMN(), 4, TRUE, "Export-dataset")) / INDIRECT(ADDRESS(ROW(), COLUMN(), 4, TRUE, "Export-dataset")), "" )</f>
        <v>1.080078125</v>
      </c>
      <c r="CA19" s="6" cm="1">
        <f t="array" aca="1" ref="CA19" ca="1">IFERROR( INDIRECT(ADDRESS(ROW()+1, COLUMN(), 4, TRUE, "Export-dataset")) / INDIRECT(ADDRESS(ROW(), COLUMN(), 4, TRUE, "Export-dataset")), "" )</f>
        <v>1.0909351958205196</v>
      </c>
    </row>
    <row r="20" spans="1:79">
      <c r="A20" s="6" t="s">
        <v>177</v>
      </c>
      <c r="B20" s="6" cm="1">
        <f t="array" aca="1" ref="B20" ca="1">IFERROR( INDIRECT(ADDRESS(ROW()+1, COLUMN(), 4, TRUE, "Export-dataset")) / INDIRECT(ADDRESS(ROW(), COLUMN(), 4, TRUE, "Export-dataset")), "" )</f>
        <v>0.91687053527742446</v>
      </c>
      <c r="C20" s="6" cm="1">
        <f t="array" aca="1" ref="C20" ca="1">IFERROR( INDIRECT(ADDRESS(ROW()+1, COLUMN(), 4, TRUE, "Export-dataset")) / INDIRECT(ADDRESS(ROW(), COLUMN(), 4, TRUE, "Export-dataset")), "" )</f>
        <v>0.98552472858866103</v>
      </c>
      <c r="D20" s="6" cm="1">
        <f t="array" aca="1" ref="D20" ca="1">IFERROR( INDIRECT(ADDRESS(ROW()+1, COLUMN(), 4, TRUE, "Export-dataset")) / INDIRECT(ADDRESS(ROW(), COLUMN(), 4, TRUE, "Export-dataset")), "" )</f>
        <v>1.0470085470085471</v>
      </c>
      <c r="E20" s="6" cm="1">
        <f t="array" aca="1" ref="E20" ca="1">IFERROR( INDIRECT(ADDRESS(ROW()+1, COLUMN(), 4, TRUE, "Export-dataset")) / INDIRECT(ADDRESS(ROW(), COLUMN(), 4, TRUE, "Export-dataset")), "" )</f>
        <v>1.0260832982751367</v>
      </c>
      <c r="F20" s="6" cm="1">
        <f t="array" aca="1" ref="F20" ca="1">IFERROR( INDIRECT(ADDRESS(ROW()+1, COLUMN(), 4, TRUE, "Export-dataset")) / INDIRECT(ADDRESS(ROW(), COLUMN(), 4, TRUE, "Export-dataset")), "" )</f>
        <v>0.99268887083671808</v>
      </c>
      <c r="G20" s="6" cm="1">
        <f t="array" aca="1" ref="G20" ca="1">IFERROR( INDIRECT(ADDRESS(ROW()+1, COLUMN(), 4, TRUE, "Export-dataset")) / INDIRECT(ADDRESS(ROW(), COLUMN(), 4, TRUE, "Export-dataset")), "" )</f>
        <v>0.71156330749354002</v>
      </c>
      <c r="H20" s="6" cm="1">
        <f t="array" aca="1" ref="H20" ca="1">IFERROR( INDIRECT(ADDRESS(ROW()+1, COLUMN(), 4, TRUE, "Export-dataset")) / INDIRECT(ADDRESS(ROW(), COLUMN(), 4, TRUE, "Export-dataset")), "" )</f>
        <v>1.0031128404669261</v>
      </c>
      <c r="I20" s="6" cm="1">
        <f t="array" aca="1" ref="I20" ca="1">IFERROR( INDIRECT(ADDRESS(ROW()+1, COLUMN(), 4, TRUE, "Export-dataset")) / INDIRECT(ADDRESS(ROW(), COLUMN(), 4, TRUE, "Export-dataset")), "" )</f>
        <v>1.06</v>
      </c>
      <c r="J20" s="6" cm="1">
        <f t="array" aca="1" ref="J20" ca="1">IFERROR( INDIRECT(ADDRESS(ROW()+1, COLUMN(), 4, TRUE, "Export-dataset")) / INDIRECT(ADDRESS(ROW(), COLUMN(), 4, TRUE, "Export-dataset")), "" )</f>
        <v>0.85664335664335667</v>
      </c>
      <c r="K20" s="6" cm="1">
        <f t="array" aca="1" ref="K20" ca="1">IFERROR( INDIRECT(ADDRESS(ROW()+1, COLUMN(), 4, TRUE, "Export-dataset")) / INDIRECT(ADDRESS(ROW(), COLUMN(), 4, TRUE, "Export-dataset")), "" )</f>
        <v>0.79252704031465093</v>
      </c>
      <c r="L20" s="6" cm="1">
        <f t="array" aca="1" ref="L20" ca="1">IFERROR( INDIRECT(ADDRESS(ROW()+1, COLUMN(), 4, TRUE, "Export-dataset")) / INDIRECT(ADDRESS(ROW(), COLUMN(), 4, TRUE, "Export-dataset")), "" )</f>
        <v>0.94849785407725318</v>
      </c>
      <c r="M20" s="6" cm="1">
        <f t="array" aca="1" ref="M20" ca="1">IFERROR( INDIRECT(ADDRESS(ROW()+1, COLUMN(), 4, TRUE, "Export-dataset")) / INDIRECT(ADDRESS(ROW(), COLUMN(), 4, TRUE, "Export-dataset")), "" )</f>
        <v>1.0064538043478262</v>
      </c>
      <c r="N20" s="6" cm="1">
        <f t="array" aca="1" ref="N20" ca="1">IFERROR( INDIRECT(ADDRESS(ROW()+1, COLUMN(), 4, TRUE, "Export-dataset")) / INDIRECT(ADDRESS(ROW(), COLUMN(), 4, TRUE, "Export-dataset")), "" )</f>
        <v>1.0165667959111737</v>
      </c>
      <c r="O20" s="6" cm="1">
        <f t="array" aca="1" ref="O20" ca="1">IFERROR( INDIRECT(ADDRESS(ROW()+1, COLUMN(), 4, TRUE, "Export-dataset")) / INDIRECT(ADDRESS(ROW(), COLUMN(), 4, TRUE, "Export-dataset")), "" )</f>
        <v>0.73333333333333328</v>
      </c>
      <c r="P20" s="6" cm="1">
        <f t="array" aca="1" ref="P20" ca="1">IFERROR( INDIRECT(ADDRESS(ROW()+1, COLUMN(), 4, TRUE, "Export-dataset")) / INDIRECT(ADDRESS(ROW(), COLUMN(), 4, TRUE, "Export-dataset")), "" )</f>
        <v>1.3065047701647876</v>
      </c>
      <c r="Q20" s="6" cm="1">
        <f t="array" aca="1" ref="Q20" ca="1">IFERROR( INDIRECT(ADDRESS(ROW()+1, COLUMN(), 4, TRUE, "Export-dataset")) / INDIRECT(ADDRESS(ROW(), COLUMN(), 4, TRUE, "Export-dataset")), "" )</f>
        <v>0.90816326530612246</v>
      </c>
      <c r="R20" s="6" cm="1">
        <f t="array" aca="1" ref="R20" ca="1">IFERROR( INDIRECT(ADDRESS(ROW()+1, COLUMN(), 4, TRUE, "Export-dataset")) / INDIRECT(ADDRESS(ROW(), COLUMN(), 4, TRUE, "Export-dataset")), "" )</f>
        <v>0.62677165354330711</v>
      </c>
      <c r="S20" s="6" cm="1">
        <f t="array" aca="1" ref="S20" ca="1">IFERROR( INDIRECT(ADDRESS(ROW()+1, COLUMN(), 4, TRUE, "Export-dataset")) / INDIRECT(ADDRESS(ROW(), COLUMN(), 4, TRUE, "Export-dataset")), "" )</f>
        <v>0.6</v>
      </c>
      <c r="T20" s="6" cm="1">
        <f t="array" aca="1" ref="T20" ca="1">IFERROR( INDIRECT(ADDRESS(ROW()+1, COLUMN(), 4, TRUE, "Export-dataset")) / INDIRECT(ADDRESS(ROW(), COLUMN(), 4, TRUE, "Export-dataset")), "" )</f>
        <v>0.97507190795781395</v>
      </c>
      <c r="U20" s="6" cm="1">
        <f t="array" aca="1" ref="U20" ca="1">IFERROR( INDIRECT(ADDRESS(ROW()+1, COLUMN(), 4, TRUE, "Export-dataset")) / INDIRECT(ADDRESS(ROW(), COLUMN(), 4, TRUE, "Export-dataset")), "" )</f>
        <v>1.8985507246376812</v>
      </c>
      <c r="V20" s="6" cm="1">
        <f t="array" aca="1" ref="V20" ca="1">IFERROR( INDIRECT(ADDRESS(ROW()+1, COLUMN(), 4, TRUE, "Export-dataset")) / INDIRECT(ADDRESS(ROW(), COLUMN(), 4, TRUE, "Export-dataset")), "" )</f>
        <v>0.93910614525139668</v>
      </c>
      <c r="W20" s="6" cm="1">
        <f t="array" aca="1" ref="W20" ca="1">IFERROR( INDIRECT(ADDRESS(ROW()+1, COLUMN(), 4, TRUE, "Export-dataset")) / INDIRECT(ADDRESS(ROW(), COLUMN(), 4, TRUE, "Export-dataset")), "" )</f>
        <v>1.1976190476190476</v>
      </c>
      <c r="X20" s="6" cm="1">
        <f t="array" aca="1" ref="X20" ca="1">IFERROR( INDIRECT(ADDRESS(ROW()+1, COLUMN(), 4, TRUE, "Export-dataset")) / INDIRECT(ADDRESS(ROW(), COLUMN(), 4, TRUE, "Export-dataset")), "" )</f>
        <v>1.4575399497948938</v>
      </c>
      <c r="Y20" s="6" cm="1">
        <f t="array" aca="1" ref="Y20" ca="1">IFERROR( INDIRECT(ADDRESS(ROW()+1, COLUMN(), 4, TRUE, "Export-dataset")) / INDIRECT(ADDRESS(ROW(), COLUMN(), 4, TRUE, "Export-dataset")), "" )</f>
        <v>1.0072202166064983</v>
      </c>
      <c r="Z20" s="6" cm="1">
        <f t="array" aca="1" ref="Z20" ca="1">IFERROR( INDIRECT(ADDRESS(ROW()+1, COLUMN(), 4, TRUE, "Export-dataset")) / INDIRECT(ADDRESS(ROW(), COLUMN(), 4, TRUE, "Export-dataset")), "" )</f>
        <v>1.4921553821629332</v>
      </c>
      <c r="AA20" s="6" cm="1">
        <f t="array" aca="1" ref="AA20" ca="1">IFERROR( INDIRECT(ADDRESS(ROW()+1, COLUMN(), 4, TRUE, "Export-dataset")) / INDIRECT(ADDRESS(ROW(), COLUMN(), 4, TRUE, "Export-dataset")), "" )</f>
        <v>1.6248608534322819</v>
      </c>
      <c r="AB20" s="6" cm="1">
        <f t="array" aca="1" ref="AB20" ca="1">IFERROR( INDIRECT(ADDRESS(ROW()+1, COLUMN(), 4, TRUE, "Export-dataset")) / INDIRECT(ADDRESS(ROW(), COLUMN(), 4, TRUE, "Export-dataset")), "" )</f>
        <v>1.2773702031602709</v>
      </c>
      <c r="AC20" s="6" cm="1">
        <f t="array" aca="1" ref="AC20" ca="1">IFERROR( INDIRECT(ADDRESS(ROW()+1, COLUMN(), 4, TRUE, "Export-dataset")) / INDIRECT(ADDRESS(ROW(), COLUMN(), 4, TRUE, "Export-dataset")), "" )</f>
        <v>1.4121600977696303</v>
      </c>
      <c r="AD20" s="6" cm="1">
        <f t="array" aca="1" ref="AD20" ca="1">IFERROR( INDIRECT(ADDRESS(ROW()+1, COLUMN(), 4, TRUE, "Export-dataset")) / INDIRECT(ADDRESS(ROW(), COLUMN(), 4, TRUE, "Export-dataset")), "" )</f>
        <v>0.80273972602739729</v>
      </c>
      <c r="AE20" s="6" cm="1">
        <f t="array" aca="1" ref="AE20" ca="1">IFERROR( INDIRECT(ADDRESS(ROW()+1, COLUMN(), 4, TRUE, "Export-dataset")) / INDIRECT(ADDRESS(ROW(), COLUMN(), 4, TRUE, "Export-dataset")), "" )</f>
        <v>0.85</v>
      </c>
      <c r="AF20" s="6" cm="1">
        <f t="array" aca="1" ref="AF20" ca="1">IFERROR( INDIRECT(ADDRESS(ROW()+1, COLUMN(), 4, TRUE, "Export-dataset")) / INDIRECT(ADDRESS(ROW(), COLUMN(), 4, TRUE, "Export-dataset")), "" )</f>
        <v>0.91803278688524592</v>
      </c>
      <c r="AG20" s="6" cm="1">
        <f t="array" aca="1" ref="AG20" ca="1">IFERROR( INDIRECT(ADDRESS(ROW()+1, COLUMN(), 4, TRUE, "Export-dataset")) / INDIRECT(ADDRESS(ROW(), COLUMN(), 4, TRUE, "Export-dataset")), "" )</f>
        <v>0.55384615384615388</v>
      </c>
      <c r="AH20" s="6" cm="1">
        <f t="array" aca="1" ref="AH20" ca="1">IFERROR( INDIRECT(ADDRESS(ROW()+1, COLUMN(), 4, TRUE, "Export-dataset")) / INDIRECT(ADDRESS(ROW(), COLUMN(), 4, TRUE, "Export-dataset")), "" )</f>
        <v>1.1698352344740177</v>
      </c>
      <c r="AI20" s="6" cm="1">
        <f t="array" aca="1" ref="AI20" ca="1">IFERROR( INDIRECT(ADDRESS(ROW()+1, COLUMN(), 4, TRUE, "Export-dataset")) / INDIRECT(ADDRESS(ROW(), COLUMN(), 4, TRUE, "Export-dataset")), "" )</f>
        <v>1.0229007633587786</v>
      </c>
      <c r="AJ20" s="6" cm="1">
        <f t="array" aca="1" ref="AJ20" ca="1">IFERROR( INDIRECT(ADDRESS(ROW()+1, COLUMN(), 4, TRUE, "Export-dataset")) / INDIRECT(ADDRESS(ROW(), COLUMN(), 4, TRUE, "Export-dataset")), "" )</f>
        <v>1.056640625</v>
      </c>
      <c r="AK20" s="6" cm="1">
        <f t="array" aca="1" ref="AK20" ca="1">IFERROR( INDIRECT(ADDRESS(ROW()+1, COLUMN(), 4, TRUE, "Export-dataset")) / INDIRECT(ADDRESS(ROW(), COLUMN(), 4, TRUE, "Export-dataset")), "" )</f>
        <v>0.99681020733652315</v>
      </c>
      <c r="AL20" s="6" cm="1">
        <f t="array" aca="1" ref="AL20" ca="1">IFERROR( INDIRECT(ADDRESS(ROW()+1, COLUMN(), 4, TRUE, "Export-dataset")) / INDIRECT(ADDRESS(ROW(), COLUMN(), 4, TRUE, "Export-dataset")), "" )</f>
        <v>1.2424009234320892</v>
      </c>
      <c r="AM20" s="6" cm="1">
        <f t="array" aca="1" ref="AM20" ca="1">IFERROR( INDIRECT(ADDRESS(ROW()+1, COLUMN(), 4, TRUE, "Export-dataset")) / INDIRECT(ADDRESS(ROW(), COLUMN(), 4, TRUE, "Export-dataset")), "" )</f>
        <v>1.1079136690647482</v>
      </c>
      <c r="AN20" s="6" cm="1">
        <f t="array" aca="1" ref="AN20" ca="1">IFERROR( INDIRECT(ADDRESS(ROW()+1, COLUMN(), 4, TRUE, "Export-dataset")) / INDIRECT(ADDRESS(ROW(), COLUMN(), 4, TRUE, "Export-dataset")), "" )</f>
        <v>1.3823529411764706</v>
      </c>
      <c r="AO20" s="6" cm="1">
        <f t="array" aca="1" ref="AO20" ca="1">IFERROR( INDIRECT(ADDRESS(ROW()+1, COLUMN(), 4, TRUE, "Export-dataset")) / INDIRECT(ADDRESS(ROW(), COLUMN(), 4, TRUE, "Export-dataset")), "" )</f>
        <v>1.441860465116279</v>
      </c>
      <c r="AP20" s="6" cm="1">
        <f t="array" aca="1" ref="AP20" ca="1">IFERROR( INDIRECT(ADDRESS(ROW()+1, COLUMN(), 4, TRUE, "Export-dataset")) / INDIRECT(ADDRESS(ROW(), COLUMN(), 4, TRUE, "Export-dataset")), "" )</f>
        <v>1.124113475177305</v>
      </c>
      <c r="AQ20" s="6" cm="1">
        <f t="array" aca="1" ref="AQ20" ca="1">IFERROR( INDIRECT(ADDRESS(ROW()+1, COLUMN(), 4, TRUE, "Export-dataset")) / INDIRECT(ADDRESS(ROW(), COLUMN(), 4, TRUE, "Export-dataset")), "" )</f>
        <v>1.0774299835255354</v>
      </c>
      <c r="AR20" s="6" cm="1">
        <f t="array" aca="1" ref="AR20" ca="1">IFERROR( INDIRECT(ADDRESS(ROW()+1, COLUMN(), 4, TRUE, "Export-dataset")) / INDIRECT(ADDRESS(ROW(), COLUMN(), 4, TRUE, "Export-dataset")), "" )</f>
        <v>1.076916673603596</v>
      </c>
      <c r="AS20" s="6" cm="1">
        <f t="array" aca="1" ref="AS20" ca="1">IFERROR( INDIRECT(ADDRESS(ROW()+1, COLUMN(), 4, TRUE, "Export-dataset")) / INDIRECT(ADDRESS(ROW(), COLUMN(), 4, TRUE, "Export-dataset")), "" )</f>
        <v>0.88053097345132747</v>
      </c>
      <c r="AT20" s="6" cm="1">
        <f t="array" aca="1" ref="AT20" ca="1">IFERROR( INDIRECT(ADDRESS(ROW()+1, COLUMN(), 4, TRUE, "Export-dataset")) / INDIRECT(ADDRESS(ROW(), COLUMN(), 4, TRUE, "Export-dataset")), "" )</f>
        <v>1.1586206896551725</v>
      </c>
      <c r="AU20" s="6" cm="1">
        <f t="array" aca="1" ref="AU20" ca="1">IFERROR( INDIRECT(ADDRESS(ROW()+1, COLUMN(), 4, TRUE, "Export-dataset")) / INDIRECT(ADDRESS(ROW(), COLUMN(), 4, TRUE, "Export-dataset")), "" )</f>
        <v>1.0172413793103448</v>
      </c>
      <c r="AV20" s="6" cm="1">
        <f t="array" aca="1" ref="AV20" ca="1">IFERROR( INDIRECT(ADDRESS(ROW()+1, COLUMN(), 4, TRUE, "Export-dataset")) / INDIRECT(ADDRESS(ROW(), COLUMN(), 4, TRUE, "Export-dataset")), "" )</f>
        <v>0.91753926701570676</v>
      </c>
      <c r="AW20" s="6" cm="1">
        <f t="array" aca="1" ref="AW20" ca="1">IFERROR( INDIRECT(ADDRESS(ROW()+1, COLUMN(), 4, TRUE, "Export-dataset")) / INDIRECT(ADDRESS(ROW(), COLUMN(), 4, TRUE, "Export-dataset")), "" )</f>
        <v>0.9662921348314607</v>
      </c>
      <c r="AX20" s="6" cm="1">
        <f t="array" aca="1" ref="AX20" ca="1">IFERROR( INDIRECT(ADDRESS(ROW()+1, COLUMN(), 4, TRUE, "Export-dataset")) / INDIRECT(ADDRESS(ROW(), COLUMN(), 4, TRUE, "Export-dataset")), "" )</f>
        <v>1.0349819059107359</v>
      </c>
      <c r="AY20" s="6" cm="1">
        <f t="array" aca="1" ref="AY20" ca="1">IFERROR( INDIRECT(ADDRESS(ROW()+1, COLUMN(), 4, TRUE, "Export-dataset")) / INDIRECT(ADDRESS(ROW(), COLUMN(), 4, TRUE, "Export-dataset")), "" )</f>
        <v>0.86043829296424457</v>
      </c>
      <c r="AZ20" s="6" cm="1">
        <f t="array" aca="1" ref="AZ20" ca="1">IFERROR( INDIRECT(ADDRESS(ROW()+1, COLUMN(), 4, TRUE, "Export-dataset")) / INDIRECT(ADDRESS(ROW(), COLUMN(), 4, TRUE, "Export-dataset")), "" )</f>
        <v>1.1377564614974687</v>
      </c>
      <c r="BA20" s="6" cm="1">
        <f t="array" aca="1" ref="BA20" ca="1">IFERROR( INDIRECT(ADDRESS(ROW()+1, COLUMN(), 4, TRUE, "Export-dataset")) / INDIRECT(ADDRESS(ROW(), COLUMN(), 4, TRUE, "Export-dataset")), "" )</f>
        <v>1.1128404669260701</v>
      </c>
      <c r="BB20" s="6" cm="1">
        <f t="array" aca="1" ref="BB20" ca="1">IFERROR( INDIRECT(ADDRESS(ROW()+1, COLUMN(), 4, TRUE, "Export-dataset")) / INDIRECT(ADDRESS(ROW(), COLUMN(), 4, TRUE, "Export-dataset")), "" )</f>
        <v>1.097978616772469</v>
      </c>
      <c r="BC20" s="6" cm="1">
        <f t="array" aca="1" ref="BC20" ca="1">IFERROR( INDIRECT(ADDRESS(ROW()+1, COLUMN(), 4, TRUE, "Export-dataset")) / INDIRECT(ADDRESS(ROW(), COLUMN(), 4, TRUE, "Export-dataset")), "" )</f>
        <v>1.1967914438502674</v>
      </c>
      <c r="BD20" s="6" cm="1">
        <f t="array" aca="1" ref="BD20" ca="1">IFERROR( INDIRECT(ADDRESS(ROW()+1, COLUMN(), 4, TRUE, "Export-dataset")) / INDIRECT(ADDRESS(ROW(), COLUMN(), 4, TRUE, "Export-dataset")), "" )</f>
        <v>1.1996630160067396</v>
      </c>
      <c r="BE20" s="6" cm="1">
        <f t="array" aca="1" ref="BE20" ca="1">IFERROR( INDIRECT(ADDRESS(ROW()+1, COLUMN(), 4, TRUE, "Export-dataset")) / INDIRECT(ADDRESS(ROW(), COLUMN(), 4, TRUE, "Export-dataset")), "" )</f>
        <v>1.3357664233576643</v>
      </c>
      <c r="BF20" s="6" cm="1">
        <f t="array" aca="1" ref="BF20" ca="1">IFERROR( INDIRECT(ADDRESS(ROW()+1, COLUMN(), 4, TRUE, "Export-dataset")) / INDIRECT(ADDRESS(ROW(), COLUMN(), 4, TRUE, "Export-dataset")), "" )</f>
        <v>1.0905109489051095</v>
      </c>
      <c r="BG20" s="6" cm="1">
        <f t="array" aca="1" ref="BG20" ca="1">IFERROR( INDIRECT(ADDRESS(ROW()+1, COLUMN(), 4, TRUE, "Export-dataset")) / INDIRECT(ADDRESS(ROW(), COLUMN(), 4, TRUE, "Export-dataset")), "" )</f>
        <v>1.0771276595744681</v>
      </c>
      <c r="BH20" s="6" cm="1">
        <f t="array" aca="1" ref="BH20" ca="1">IFERROR( INDIRECT(ADDRESS(ROW()+1, COLUMN(), 4, TRUE, "Export-dataset")) / INDIRECT(ADDRESS(ROW(), COLUMN(), 4, TRUE, "Export-dataset")), "" )</f>
        <v>0.92433061699650754</v>
      </c>
      <c r="BI20" s="6" cm="1">
        <f t="array" aca="1" ref="BI20" ca="1">IFERROR( INDIRECT(ADDRESS(ROW()+1, COLUMN(), 4, TRUE, "Export-dataset")) / INDIRECT(ADDRESS(ROW(), COLUMN(), 4, TRUE, "Export-dataset")), "" )</f>
        <v>0.99089134677944046</v>
      </c>
      <c r="BJ20" s="6" cm="1">
        <f t="array" aca="1" ref="BJ20" ca="1">IFERROR( INDIRECT(ADDRESS(ROW()+1, COLUMN(), 4, TRUE, "Export-dataset")) / INDIRECT(ADDRESS(ROW(), COLUMN(), 4, TRUE, "Export-dataset")), "" )</f>
        <v>1.0861413731948315</v>
      </c>
      <c r="BK20" s="6" cm="1">
        <f t="array" aca="1" ref="BK20" ca="1">IFERROR( INDIRECT(ADDRESS(ROW()+1, COLUMN(), 4, TRUE, "Export-dataset")) / INDIRECT(ADDRESS(ROW(), COLUMN(), 4, TRUE, "Export-dataset")), "" )</f>
        <v>1.2666666666666666</v>
      </c>
      <c r="BL20" s="6" cm="1">
        <f t="array" aca="1" ref="BL20" ca="1">IFERROR( INDIRECT(ADDRESS(ROW()+1, COLUMN(), 4, TRUE, "Export-dataset")) / INDIRECT(ADDRESS(ROW(), COLUMN(), 4, TRUE, "Export-dataset")), "" )</f>
        <v>1.0081743869209809</v>
      </c>
      <c r="BM20" s="6" cm="1">
        <f t="array" aca="1" ref="BM20" ca="1">IFERROR( INDIRECT(ADDRESS(ROW()+1, COLUMN(), 4, TRUE, "Export-dataset")) / INDIRECT(ADDRESS(ROW(), COLUMN(), 4, TRUE, "Export-dataset")), "" )</f>
        <v>1.1717171717171717</v>
      </c>
      <c r="BN20" s="6" cm="1">
        <f t="array" aca="1" ref="BN20" ca="1">IFERROR( INDIRECT(ADDRESS(ROW()+1, COLUMN(), 4, TRUE, "Export-dataset")) / INDIRECT(ADDRESS(ROW(), COLUMN(), 4, TRUE, "Export-dataset")), "" )</f>
        <v>0.99242424242424243</v>
      </c>
      <c r="BO20" s="6" cm="1">
        <f t="array" aca="1" ref="BO20" ca="1">IFERROR( INDIRECT(ADDRESS(ROW()+1, COLUMN(), 4, TRUE, "Export-dataset")) / INDIRECT(ADDRESS(ROW(), COLUMN(), 4, TRUE, "Export-dataset")), "" )</f>
        <v>1.1428571428571428</v>
      </c>
      <c r="BP20" s="6" cm="1">
        <f t="array" aca="1" ref="BP20" ca="1">IFERROR( INDIRECT(ADDRESS(ROW()+1, COLUMN(), 4, TRUE, "Export-dataset")) / INDIRECT(ADDRESS(ROW(), COLUMN(), 4, TRUE, "Export-dataset")), "" )</f>
        <v>0.93448275862068964</v>
      </c>
      <c r="BQ20" s="6" cm="1">
        <f t="array" aca="1" ref="BQ20" ca="1">IFERROR( INDIRECT(ADDRESS(ROW()+1, COLUMN(), 4, TRUE, "Export-dataset")) / INDIRECT(ADDRESS(ROW(), COLUMN(), 4, TRUE, "Export-dataset")), "" )</f>
        <v>1</v>
      </c>
      <c r="BR20" s="6" cm="1">
        <f t="array" aca="1" ref="BR20" ca="1">IFERROR( INDIRECT(ADDRESS(ROW()+1, COLUMN(), 4, TRUE, "Export-dataset")) / INDIRECT(ADDRESS(ROW(), COLUMN(), 4, TRUE, "Export-dataset")), "" )</f>
        <v>1.1476664116296864</v>
      </c>
      <c r="BS20" s="6" cm="1">
        <f t="array" aca="1" ref="BS20" ca="1">IFERROR( INDIRECT(ADDRESS(ROW()+1, COLUMN(), 4, TRUE, "Export-dataset")) / INDIRECT(ADDRESS(ROW(), COLUMN(), 4, TRUE, "Export-dataset")), "" )</f>
        <v>0.59611992945326275</v>
      </c>
      <c r="BT20" s="6" cm="1">
        <f t="array" aca="1" ref="BT20" ca="1">IFERROR( INDIRECT(ADDRESS(ROW()+1, COLUMN(), 4, TRUE, "Export-dataset")) / INDIRECT(ADDRESS(ROW(), COLUMN(), 4, TRUE, "Export-dataset")), "" )</f>
        <v>1.0385405960945528</v>
      </c>
      <c r="BU20" s="6" cm="1">
        <f t="array" aca="1" ref="BU20" ca="1">IFERROR( INDIRECT(ADDRESS(ROW()+1, COLUMN(), 4, TRUE, "Export-dataset")) / INDIRECT(ADDRESS(ROW(), COLUMN(), 4, TRUE, "Export-dataset")), "" )</f>
        <v>1.0895815994552471</v>
      </c>
      <c r="BV20" s="6" cm="1">
        <f t="array" aca="1" ref="BV20" ca="1">IFERROR( INDIRECT(ADDRESS(ROW()+1, COLUMN(), 4, TRUE, "Export-dataset")) / INDIRECT(ADDRESS(ROW(), COLUMN(), 4, TRUE, "Export-dataset")), "" )</f>
        <v>1.0418388429752066</v>
      </c>
      <c r="BW20" s="6" cm="1">
        <f t="array" aca="1" ref="BW20" ca="1">IFERROR( INDIRECT(ADDRESS(ROW()+1, COLUMN(), 4, TRUE, "Export-dataset")) / INDIRECT(ADDRESS(ROW(), COLUMN(), 4, TRUE, "Export-dataset")), "" )</f>
        <v>1.036697247706422</v>
      </c>
      <c r="BX20" s="6" t="str" cm="1">
        <f t="array" aca="1" ref="BX20" ca="1">IFERROR( INDIRECT(ADDRESS(ROW()+1, COLUMN(), 4, TRUE, "Export-dataset")) / INDIRECT(ADDRESS(ROW(), COLUMN(), 4, TRUE, "Export-dataset")), "" )</f>
        <v/>
      </c>
      <c r="BY20" s="6" cm="1">
        <f t="array" aca="1" ref="BY20" ca="1">IFERROR( INDIRECT(ADDRESS(ROW()+1, COLUMN(), 4, TRUE, "Export-dataset")) / INDIRECT(ADDRESS(ROW(), COLUMN(), 4, TRUE, "Export-dataset")), "" )</f>
        <v>1.0322637830171955</v>
      </c>
      <c r="BZ20" s="6" cm="1">
        <f t="array" aca="1" ref="BZ20" ca="1">IFERROR( INDIRECT(ADDRESS(ROW()+1, COLUMN(), 4, TRUE, "Export-dataset")) / INDIRECT(ADDRESS(ROW(), COLUMN(), 4, TRUE, "Export-dataset")), "" )</f>
        <v>1.1665461121157323</v>
      </c>
      <c r="CA20" s="6" cm="1">
        <f t="array" aca="1" ref="CA20" ca="1">IFERROR( INDIRECT(ADDRESS(ROW()+1, COLUMN(), 4, TRUE, "Export-dataset")) / INDIRECT(ADDRESS(ROW(), COLUMN(), 4, TRUE, "Export-dataset")), "" )</f>
        <v>1.1809158296044084</v>
      </c>
    </row>
    <row r="21" spans="1:79">
      <c r="A21" s="6" t="s">
        <v>178</v>
      </c>
      <c r="B21" s="6" cm="1">
        <f t="array" aca="1" ref="B21" ca="1">IFERROR( INDIRECT(ADDRESS(ROW()+1, COLUMN(), 4, TRUE, "Export-dataset")) / INDIRECT(ADDRESS(ROW(), COLUMN(), 4, TRUE, "Export-dataset")), "" )</f>
        <v>1.0708148780617963</v>
      </c>
      <c r="C21" s="6" cm="1">
        <f t="array" aca="1" ref="C21" ca="1">IFERROR( INDIRECT(ADDRESS(ROW()+1, COLUMN(), 4, TRUE, "Export-dataset")) / INDIRECT(ADDRESS(ROW(), COLUMN(), 4, TRUE, "Export-dataset")), "" )</f>
        <v>1.0783353733170136</v>
      </c>
      <c r="D21" s="6" cm="1">
        <f t="array" aca="1" ref="D21" ca="1">IFERROR( INDIRECT(ADDRESS(ROW()+1, COLUMN(), 4, TRUE, "Export-dataset")) / INDIRECT(ADDRESS(ROW(), COLUMN(), 4, TRUE, "Export-dataset")), "" )</f>
        <v>1.0326530612244897</v>
      </c>
      <c r="E21" s="6" cm="1">
        <f t="array" aca="1" ref="E21" ca="1">IFERROR( INDIRECT(ADDRESS(ROW()+1, COLUMN(), 4, TRUE, "Export-dataset")) / INDIRECT(ADDRESS(ROW(), COLUMN(), 4, TRUE, "Export-dataset")), "" )</f>
        <v>0.99384993849938497</v>
      </c>
      <c r="F21" s="6" cm="1">
        <f t="array" aca="1" ref="F21" ca="1">IFERROR( INDIRECT(ADDRESS(ROW()+1, COLUMN(), 4, TRUE, "Export-dataset")) / INDIRECT(ADDRESS(ROW(), COLUMN(), 4, TRUE, "Export-dataset")), "" )</f>
        <v>1</v>
      </c>
      <c r="G21" s="6" cm="1">
        <f t="array" aca="1" ref="G21" ca="1">IFERROR( INDIRECT(ADDRESS(ROW()+1, COLUMN(), 4, TRUE, "Export-dataset")) / INDIRECT(ADDRESS(ROW(), COLUMN(), 4, TRUE, "Export-dataset")), "" )</f>
        <v>1.1786200635497051</v>
      </c>
      <c r="H21" s="6" cm="1">
        <f t="array" aca="1" ref="H21" ca="1">IFERROR( INDIRECT(ADDRESS(ROW()+1, COLUMN(), 4, TRUE, "Export-dataset")) / INDIRECT(ADDRESS(ROW(), COLUMN(), 4, TRUE, "Export-dataset")), "" )</f>
        <v>1.1272304111714508</v>
      </c>
      <c r="I21" s="6" cm="1">
        <f t="array" aca="1" ref="I21" ca="1">IFERROR( INDIRECT(ADDRESS(ROW()+1, COLUMN(), 4, TRUE, "Export-dataset")) / INDIRECT(ADDRESS(ROW(), COLUMN(), 4, TRUE, "Export-dataset")), "" )</f>
        <v>1.3113207547169812</v>
      </c>
      <c r="J21" s="6" cm="1">
        <f t="array" aca="1" ref="J21" ca="1">IFERROR( INDIRECT(ADDRESS(ROW()+1, COLUMN(), 4, TRUE, "Export-dataset")) / INDIRECT(ADDRESS(ROW(), COLUMN(), 4, TRUE, "Export-dataset")), "" )</f>
        <v>0.88571428571428568</v>
      </c>
      <c r="K21" s="6" cm="1">
        <f t="array" aca="1" ref="K21" ca="1">IFERROR( INDIRECT(ADDRESS(ROW()+1, COLUMN(), 4, TRUE, "Export-dataset")) / INDIRECT(ADDRESS(ROW(), COLUMN(), 4, TRUE, "Export-dataset")), "" )</f>
        <v>1.0843672456575681</v>
      </c>
      <c r="L21" s="6" cm="1">
        <f t="array" aca="1" ref="L21" ca="1">IFERROR( INDIRECT(ADDRESS(ROW()+1, COLUMN(), 4, TRUE, "Export-dataset")) / INDIRECT(ADDRESS(ROW(), COLUMN(), 4, TRUE, "Export-dataset")), "" )</f>
        <v>0.99321266968325794</v>
      </c>
      <c r="M21" s="6" cm="1">
        <f t="array" aca="1" ref="M21" ca="1">IFERROR( INDIRECT(ADDRESS(ROW()+1, COLUMN(), 4, TRUE, "Export-dataset")) / INDIRECT(ADDRESS(ROW(), COLUMN(), 4, TRUE, "Export-dataset")), "" )</f>
        <v>1.0155248059399258</v>
      </c>
      <c r="N21" s="6" cm="1">
        <f t="array" aca="1" ref="N21" ca="1">IFERROR( INDIRECT(ADDRESS(ROW()+1, COLUMN(), 4, TRUE, "Export-dataset")) / INDIRECT(ADDRESS(ROW(), COLUMN(), 4, TRUE, "Export-dataset")), "" )</f>
        <v>1.0027739251040222</v>
      </c>
      <c r="O21" s="6" cm="1">
        <f t="array" aca="1" ref="O21" ca="1">IFERROR( INDIRECT(ADDRESS(ROW()+1, COLUMN(), 4, TRUE, "Export-dataset")) / INDIRECT(ADDRESS(ROW(), COLUMN(), 4, TRUE, "Export-dataset")), "" )</f>
        <v>1.5064935064935066</v>
      </c>
      <c r="P21" s="6" cm="1">
        <f t="array" aca="1" ref="P21" ca="1">IFERROR( INDIRECT(ADDRESS(ROW()+1, COLUMN(), 4, TRUE, "Export-dataset")) / INDIRECT(ADDRESS(ROW(), COLUMN(), 4, TRUE, "Export-dataset")), "" )</f>
        <v>1.3008497079129049</v>
      </c>
      <c r="Q21" s="6" cm="1">
        <f t="array" aca="1" ref="Q21" ca="1">IFERROR( INDIRECT(ADDRESS(ROW()+1, COLUMN(), 4, TRUE, "Export-dataset")) / INDIRECT(ADDRESS(ROW(), COLUMN(), 4, TRUE, "Export-dataset")), "" )</f>
        <v>1.0609951845906902</v>
      </c>
      <c r="R21" s="6" cm="1">
        <f t="array" aca="1" ref="R21" ca="1">IFERROR( INDIRECT(ADDRESS(ROW()+1, COLUMN(), 4, TRUE, "Export-dataset")) / INDIRECT(ADDRESS(ROW(), COLUMN(), 4, TRUE, "Export-dataset")), "" )</f>
        <v>0.91959798994974873</v>
      </c>
      <c r="S21" s="6" cm="1">
        <f t="array" aca="1" ref="S21" ca="1">IFERROR( INDIRECT(ADDRESS(ROW()+1, COLUMN(), 4, TRUE, "Export-dataset")) / INDIRECT(ADDRESS(ROW(), COLUMN(), 4, TRUE, "Export-dataset")), "" )</f>
        <v>0</v>
      </c>
      <c r="T21" s="6" cm="1">
        <f t="array" aca="1" ref="T21" ca="1">IFERROR( INDIRECT(ADDRESS(ROW()+1, COLUMN(), 4, TRUE, "Export-dataset")) / INDIRECT(ADDRESS(ROW(), COLUMN(), 4, TRUE, "Export-dataset")), "" )</f>
        <v>1.1238938053097345</v>
      </c>
      <c r="U21" s="6" cm="1">
        <f t="array" aca="1" ref="U21" ca="1">IFERROR( INDIRECT(ADDRESS(ROW()+1, COLUMN(), 4, TRUE, "Export-dataset")) / INDIRECT(ADDRESS(ROW(), COLUMN(), 4, TRUE, "Export-dataset")), "" )</f>
        <v>1.2061068702290076</v>
      </c>
      <c r="V21" s="6" cm="1">
        <f t="array" aca="1" ref="V21" ca="1">IFERROR( INDIRECT(ADDRESS(ROW()+1, COLUMN(), 4, TRUE, "Export-dataset")) / INDIRECT(ADDRESS(ROW(), COLUMN(), 4, TRUE, "Export-dataset")), "" )</f>
        <v>1.0157644259369423</v>
      </c>
      <c r="W21" s="6" cm="1">
        <f t="array" aca="1" ref="W21" ca="1">IFERROR( INDIRECT(ADDRESS(ROW()+1, COLUMN(), 4, TRUE, "Export-dataset")) / INDIRECT(ADDRESS(ROW(), COLUMN(), 4, TRUE, "Export-dataset")), "" )</f>
        <v>1.0775347912524851</v>
      </c>
      <c r="X21" s="6" cm="1">
        <f t="array" aca="1" ref="X21" ca="1">IFERROR( INDIRECT(ADDRESS(ROW()+1, COLUMN(), 4, TRUE, "Export-dataset")) / INDIRECT(ADDRESS(ROW(), COLUMN(), 4, TRUE, "Export-dataset")), "" )</f>
        <v>1.3720910694782829</v>
      </c>
      <c r="Y21" s="6" cm="1">
        <f t="array" aca="1" ref="Y21" ca="1">IFERROR( INDIRECT(ADDRESS(ROW()+1, COLUMN(), 4, TRUE, "Export-dataset")) / INDIRECT(ADDRESS(ROW(), COLUMN(), 4, TRUE, "Export-dataset")), "" )</f>
        <v>0.8530465949820788</v>
      </c>
      <c r="Z21" s="6" cm="1">
        <f t="array" aca="1" ref="Z21" ca="1">IFERROR( INDIRECT(ADDRESS(ROW()+1, COLUMN(), 4, TRUE, "Export-dataset")) / INDIRECT(ADDRESS(ROW(), COLUMN(), 4, TRUE, "Export-dataset")), "" )</f>
        <v>1.1059038515603037</v>
      </c>
      <c r="AA21" s="6" cm="1">
        <f t="array" aca="1" ref="AA21" ca="1">IFERROR( INDIRECT(ADDRESS(ROW()+1, COLUMN(), 4, TRUE, "Export-dataset")) / INDIRECT(ADDRESS(ROW(), COLUMN(), 4, TRUE, "Export-dataset")), "" )</f>
        <v>1.0667732358986071</v>
      </c>
      <c r="AB21" s="6" cm="1">
        <f t="array" aca="1" ref="AB21" ca="1">IFERROR( INDIRECT(ADDRESS(ROW()+1, COLUMN(), 4, TRUE, "Export-dataset")) / INDIRECT(ADDRESS(ROW(), COLUMN(), 4, TRUE, "Export-dataset")), "" )</f>
        <v>1.0837199028053899</v>
      </c>
      <c r="AC21" s="6" cm="1">
        <f t="array" aca="1" ref="AC21" ca="1">IFERROR( INDIRECT(ADDRESS(ROW()+1, COLUMN(), 4, TRUE, "Export-dataset")) / INDIRECT(ADDRESS(ROW(), COLUMN(), 4, TRUE, "Export-dataset")), "" )</f>
        <v>1.3340545218520121</v>
      </c>
      <c r="AD21" s="6" cm="1">
        <f t="array" aca="1" ref="AD21" ca="1">IFERROR( INDIRECT(ADDRESS(ROW()+1, COLUMN(), 4, TRUE, "Export-dataset")) / INDIRECT(ADDRESS(ROW(), COLUMN(), 4, TRUE, "Export-dataset")), "" )</f>
        <v>0.98293515358361772</v>
      </c>
      <c r="AE21" s="6" cm="1">
        <f t="array" aca="1" ref="AE21" ca="1">IFERROR( INDIRECT(ADDRESS(ROW()+1, COLUMN(), 4, TRUE, "Export-dataset")) / INDIRECT(ADDRESS(ROW(), COLUMN(), 4, TRUE, "Export-dataset")), "" )</f>
        <v>1.0098039215686274</v>
      </c>
      <c r="AF21" s="6" cm="1">
        <f t="array" aca="1" ref="AF21" ca="1">IFERROR( INDIRECT(ADDRESS(ROW()+1, COLUMN(), 4, TRUE, "Export-dataset")) / INDIRECT(ADDRESS(ROW(), COLUMN(), 4, TRUE, "Export-dataset")), "" )</f>
        <v>1.1607142857142858</v>
      </c>
      <c r="AG21" s="6" cm="1">
        <f t="array" aca="1" ref="AG21" ca="1">IFERROR( INDIRECT(ADDRESS(ROW()+1, COLUMN(), 4, TRUE, "Export-dataset")) / INDIRECT(ADDRESS(ROW(), COLUMN(), 4, TRUE, "Export-dataset")), "" )</f>
        <v>0.3611111111111111</v>
      </c>
      <c r="AH21" s="6" cm="1">
        <f t="array" aca="1" ref="AH21" ca="1">IFERROR( INDIRECT(ADDRESS(ROW()+1, COLUMN(), 4, TRUE, "Export-dataset")) / INDIRECT(ADDRESS(ROW(), COLUMN(), 4, TRUE, "Export-dataset")), "" )</f>
        <v>1.0688747871846462</v>
      </c>
      <c r="AI21" s="6" cm="1">
        <f t="array" aca="1" ref="AI21" ca="1">IFERROR( INDIRECT(ADDRESS(ROW()+1, COLUMN(), 4, TRUE, "Export-dataset")) / INDIRECT(ADDRESS(ROW(), COLUMN(), 4, TRUE, "Export-dataset")), "" )</f>
        <v>1.1716417910447761</v>
      </c>
      <c r="AJ21" s="6" cm="1">
        <f t="array" aca="1" ref="AJ21" ca="1">IFERROR( INDIRECT(ADDRESS(ROW()+1, COLUMN(), 4, TRUE, "Export-dataset")) / INDIRECT(ADDRESS(ROW(), COLUMN(), 4, TRUE, "Export-dataset")), "" )</f>
        <v>1.1977818853974123</v>
      </c>
      <c r="AK21" s="6" cm="1">
        <f t="array" aca="1" ref="AK21" ca="1">IFERROR( INDIRECT(ADDRESS(ROW()+1, COLUMN(), 4, TRUE, "Export-dataset")) / INDIRECT(ADDRESS(ROW(), COLUMN(), 4, TRUE, "Export-dataset")), "" )</f>
        <v>1.0256000000000001</v>
      </c>
      <c r="AL21" s="6" cm="1">
        <f t="array" aca="1" ref="AL21" ca="1">IFERROR( INDIRECT(ADDRESS(ROW()+1, COLUMN(), 4, TRUE, "Export-dataset")) / INDIRECT(ADDRESS(ROW(), COLUMN(), 4, TRUE, "Export-dataset")), "" )</f>
        <v>1.0684422421802415</v>
      </c>
      <c r="AM21" s="6" cm="1">
        <f t="array" aca="1" ref="AM21" ca="1">IFERROR( INDIRECT(ADDRESS(ROW()+1, COLUMN(), 4, TRUE, "Export-dataset")) / INDIRECT(ADDRESS(ROW(), COLUMN(), 4, TRUE, "Export-dataset")), "" )</f>
        <v>1.0497835497835497</v>
      </c>
      <c r="AN21" s="6" cm="1">
        <f t="array" aca="1" ref="AN21" ca="1">IFERROR( INDIRECT(ADDRESS(ROW()+1, COLUMN(), 4, TRUE, "Export-dataset")) / INDIRECT(ADDRESS(ROW(), COLUMN(), 4, TRUE, "Export-dataset")), "" )</f>
        <v>0.78723404255319152</v>
      </c>
      <c r="AO21" s="6" cm="1">
        <f t="array" aca="1" ref="AO21" ca="1">IFERROR( INDIRECT(ADDRESS(ROW()+1, COLUMN(), 4, TRUE, "Export-dataset")) / INDIRECT(ADDRESS(ROW(), COLUMN(), 4, TRUE, "Export-dataset")), "" )</f>
        <v>0.86774193548387102</v>
      </c>
      <c r="AP21" s="6" cm="1">
        <f t="array" aca="1" ref="AP21" ca="1">IFERROR( INDIRECT(ADDRESS(ROW()+1, COLUMN(), 4, TRUE, "Export-dataset")) / INDIRECT(ADDRESS(ROW(), COLUMN(), 4, TRUE, "Export-dataset")), "" )</f>
        <v>1.113564668769716</v>
      </c>
      <c r="AQ21" s="6" cm="1">
        <f t="array" aca="1" ref="AQ21" ca="1">IFERROR( INDIRECT(ADDRESS(ROW()+1, COLUMN(), 4, TRUE, "Export-dataset")) / INDIRECT(ADDRESS(ROW(), COLUMN(), 4, TRUE, "Export-dataset")), "" )</f>
        <v>1.1513761467889909</v>
      </c>
      <c r="AR21" s="6" cm="1">
        <f t="array" aca="1" ref="AR21" ca="1">IFERROR( INDIRECT(ADDRESS(ROW()+1, COLUMN(), 4, TRUE, "Export-dataset")) / INDIRECT(ADDRESS(ROW(), COLUMN(), 4, TRUE, "Export-dataset")), "" )</f>
        <v>1.3362448790291412</v>
      </c>
      <c r="AS21" s="6" cm="1">
        <f t="array" aca="1" ref="AS21" ca="1">IFERROR( INDIRECT(ADDRESS(ROW()+1, COLUMN(), 4, TRUE, "Export-dataset")) / INDIRECT(ADDRESS(ROW(), COLUMN(), 4, TRUE, "Export-dataset")), "" )</f>
        <v>1.0527638190954773</v>
      </c>
      <c r="AT21" s="6" cm="1">
        <f t="array" aca="1" ref="AT21" ca="1">IFERROR( INDIRECT(ADDRESS(ROW()+1, COLUMN(), 4, TRUE, "Export-dataset")) / INDIRECT(ADDRESS(ROW(), COLUMN(), 4, TRUE, "Export-dataset")), "" )</f>
        <v>1.0833333333333333</v>
      </c>
      <c r="AU21" s="6" cm="1">
        <f t="array" aca="1" ref="AU21" ca="1">IFERROR( INDIRECT(ADDRESS(ROW()+1, COLUMN(), 4, TRUE, "Export-dataset")) / INDIRECT(ADDRESS(ROW(), COLUMN(), 4, TRUE, "Export-dataset")), "" )</f>
        <v>0.85593220338983056</v>
      </c>
      <c r="AV21" s="6" cm="1">
        <f t="array" aca="1" ref="AV21" ca="1">IFERROR( INDIRECT(ADDRESS(ROW()+1, COLUMN(), 4, TRUE, "Export-dataset")) / INDIRECT(ADDRESS(ROW(), COLUMN(), 4, TRUE, "Export-dataset")), "" )</f>
        <v>1.028530670470756</v>
      </c>
      <c r="AW21" s="6" cm="1">
        <f t="array" aca="1" ref="AW21" ca="1">IFERROR( INDIRECT(ADDRESS(ROW()+1, COLUMN(), 4, TRUE, "Export-dataset")) / INDIRECT(ADDRESS(ROW(), COLUMN(), 4, TRUE, "Export-dataset")), "" )</f>
        <v>0.96279069767441861</v>
      </c>
      <c r="AX21" s="6" cm="1">
        <f t="array" aca="1" ref="AX21" ca="1">IFERROR( INDIRECT(ADDRESS(ROW()+1, COLUMN(), 4, TRUE, "Export-dataset")) / INDIRECT(ADDRESS(ROW(), COLUMN(), 4, TRUE, "Export-dataset")), "" )</f>
        <v>1.0442890442890442</v>
      </c>
      <c r="AY21" s="6" cm="1">
        <f t="array" aca="1" ref="AY21" ca="1">IFERROR( INDIRECT(ADDRESS(ROW()+1, COLUMN(), 4, TRUE, "Export-dataset")) / INDIRECT(ADDRESS(ROW(), COLUMN(), 4, TRUE, "Export-dataset")), "" )</f>
        <v>1.4235924932975872</v>
      </c>
      <c r="AZ21" s="6" cm="1">
        <f t="array" aca="1" ref="AZ21" ca="1">IFERROR( INDIRECT(ADDRESS(ROW()+1, COLUMN(), 4, TRUE, "Export-dataset")) / INDIRECT(ADDRESS(ROW(), COLUMN(), 4, TRUE, "Export-dataset")), "" )</f>
        <v>1.453512880562061</v>
      </c>
      <c r="BA21" s="6" cm="1">
        <f t="array" aca="1" ref="BA21" ca="1">IFERROR( INDIRECT(ADDRESS(ROW()+1, COLUMN(), 4, TRUE, "Export-dataset")) / INDIRECT(ADDRESS(ROW(), COLUMN(), 4, TRUE, "Export-dataset")), "" )</f>
        <v>1.1398601398601398</v>
      </c>
      <c r="BB21" s="6" cm="1">
        <f t="array" aca="1" ref="BB21" ca="1">IFERROR( INDIRECT(ADDRESS(ROW()+1, COLUMN(), 4, TRUE, "Export-dataset")) / INDIRECT(ADDRESS(ROW(), COLUMN(), 4, TRUE, "Export-dataset")), "" )</f>
        <v>0.98881704069988585</v>
      </c>
      <c r="BC21" s="6" cm="1">
        <f t="array" aca="1" ref="BC21" ca="1">IFERROR( INDIRECT(ADDRESS(ROW()+1, COLUMN(), 4, TRUE, "Export-dataset")) / INDIRECT(ADDRESS(ROW(), COLUMN(), 4, TRUE, "Export-dataset")), "" )</f>
        <v>1.1546023235031277</v>
      </c>
      <c r="BD21" s="6" cm="1">
        <f t="array" aca="1" ref="BD21" ca="1">IFERROR( INDIRECT(ADDRESS(ROW()+1, COLUMN(), 4, TRUE, "Export-dataset")) / INDIRECT(ADDRESS(ROW(), COLUMN(), 4, TRUE, "Export-dataset")), "" )</f>
        <v>1.0105337078651686</v>
      </c>
      <c r="BE21" s="6" cm="1">
        <f t="array" aca="1" ref="BE21" ca="1">IFERROR( INDIRECT(ADDRESS(ROW()+1, COLUMN(), 4, TRUE, "Export-dataset")) / INDIRECT(ADDRESS(ROW(), COLUMN(), 4, TRUE, "Export-dataset")), "" )</f>
        <v>0.96721311475409832</v>
      </c>
      <c r="BF21" s="6" cm="1">
        <f t="array" aca="1" ref="BF21" ca="1">IFERROR( INDIRECT(ADDRESS(ROW()+1, COLUMN(), 4, TRUE, "Export-dataset")) / INDIRECT(ADDRESS(ROW(), COLUMN(), 4, TRUE, "Export-dataset")), "" )</f>
        <v>1.0769745649263722</v>
      </c>
      <c r="BG21" s="6" cm="1">
        <f t="array" aca="1" ref="BG21" ca="1">IFERROR( INDIRECT(ADDRESS(ROW()+1, COLUMN(), 4, TRUE, "Export-dataset")) / INDIRECT(ADDRESS(ROW(), COLUMN(), 4, TRUE, "Export-dataset")), "" )</f>
        <v>1.0386831275720165</v>
      </c>
      <c r="BH21" s="6" cm="1">
        <f t="array" aca="1" ref="BH21" ca="1">IFERROR( INDIRECT(ADDRESS(ROW()+1, COLUMN(), 4, TRUE, "Export-dataset")) / INDIRECT(ADDRESS(ROW(), COLUMN(), 4, TRUE, "Export-dataset")), "" )</f>
        <v>0.96221662468513858</v>
      </c>
      <c r="BI21" s="6" cm="1">
        <f t="array" aca="1" ref="BI21" ca="1">IFERROR( INDIRECT(ADDRESS(ROW()+1, COLUMN(), 4, TRUE, "Export-dataset")) / INDIRECT(ADDRESS(ROW(), COLUMN(), 4, TRUE, "Export-dataset")), "" )</f>
        <v>1.0755088640840447</v>
      </c>
      <c r="BJ21" s="6" cm="1">
        <f t="array" aca="1" ref="BJ21" ca="1">IFERROR( INDIRECT(ADDRESS(ROW()+1, COLUMN(), 4, TRUE, "Export-dataset")) / INDIRECT(ADDRESS(ROW(), COLUMN(), 4, TRUE, "Export-dataset")), "" )</f>
        <v>0.8947982271985071</v>
      </c>
      <c r="BK21" s="6" cm="1">
        <f t="array" aca="1" ref="BK21" ca="1">IFERROR( INDIRECT(ADDRESS(ROW()+1, COLUMN(), 4, TRUE, "Export-dataset")) / INDIRECT(ADDRESS(ROW(), COLUMN(), 4, TRUE, "Export-dataset")), "" )</f>
        <v>0.89292196007259528</v>
      </c>
      <c r="BL21" s="6" cm="1">
        <f t="array" aca="1" ref="BL21" ca="1">IFERROR( INDIRECT(ADDRESS(ROW()+1, COLUMN(), 4, TRUE, "Export-dataset")) / INDIRECT(ADDRESS(ROW(), COLUMN(), 4, TRUE, "Export-dataset")), "" )</f>
        <v>1.0817567567567568</v>
      </c>
      <c r="BM21" s="6" cm="1">
        <f t="array" aca="1" ref="BM21" ca="1">IFERROR( INDIRECT(ADDRESS(ROW()+1, COLUMN(), 4, TRUE, "Export-dataset")) / INDIRECT(ADDRESS(ROW(), COLUMN(), 4, TRUE, "Export-dataset")), "" )</f>
        <v>0.93103448275862066</v>
      </c>
      <c r="BN21" s="6" cm="1">
        <f t="array" aca="1" ref="BN21" ca="1">IFERROR( INDIRECT(ADDRESS(ROW()+1, COLUMN(), 4, TRUE, "Export-dataset")) / INDIRECT(ADDRESS(ROW(), COLUMN(), 4, TRUE, "Export-dataset")), "" )</f>
        <v>1.0763358778625953</v>
      </c>
      <c r="BO21" s="6" cm="1">
        <f t="array" aca="1" ref="BO21" ca="1">IFERROR( INDIRECT(ADDRESS(ROW()+1, COLUMN(), 4, TRUE, "Export-dataset")) / INDIRECT(ADDRESS(ROW(), COLUMN(), 4, TRUE, "Export-dataset")), "" )</f>
        <v>1.0416666666666667</v>
      </c>
      <c r="BP21" s="6" cm="1">
        <f t="array" aca="1" ref="BP21" ca="1">IFERROR( INDIRECT(ADDRESS(ROW()+1, COLUMN(), 4, TRUE, "Export-dataset")) / INDIRECT(ADDRESS(ROW(), COLUMN(), 4, TRUE, "Export-dataset")), "" )</f>
        <v>0.90036900369003692</v>
      </c>
      <c r="BQ21" s="6" cm="1">
        <f t="array" aca="1" ref="BQ21" ca="1">IFERROR( INDIRECT(ADDRESS(ROW()+1, COLUMN(), 4, TRUE, "Export-dataset")) / INDIRECT(ADDRESS(ROW(), COLUMN(), 4, TRUE, "Export-dataset")), "" )</f>
        <v>0.97727272727272729</v>
      </c>
      <c r="BR21" s="6" cm="1">
        <f t="array" aca="1" ref="BR21" ca="1">IFERROR( INDIRECT(ADDRESS(ROW()+1, COLUMN(), 4, TRUE, "Export-dataset")) / INDIRECT(ADDRESS(ROW(), COLUMN(), 4, TRUE, "Export-dataset")), "" )</f>
        <v>1.1273333333333333</v>
      </c>
      <c r="BS21" s="6" cm="1">
        <f t="array" aca="1" ref="BS21" ca="1">IFERROR( INDIRECT(ADDRESS(ROW()+1, COLUMN(), 4, TRUE, "Export-dataset")) / INDIRECT(ADDRESS(ROW(), COLUMN(), 4, TRUE, "Export-dataset")), "" )</f>
        <v>1.0591715976331362</v>
      </c>
      <c r="BT21" s="6" cm="1">
        <f t="array" aca="1" ref="BT21" ca="1">IFERROR( INDIRECT(ADDRESS(ROW()+1, COLUMN(), 4, TRUE, "Export-dataset")) / INDIRECT(ADDRESS(ROW(), COLUMN(), 4, TRUE, "Export-dataset")), "" )</f>
        <v>1.0816427511133102</v>
      </c>
      <c r="BU21" s="6" cm="1">
        <f t="array" aca="1" ref="BU21" ca="1">IFERROR( INDIRECT(ADDRESS(ROW()+1, COLUMN(), 4, TRUE, "Export-dataset")) / INDIRECT(ADDRESS(ROW(), COLUMN(), 4, TRUE, "Export-dataset")), "" )</f>
        <v>1.3799736129435456</v>
      </c>
      <c r="BV21" s="6" cm="1">
        <f t="array" aca="1" ref="BV21" ca="1">IFERROR( INDIRECT(ADDRESS(ROW()+1, COLUMN(), 4, TRUE, "Export-dataset")) / INDIRECT(ADDRESS(ROW(), COLUMN(), 4, TRUE, "Export-dataset")), "" )</f>
        <v>1.3366385721368368</v>
      </c>
      <c r="BW21" s="6" cm="1">
        <f t="array" aca="1" ref="BW21" ca="1">IFERROR( INDIRECT(ADDRESS(ROW()+1, COLUMN(), 4, TRUE, "Export-dataset")) / INDIRECT(ADDRESS(ROW(), COLUMN(), 4, TRUE, "Export-dataset")), "" )</f>
        <v>1.336283185840708</v>
      </c>
      <c r="BX21" s="6" t="str" cm="1">
        <f t="array" aca="1" ref="BX21" ca="1">IFERROR( INDIRECT(ADDRESS(ROW()+1, COLUMN(), 4, TRUE, "Export-dataset")) / INDIRECT(ADDRESS(ROW(), COLUMN(), 4, TRUE, "Export-dataset")), "" )</f>
        <v/>
      </c>
      <c r="BY21" s="6" cm="1">
        <f t="array" aca="1" ref="BY21" ca="1">IFERROR( INDIRECT(ADDRESS(ROW()+1, COLUMN(), 4, TRUE, "Export-dataset")) / INDIRECT(ADDRESS(ROW(), COLUMN(), 4, TRUE, "Export-dataset")), "" )</f>
        <v>1.571870170015456</v>
      </c>
      <c r="BZ21" s="6" cm="1">
        <f t="array" aca="1" ref="BZ21" ca="1">IFERROR( INDIRECT(ADDRESS(ROW()+1, COLUMN(), 4, TRUE, "Export-dataset")) / INDIRECT(ADDRESS(ROW(), COLUMN(), 4, TRUE, "Export-dataset")), "" )</f>
        <v>1.2198108820337932</v>
      </c>
      <c r="CA21" s="6" cm="1">
        <f t="array" aca="1" ref="CA21" ca="1">IFERROR( INDIRECT(ADDRESS(ROW()+1, COLUMN(), 4, TRUE, "Export-dataset")) / INDIRECT(ADDRESS(ROW(), COLUMN(), 4, TRUE, "Export-dataset")), "" )</f>
        <v>1.1774014955421339</v>
      </c>
    </row>
    <row r="22" spans="1:79">
      <c r="A22" s="6" t="s">
        <v>179</v>
      </c>
      <c r="B22" s="6" cm="1">
        <f t="array" aca="1" ref="B22" ca="1">IFERROR( INDIRECT(ADDRESS(ROW()+1, COLUMN(), 4, TRUE, "Export-dataset")) / INDIRECT(ADDRESS(ROW(), COLUMN(), 4, TRUE, "Export-dataset")), "" )</f>
        <v>0.8685836738762085</v>
      </c>
      <c r="C22" s="6" cm="1">
        <f t="array" aca="1" ref="C22" ca="1">IFERROR( INDIRECT(ADDRESS(ROW()+1, COLUMN(), 4, TRUE, "Export-dataset")) / INDIRECT(ADDRESS(ROW(), COLUMN(), 4, TRUE, "Export-dataset")), "" )</f>
        <v>1.0533484676503972</v>
      </c>
      <c r="D22" s="6" cm="1">
        <f t="array" aca="1" ref="D22" ca="1">IFERROR( INDIRECT(ADDRESS(ROW()+1, COLUMN(), 4, TRUE, "Export-dataset")) / INDIRECT(ADDRESS(ROW(), COLUMN(), 4, TRUE, "Export-dataset")), "" )</f>
        <v>0.93506493506493504</v>
      </c>
      <c r="E22" s="6" cm="1">
        <f t="array" aca="1" ref="E22" ca="1">IFERROR( INDIRECT(ADDRESS(ROW()+1, COLUMN(), 4, TRUE, "Export-dataset")) / INDIRECT(ADDRESS(ROW(), COLUMN(), 4, TRUE, "Export-dataset")), "" )</f>
        <v>1.0045379537953796</v>
      </c>
      <c r="F22" s="6" cm="1">
        <f t="array" aca="1" ref="F22" ca="1">IFERROR( INDIRECT(ADDRESS(ROW()+1, COLUMN(), 4, TRUE, "Export-dataset")) / INDIRECT(ADDRESS(ROW(), COLUMN(), 4, TRUE, "Export-dataset")), "" )</f>
        <v>0.90834697217675942</v>
      </c>
      <c r="G22" s="6" cm="1">
        <f t="array" aca="1" ref="G22" ca="1">IFERROR( INDIRECT(ADDRESS(ROW()+1, COLUMN(), 4, TRUE, "Export-dataset")) / INDIRECT(ADDRESS(ROW(), COLUMN(), 4, TRUE, "Export-dataset")), "" )</f>
        <v>0.64740997496630082</v>
      </c>
      <c r="H22" s="6" cm="1">
        <f t="array" aca="1" ref="H22" ca="1">IFERROR( INDIRECT(ADDRESS(ROW()+1, COLUMN(), 4, TRUE, "Export-dataset")) / INDIRECT(ADDRESS(ROW(), COLUMN(), 4, TRUE, "Export-dataset")), "" )</f>
        <v>0.88437715072264278</v>
      </c>
      <c r="I22" s="6" cm="1">
        <f t="array" aca="1" ref="I22" ca="1">IFERROR( INDIRECT(ADDRESS(ROW()+1, COLUMN(), 4, TRUE, "Export-dataset")) / INDIRECT(ADDRESS(ROW(), COLUMN(), 4, TRUE, "Export-dataset")), "" )</f>
        <v>0.80215827338129497</v>
      </c>
      <c r="J22" s="6" cm="1">
        <f t="array" aca="1" ref="J22" ca="1">IFERROR( INDIRECT(ADDRESS(ROW()+1, COLUMN(), 4, TRUE, "Export-dataset")) / INDIRECT(ADDRESS(ROW(), COLUMN(), 4, TRUE, "Export-dataset")), "" )</f>
        <v>1.1797235023041475</v>
      </c>
      <c r="K22" s="6" cm="1">
        <f t="array" aca="1" ref="K22" ca="1">IFERROR( INDIRECT(ADDRESS(ROW()+1, COLUMN(), 4, TRUE, "Export-dataset")) / INDIRECT(ADDRESS(ROW(), COLUMN(), 4, TRUE, "Export-dataset")), "" )</f>
        <v>0.87070938215102978</v>
      </c>
      <c r="L22" s="6" cm="1">
        <f t="array" aca="1" ref="L22" ca="1">IFERROR( INDIRECT(ADDRESS(ROW()+1, COLUMN(), 4, TRUE, "Export-dataset")) / INDIRECT(ADDRESS(ROW(), COLUMN(), 4, TRUE, "Export-dataset")), "" )</f>
        <v>1.0113895216400912</v>
      </c>
      <c r="M22" s="6" cm="1">
        <f t="array" aca="1" ref="M22" ca="1">IFERROR( INDIRECT(ADDRESS(ROW()+1, COLUMN(), 4, TRUE, "Export-dataset")) / INDIRECT(ADDRESS(ROW(), COLUMN(), 4, TRUE, "Export-dataset")), "" )</f>
        <v>1.0790960451977401</v>
      </c>
      <c r="N22" s="6" cm="1">
        <f t="array" aca="1" ref="N22" ca="1">IFERROR( INDIRECT(ADDRESS(ROW()+1, COLUMN(), 4, TRUE, "Export-dataset")) / INDIRECT(ADDRESS(ROW(), COLUMN(), 4, TRUE, "Export-dataset")), "" )</f>
        <v>1.072268326417704</v>
      </c>
      <c r="O22" s="6" cm="1">
        <f t="array" aca="1" ref="O22" ca="1">IFERROR( INDIRECT(ADDRESS(ROW()+1, COLUMN(), 4, TRUE, "Export-dataset")) / INDIRECT(ADDRESS(ROW(), COLUMN(), 4, TRUE, "Export-dataset")), "" )</f>
        <v>1.2672413793103448</v>
      </c>
      <c r="P22" s="6" cm="1">
        <f t="array" aca="1" ref="P22" ca="1">IFERROR( INDIRECT(ADDRESS(ROW()+1, COLUMN(), 4, TRUE, "Export-dataset")) / INDIRECT(ADDRESS(ROW(), COLUMN(), 4, TRUE, "Export-dataset")), "" )</f>
        <v>1.073178199632578</v>
      </c>
      <c r="Q22" s="6" cm="1">
        <f t="array" aca="1" ref="Q22" ca="1">IFERROR( INDIRECT(ADDRESS(ROW()+1, COLUMN(), 4, TRUE, "Export-dataset")) / INDIRECT(ADDRESS(ROW(), COLUMN(), 4, TRUE, "Export-dataset")), "" )</f>
        <v>1.1104387291981845</v>
      </c>
      <c r="R22" s="6" cm="1">
        <f t="array" aca="1" ref="R22" ca="1">IFERROR( INDIRECT(ADDRESS(ROW()+1, COLUMN(), 4, TRUE, "Export-dataset")) / INDIRECT(ADDRESS(ROW(), COLUMN(), 4, TRUE, "Export-dataset")), "" )</f>
        <v>0.4098360655737705</v>
      </c>
      <c r="S22" s="6" t="str" cm="1">
        <f t="array" aca="1" ref="S22" ca="1">IFERROR( INDIRECT(ADDRESS(ROW()+1, COLUMN(), 4, TRUE, "Export-dataset")) / INDIRECT(ADDRESS(ROW(), COLUMN(), 4, TRUE, "Export-dataset")), "" )</f>
        <v/>
      </c>
      <c r="T22" s="6" cm="1">
        <f t="array" aca="1" ref="T22" ca="1">IFERROR( INDIRECT(ADDRESS(ROW()+1, COLUMN(), 4, TRUE, "Export-dataset")) / INDIRECT(ADDRESS(ROW(), COLUMN(), 4, TRUE, "Export-dataset")), "" )</f>
        <v>1.0971128608923884</v>
      </c>
      <c r="U22" s="6" cm="1">
        <f t="array" aca="1" ref="U22" ca="1">IFERROR( INDIRECT(ADDRESS(ROW()+1, COLUMN(), 4, TRUE, "Export-dataset")) / INDIRECT(ADDRESS(ROW(), COLUMN(), 4, TRUE, "Export-dataset")), "" )</f>
        <v>1.4367088607594938</v>
      </c>
      <c r="V22" s="6" cm="1">
        <f t="array" aca="1" ref="V22" ca="1">IFERROR( INDIRECT(ADDRESS(ROW()+1, COLUMN(), 4, TRUE, "Export-dataset")) / INDIRECT(ADDRESS(ROW(), COLUMN(), 4, TRUE, "Export-dataset")), "" )</f>
        <v>0.97774524158125919</v>
      </c>
      <c r="W22" s="6" cm="1">
        <f t="array" aca="1" ref="W22" ca="1">IFERROR( INDIRECT(ADDRESS(ROW()+1, COLUMN(), 4, TRUE, "Export-dataset")) / INDIRECT(ADDRESS(ROW(), COLUMN(), 4, TRUE, "Export-dataset")), "" )</f>
        <v>1.0018450184501846</v>
      </c>
      <c r="X22" s="6" cm="1">
        <f t="array" aca="1" ref="X22" ca="1">IFERROR( INDIRECT(ADDRESS(ROW()+1, COLUMN(), 4, TRUE, "Export-dataset")) / INDIRECT(ADDRESS(ROW(), COLUMN(), 4, TRUE, "Export-dataset")), "" )</f>
        <v>1.090068577026696</v>
      </c>
      <c r="Y22" s="6" cm="1">
        <f t="array" aca="1" ref="Y22" ca="1">IFERROR( INDIRECT(ADDRESS(ROW()+1, COLUMN(), 4, TRUE, "Export-dataset")) / INDIRECT(ADDRESS(ROW(), COLUMN(), 4, TRUE, "Export-dataset")), "" )</f>
        <v>0.8529411764705882</v>
      </c>
      <c r="Z22" s="6" cm="1">
        <f t="array" aca="1" ref="Z22" ca="1">IFERROR( INDIRECT(ADDRESS(ROW()+1, COLUMN(), 4, TRUE, "Export-dataset")) / INDIRECT(ADDRESS(ROW(), COLUMN(), 4, TRUE, "Export-dataset")), "" )</f>
        <v>0.97282456720136257</v>
      </c>
      <c r="AA22" s="6" cm="1">
        <f t="array" aca="1" ref="AA22" ca="1">IFERROR( INDIRECT(ADDRESS(ROW()+1, COLUMN(), 4, TRUE, "Export-dataset")) / INDIRECT(ADDRESS(ROW(), COLUMN(), 4, TRUE, "Export-dataset")), "" )</f>
        <v>0.89373635312754207</v>
      </c>
      <c r="AB22" s="6" cm="1">
        <f t="array" aca="1" ref="AB22" ca="1">IFERROR( INDIRECT(ADDRESS(ROW()+1, COLUMN(), 4, TRUE, "Export-dataset")) / INDIRECT(ADDRESS(ROW(), COLUMN(), 4, TRUE, "Export-dataset")), "" )</f>
        <v>1.1425805136567468</v>
      </c>
      <c r="AC22" s="6" cm="1">
        <f t="array" aca="1" ref="AC22" ca="1">IFERROR( INDIRECT(ADDRESS(ROW()+1, COLUMN(), 4, TRUE, "Export-dataset")) / INDIRECT(ADDRESS(ROW(), COLUMN(), 4, TRUE, "Export-dataset")), "" )</f>
        <v>1.001946156341226</v>
      </c>
      <c r="AD22" s="6" cm="1">
        <f t="array" aca="1" ref="AD22" ca="1">IFERROR( INDIRECT(ADDRESS(ROW()+1, COLUMN(), 4, TRUE, "Export-dataset")) / INDIRECT(ADDRESS(ROW(), COLUMN(), 4, TRUE, "Export-dataset")), "" )</f>
        <v>1.2604166666666667</v>
      </c>
      <c r="AE22" s="6" cm="1">
        <f t="array" aca="1" ref="AE22" ca="1">IFERROR( INDIRECT(ADDRESS(ROW()+1, COLUMN(), 4, TRUE, "Export-dataset")) / INDIRECT(ADDRESS(ROW(), COLUMN(), 4, TRUE, "Export-dataset")), "" )</f>
        <v>1.3689320388349515</v>
      </c>
      <c r="AF22" s="6" cm="1">
        <f t="array" aca="1" ref="AF22" ca="1">IFERROR( INDIRECT(ADDRESS(ROW()+1, COLUMN(), 4, TRUE, "Export-dataset")) / INDIRECT(ADDRESS(ROW(), COLUMN(), 4, TRUE, "Export-dataset")), "" )</f>
        <v>1.0461538461538462</v>
      </c>
      <c r="AG22" s="6" cm="1">
        <f t="array" aca="1" ref="AG22" ca="1">IFERROR( INDIRECT(ADDRESS(ROW()+1, COLUMN(), 4, TRUE, "Export-dataset")) / INDIRECT(ADDRESS(ROW(), COLUMN(), 4, TRUE, "Export-dataset")), "" )</f>
        <v>1</v>
      </c>
      <c r="AH22" s="6" cm="1">
        <f t="array" aca="1" ref="AH22" ca="1">IFERROR( INDIRECT(ADDRESS(ROW()+1, COLUMN(), 4, TRUE, "Export-dataset")) / INDIRECT(ADDRESS(ROW(), COLUMN(), 4, TRUE, "Export-dataset")), "" )</f>
        <v>1.1442224152910512</v>
      </c>
      <c r="AI22" s="6" cm="1">
        <f t="array" aca="1" ref="AI22" ca="1">IFERROR( INDIRECT(ADDRESS(ROW()+1, COLUMN(), 4, TRUE, "Export-dataset")) / INDIRECT(ADDRESS(ROW(), COLUMN(), 4, TRUE, "Export-dataset")), "" )</f>
        <v>1.0191082802547771</v>
      </c>
      <c r="AJ22" s="6" cm="1">
        <f t="array" aca="1" ref="AJ22" ca="1">IFERROR( INDIRECT(ADDRESS(ROW()+1, COLUMN(), 4, TRUE, "Export-dataset")) / INDIRECT(ADDRESS(ROW(), COLUMN(), 4, TRUE, "Export-dataset")), "" )</f>
        <v>1.2561728395061729</v>
      </c>
      <c r="AK22" s="6" cm="1">
        <f t="array" aca="1" ref="AK22" ca="1">IFERROR( INDIRECT(ADDRESS(ROW()+1, COLUMN(), 4, TRUE, "Export-dataset")) / INDIRECT(ADDRESS(ROW(), COLUMN(), 4, TRUE, "Export-dataset")), "" )</f>
        <v>0.96099843993759748</v>
      </c>
      <c r="AL22" s="6" cm="1">
        <f t="array" aca="1" ref="AL22" ca="1">IFERROR( INDIRECT(ADDRESS(ROW()+1, COLUMN(), 4, TRUE, "Export-dataset")) / INDIRECT(ADDRESS(ROW(), COLUMN(), 4, TRUE, "Export-dataset")), "" )</f>
        <v>1.1443478260869566</v>
      </c>
      <c r="AM22" s="6" cm="1">
        <f t="array" aca="1" ref="AM22" ca="1">IFERROR( INDIRECT(ADDRESS(ROW()+1, COLUMN(), 4, TRUE, "Export-dataset")) / INDIRECT(ADDRESS(ROW(), COLUMN(), 4, TRUE, "Export-dataset")), "" )</f>
        <v>1.0948453608247424</v>
      </c>
      <c r="AN22" s="6" cm="1">
        <f t="array" aca="1" ref="AN22" ca="1">IFERROR( INDIRECT(ADDRESS(ROW()+1, COLUMN(), 4, TRUE, "Export-dataset")) / INDIRECT(ADDRESS(ROW(), COLUMN(), 4, TRUE, "Export-dataset")), "" )</f>
        <v>1.75</v>
      </c>
      <c r="AO22" s="6" cm="1">
        <f t="array" aca="1" ref="AO22" ca="1">IFERROR( INDIRECT(ADDRESS(ROW()+1, COLUMN(), 4, TRUE, "Export-dataset")) / INDIRECT(ADDRESS(ROW(), COLUMN(), 4, TRUE, "Export-dataset")), "" )</f>
        <v>1.3866171003717471</v>
      </c>
      <c r="AP22" s="6" cm="1">
        <f t="array" aca="1" ref="AP22" ca="1">IFERROR( INDIRECT(ADDRESS(ROW()+1, COLUMN(), 4, TRUE, "Export-dataset")) / INDIRECT(ADDRESS(ROW(), COLUMN(), 4, TRUE, "Export-dataset")), "" )</f>
        <v>0.98866855524079322</v>
      </c>
      <c r="AQ22" s="6" cm="1">
        <f t="array" aca="1" ref="AQ22" ca="1">IFERROR( INDIRECT(ADDRESS(ROW()+1, COLUMN(), 4, TRUE, "Export-dataset")) / INDIRECT(ADDRESS(ROW(), COLUMN(), 4, TRUE, "Export-dataset")), "" )</f>
        <v>1.1261620185922976</v>
      </c>
      <c r="AR22" s="6" cm="1">
        <f t="array" aca="1" ref="AR22" ca="1">IFERROR( INDIRECT(ADDRESS(ROW()+1, COLUMN(), 4, TRUE, "Export-dataset")) / INDIRECT(ADDRESS(ROW(), COLUMN(), 4, TRUE, "Export-dataset")), "" )</f>
        <v>1.0747960895470585</v>
      </c>
      <c r="AS22" s="6" cm="1">
        <f t="array" aca="1" ref="AS22" ca="1">IFERROR( INDIRECT(ADDRESS(ROW()+1, COLUMN(), 4, TRUE, "Export-dataset")) / INDIRECT(ADDRESS(ROW(), COLUMN(), 4, TRUE, "Export-dataset")), "" )</f>
        <v>0.90930787589498807</v>
      </c>
      <c r="AT22" s="6" cm="1">
        <f t="array" aca="1" ref="AT22" ca="1">IFERROR( INDIRECT(ADDRESS(ROW()+1, COLUMN(), 4, TRUE, "Export-dataset")) / INDIRECT(ADDRESS(ROW(), COLUMN(), 4, TRUE, "Export-dataset")), "" )</f>
        <v>1.3351648351648351</v>
      </c>
      <c r="AU22" s="6" cm="1">
        <f t="array" aca="1" ref="AU22" ca="1">IFERROR( INDIRECT(ADDRESS(ROW()+1, COLUMN(), 4, TRUE, "Export-dataset")) / INDIRECT(ADDRESS(ROW(), COLUMN(), 4, TRUE, "Export-dataset")), "" )</f>
        <v>0.82673267326732669</v>
      </c>
      <c r="AV22" s="6" cm="1">
        <f t="array" aca="1" ref="AV22" ca="1">IFERROR( INDIRECT(ADDRESS(ROW()+1, COLUMN(), 4, TRUE, "Export-dataset")) / INDIRECT(ADDRESS(ROW(), COLUMN(), 4, TRUE, "Export-dataset")), "" )</f>
        <v>0.98335644937586686</v>
      </c>
      <c r="AW22" s="6" cm="1">
        <f t="array" aca="1" ref="AW22" ca="1">IFERROR( INDIRECT(ADDRESS(ROW()+1, COLUMN(), 4, TRUE, "Export-dataset")) / INDIRECT(ADDRESS(ROW(), COLUMN(), 4, TRUE, "Export-dataset")), "" )</f>
        <v>0.99033816425120769</v>
      </c>
      <c r="AX22" s="6" cm="1">
        <f t="array" aca="1" ref="AX22" ca="1">IFERROR( INDIRECT(ADDRESS(ROW()+1, COLUMN(), 4, TRUE, "Export-dataset")) / INDIRECT(ADDRESS(ROW(), COLUMN(), 4, TRUE, "Export-dataset")), "" )</f>
        <v>0.8571428571428571</v>
      </c>
      <c r="AY22" s="6" cm="1">
        <f t="array" aca="1" ref="AY22" ca="1">IFERROR( INDIRECT(ADDRESS(ROW()+1, COLUMN(), 4, TRUE, "Export-dataset")) / INDIRECT(ADDRESS(ROW(), COLUMN(), 4, TRUE, "Export-dataset")), "" )</f>
        <v>1.1327683615819208</v>
      </c>
      <c r="AZ22" s="6" cm="1">
        <f t="array" aca="1" ref="AZ22" ca="1">IFERROR( INDIRECT(ADDRESS(ROW()+1, COLUMN(), 4, TRUE, "Export-dataset")) / INDIRECT(ADDRESS(ROW(), COLUMN(), 4, TRUE, "Export-dataset")), "" )</f>
        <v>1.0990091033593814</v>
      </c>
      <c r="BA22" s="6" cm="1">
        <f t="array" aca="1" ref="BA22" ca="1">IFERROR( INDIRECT(ADDRESS(ROW()+1, COLUMN(), 4, TRUE, "Export-dataset")) / INDIRECT(ADDRESS(ROW(), COLUMN(), 4, TRUE, "Export-dataset")), "" )</f>
        <v>1.0797546012269938</v>
      </c>
      <c r="BB22" s="6" cm="1">
        <f t="array" aca="1" ref="BB22" ca="1">IFERROR( INDIRECT(ADDRESS(ROW()+1, COLUMN(), 4, TRUE, "Export-dataset")) / INDIRECT(ADDRESS(ROW(), COLUMN(), 4, TRUE, "Export-dataset")), "" )</f>
        <v>1.0593168179719956</v>
      </c>
      <c r="BC22" s="6" cm="1">
        <f t="array" aca="1" ref="BC22" ca="1">IFERROR( INDIRECT(ADDRESS(ROW()+1, COLUMN(), 4, TRUE, "Export-dataset")) / INDIRECT(ADDRESS(ROW(), COLUMN(), 4, TRUE, "Export-dataset")), "" )</f>
        <v>0.90479876160990713</v>
      </c>
      <c r="BD22" s="6" cm="1">
        <f t="array" aca="1" ref="BD22" ca="1">IFERROR( INDIRECT(ADDRESS(ROW()+1, COLUMN(), 4, TRUE, "Export-dataset")) / INDIRECT(ADDRESS(ROW(), COLUMN(), 4, TRUE, "Export-dataset")), "" )</f>
        <v>1.1952744961779014</v>
      </c>
      <c r="BE22" s="6" cm="1">
        <f t="array" aca="1" ref="BE22" ca="1">IFERROR( INDIRECT(ADDRESS(ROW()+1, COLUMN(), 4, TRUE, "Export-dataset")) / INDIRECT(ADDRESS(ROW(), COLUMN(), 4, TRUE, "Export-dataset")), "" )</f>
        <v>1.152542372881356</v>
      </c>
      <c r="BF22" s="6" cm="1">
        <f t="array" aca="1" ref="BF22" ca="1">IFERROR( INDIRECT(ADDRESS(ROW()+1, COLUMN(), 4, TRUE, "Export-dataset")) / INDIRECT(ADDRESS(ROW(), COLUMN(), 4, TRUE, "Export-dataset")), "" )</f>
        <v>1.0348042262274704</v>
      </c>
      <c r="BG22" s="6" cm="1">
        <f t="array" aca="1" ref="BG22" ca="1">IFERROR( INDIRECT(ADDRESS(ROW()+1, COLUMN(), 4, TRUE, "Export-dataset")) / INDIRECT(ADDRESS(ROW(), COLUMN(), 4, TRUE, "Export-dataset")), "" )</f>
        <v>0.91521394611727414</v>
      </c>
      <c r="BH22" s="6" cm="1">
        <f t="array" aca="1" ref="BH22" ca="1">IFERROR( INDIRECT(ADDRESS(ROW()+1, COLUMN(), 4, TRUE, "Export-dataset")) / INDIRECT(ADDRESS(ROW(), COLUMN(), 4, TRUE, "Export-dataset")), "" )</f>
        <v>1.1505235602094241</v>
      </c>
      <c r="BI22" s="6" cm="1">
        <f t="array" aca="1" ref="BI22" ca="1">IFERROR( INDIRECT(ADDRESS(ROW()+1, COLUMN(), 4, TRUE, "Export-dataset")) / INDIRECT(ADDRESS(ROW(), COLUMN(), 4, TRUE, "Export-dataset")), "" )</f>
        <v>1.1275946275946276</v>
      </c>
      <c r="BJ22" s="6" cm="1">
        <f t="array" aca="1" ref="BJ22" ca="1">IFERROR( INDIRECT(ADDRESS(ROW()+1, COLUMN(), 4, TRUE, "Export-dataset")) / INDIRECT(ADDRESS(ROW(), COLUMN(), 4, TRUE, "Export-dataset")), "" )</f>
        <v>1.0675182481751824</v>
      </c>
      <c r="BK22" s="6" cm="1">
        <f t="array" aca="1" ref="BK22" ca="1">IFERROR( INDIRECT(ADDRESS(ROW()+1, COLUMN(), 4, TRUE, "Export-dataset")) / INDIRECT(ADDRESS(ROW(), COLUMN(), 4, TRUE, "Export-dataset")), "" )</f>
        <v>1.0528455284552845</v>
      </c>
      <c r="BL22" s="6" cm="1">
        <f t="array" aca="1" ref="BL22" ca="1">IFERROR( INDIRECT(ADDRESS(ROW()+1, COLUMN(), 4, TRUE, "Export-dataset")) / INDIRECT(ADDRESS(ROW(), COLUMN(), 4, TRUE, "Export-dataset")), "" )</f>
        <v>1.0541328336456381</v>
      </c>
      <c r="BM22" s="6" cm="1">
        <f t="array" aca="1" ref="BM22" ca="1">IFERROR( INDIRECT(ADDRESS(ROW()+1, COLUMN(), 4, TRUE, "Export-dataset")) / INDIRECT(ADDRESS(ROW(), COLUMN(), 4, TRUE, "Export-dataset")), "" )</f>
        <v>1.2685185185185186</v>
      </c>
      <c r="BN22" s="6" cm="1">
        <f t="array" aca="1" ref="BN22" ca="1">IFERROR( INDIRECT(ADDRESS(ROW()+1, COLUMN(), 4, TRUE, "Export-dataset")) / INDIRECT(ADDRESS(ROW(), COLUMN(), 4, TRUE, "Export-dataset")), "" )</f>
        <v>0.78014184397163122</v>
      </c>
      <c r="BO22" s="6" cm="1">
        <f t="array" aca="1" ref="BO22" ca="1">IFERROR( INDIRECT(ADDRESS(ROW()+1, COLUMN(), 4, TRUE, "Export-dataset")) / INDIRECT(ADDRESS(ROW(), COLUMN(), 4, TRUE, "Export-dataset")), "" )</f>
        <v>1.2</v>
      </c>
      <c r="BP22" s="6" cm="1">
        <f t="array" aca="1" ref="BP22" ca="1">IFERROR( INDIRECT(ADDRESS(ROW()+1, COLUMN(), 4, TRUE, "Export-dataset")) / INDIRECT(ADDRESS(ROW(), COLUMN(), 4, TRUE, "Export-dataset")), "" )</f>
        <v>0.98770491803278693</v>
      </c>
      <c r="BQ22" s="6" cm="1">
        <f t="array" aca="1" ref="BQ22" ca="1">IFERROR( INDIRECT(ADDRESS(ROW()+1, COLUMN(), 4, TRUE, "Export-dataset")) / INDIRECT(ADDRESS(ROW(), COLUMN(), 4, TRUE, "Export-dataset")), "" )</f>
        <v>1.0465116279069768</v>
      </c>
      <c r="BR22" s="6" cm="1">
        <f t="array" aca="1" ref="BR22" ca="1">IFERROR( INDIRECT(ADDRESS(ROW()+1, COLUMN(), 4, TRUE, "Export-dataset")) / INDIRECT(ADDRESS(ROW(), COLUMN(), 4, TRUE, "Export-dataset")), "" )</f>
        <v>1.070963926670609</v>
      </c>
      <c r="BS22" s="6" cm="1">
        <f t="array" aca="1" ref="BS22" ca="1">IFERROR( INDIRECT(ADDRESS(ROW()+1, COLUMN(), 4, TRUE, "Export-dataset")) / INDIRECT(ADDRESS(ROW(), COLUMN(), 4, TRUE, "Export-dataset")), "" )</f>
        <v>0.8966480446927374</v>
      </c>
      <c r="BT22" s="6" cm="1">
        <f t="array" aca="1" ref="BT22" ca="1">IFERROR( INDIRECT(ADDRESS(ROW()+1, COLUMN(), 4, TRUE, "Export-dataset")) / INDIRECT(ADDRESS(ROW(), COLUMN(), 4, TRUE, "Export-dataset")), "" )</f>
        <v>1.0823421774931381</v>
      </c>
      <c r="BU22" s="6" cm="1">
        <f t="array" aca="1" ref="BU22" ca="1">IFERROR( INDIRECT(ADDRESS(ROW()+1, COLUMN(), 4, TRUE, "Export-dataset")) / INDIRECT(ADDRESS(ROW(), COLUMN(), 4, TRUE, "Export-dataset")), "" )</f>
        <v>1.0923363357318976</v>
      </c>
      <c r="BV22" s="6" cm="1">
        <f t="array" aca="1" ref="BV22" ca="1">IFERROR( INDIRECT(ADDRESS(ROW()+1, COLUMN(), 4, TRUE, "Export-dataset")) / INDIRECT(ADDRESS(ROW(), COLUMN(), 4, TRUE, "Export-dataset")), "" )</f>
        <v>0.50074183976261133</v>
      </c>
      <c r="BW22" s="6" cm="1">
        <f t="array" aca="1" ref="BW22" ca="1">IFERROR( INDIRECT(ADDRESS(ROW()+1, COLUMN(), 4, TRUE, "Export-dataset")) / INDIRECT(ADDRESS(ROW(), COLUMN(), 4, TRUE, "Export-dataset")), "" )</f>
        <v>1.3841059602649006</v>
      </c>
      <c r="BX22" s="6" t="str" cm="1">
        <f t="array" aca="1" ref="BX22" ca="1">IFERROR( INDIRECT(ADDRESS(ROW()+1, COLUMN(), 4, TRUE, "Export-dataset")) / INDIRECT(ADDRESS(ROW(), COLUMN(), 4, TRUE, "Export-dataset")), "" )</f>
        <v/>
      </c>
      <c r="BY22" s="6" cm="1">
        <f t="array" aca="1" ref="BY22" ca="1">IFERROR( INDIRECT(ADDRESS(ROW()+1, COLUMN(), 4, TRUE, "Export-dataset")) / INDIRECT(ADDRESS(ROW(), COLUMN(), 4, TRUE, "Export-dataset")), "" )</f>
        <v>1.2412323828253031</v>
      </c>
      <c r="BZ22" s="6" cm="1">
        <f t="array" aca="1" ref="BZ22" ca="1">IFERROR( INDIRECT(ADDRESS(ROW()+1, COLUMN(), 4, TRUE, "Export-dataset")) / INDIRECT(ADDRESS(ROW(), COLUMN(), 4, TRUE, "Export-dataset")), "" )</f>
        <v>1.1170415554708348</v>
      </c>
      <c r="CA22" s="6" cm="1">
        <f t="array" aca="1" ref="CA22" ca="1">IFERROR( INDIRECT(ADDRESS(ROW()+1, COLUMN(), 4, TRUE, "Export-dataset")) / INDIRECT(ADDRESS(ROW(), COLUMN(), 4, TRUE, "Export-dataset")), "" )</f>
        <v>1.028292611433073</v>
      </c>
    </row>
    <row r="23" spans="1:79">
      <c r="A23" s="6" t="s">
        <v>180</v>
      </c>
      <c r="B23" s="6" cm="1">
        <f t="array" aca="1" ref="B23" ca="1">IFERROR( INDIRECT(ADDRESS(ROW()+1, COLUMN(), 4, TRUE, "Export-dataset")) / INDIRECT(ADDRESS(ROW(), COLUMN(), 4, TRUE, "Export-dataset")), "" )</f>
        <v>1.2515347983246314</v>
      </c>
      <c r="C23" s="6" cm="1">
        <f t="array" aca="1" ref="C23" ca="1">IFERROR( INDIRECT(ADDRESS(ROW()+1, COLUMN(), 4, TRUE, "Export-dataset")) / INDIRECT(ADDRESS(ROW(), COLUMN(), 4, TRUE, "Export-dataset")), "" )</f>
        <v>1.2058189655172413</v>
      </c>
      <c r="D23" s="6" cm="1">
        <f t="array" aca="1" ref="D23" ca="1">IFERROR( INDIRECT(ADDRESS(ROW()+1, COLUMN(), 4, TRUE, "Export-dataset")) / INDIRECT(ADDRESS(ROW(), COLUMN(), 4, TRUE, "Export-dataset")), "" )</f>
        <v>1.0865036231884058</v>
      </c>
      <c r="E23" s="6" cm="1">
        <f t="array" aca="1" ref="E23" ca="1">IFERROR( INDIRECT(ADDRESS(ROW()+1, COLUMN(), 4, TRUE, "Export-dataset")) / INDIRECT(ADDRESS(ROW(), COLUMN(), 4, TRUE, "Export-dataset")), "" )</f>
        <v>1.0903490759753593</v>
      </c>
      <c r="F23" s="6" cm="1">
        <f t="array" aca="1" ref="F23" ca="1">IFERROR( INDIRECT(ADDRESS(ROW()+1, COLUMN(), 4, TRUE, "Export-dataset")) / INDIRECT(ADDRESS(ROW(), COLUMN(), 4, TRUE, "Export-dataset")), "" )</f>
        <v>0.99639639639639643</v>
      </c>
      <c r="G23" s="6" cm="1">
        <f t="array" aca="1" ref="G23" ca="1">IFERROR( INDIRECT(ADDRESS(ROW()+1, COLUMN(), 4, TRUE, "Export-dataset")) / INDIRECT(ADDRESS(ROW(), COLUMN(), 4, TRUE, "Export-dataset")), "" )</f>
        <v>1.8138013087447948</v>
      </c>
      <c r="H23" s="6" cm="1">
        <f t="array" aca="1" ref="H23" ca="1">IFERROR( INDIRECT(ADDRESS(ROW()+1, COLUMN(), 4, TRUE, "Export-dataset")) / INDIRECT(ADDRESS(ROW(), COLUMN(), 4, TRUE, "Export-dataset")), "" )</f>
        <v>1.0949416342412452</v>
      </c>
      <c r="I23" s="6" cm="1">
        <f t="array" aca="1" ref="I23" ca="1">IFERROR( INDIRECT(ADDRESS(ROW()+1, COLUMN(), 4, TRUE, "Export-dataset")) / INDIRECT(ADDRESS(ROW(), COLUMN(), 4, TRUE, "Export-dataset")), "" )</f>
        <v>1.0717488789237668</v>
      </c>
      <c r="J23" s="6" cm="1">
        <f t="array" aca="1" ref="J23" ca="1">IFERROR( INDIRECT(ADDRESS(ROW()+1, COLUMN(), 4, TRUE, "Export-dataset")) / INDIRECT(ADDRESS(ROW(), COLUMN(), 4, TRUE, "Export-dataset")), "" )</f>
        <v>1.05078125</v>
      </c>
      <c r="K23" s="6" cm="1">
        <f t="array" aca="1" ref="K23" ca="1">IFERROR( INDIRECT(ADDRESS(ROW()+1, COLUMN(), 4, TRUE, "Export-dataset")) / INDIRECT(ADDRESS(ROW(), COLUMN(), 4, TRUE, "Export-dataset")), "" )</f>
        <v>1.4704336399474376</v>
      </c>
      <c r="L23" s="6" cm="1">
        <f t="array" aca="1" ref="L23" ca="1">IFERROR( INDIRECT(ADDRESS(ROW()+1, COLUMN(), 4, TRUE, "Export-dataset")) / INDIRECT(ADDRESS(ROW(), COLUMN(), 4, TRUE, "Export-dataset")), "" )</f>
        <v>1.367117117117117</v>
      </c>
      <c r="M23" s="6" cm="1">
        <f t="array" aca="1" ref="M23" ca="1">IFERROR( INDIRECT(ADDRESS(ROW()+1, COLUMN(), 4, TRUE, "Export-dataset")) / INDIRECT(ADDRESS(ROW(), COLUMN(), 4, TRUE, "Export-dataset")), "" )</f>
        <v>0.854635047736372</v>
      </c>
      <c r="N23" s="6" cm="1">
        <f t="array" aca="1" ref="N23" ca="1">IFERROR( INDIRECT(ADDRESS(ROW()+1, COLUMN(), 4, TRUE, "Export-dataset")) / INDIRECT(ADDRESS(ROW(), COLUMN(), 4, TRUE, "Export-dataset")), "" )</f>
        <v>0.85424056755885203</v>
      </c>
      <c r="O23" s="6" cm="1">
        <f t="array" aca="1" ref="O23" ca="1">IFERROR( INDIRECT(ADDRESS(ROW()+1, COLUMN(), 4, TRUE, "Export-dataset")) / INDIRECT(ADDRESS(ROW(), COLUMN(), 4, TRUE, "Export-dataset")), "" )</f>
        <v>0.85034013605442171</v>
      </c>
      <c r="P23" s="6" cm="1">
        <f t="array" aca="1" ref="P23" ca="1">IFERROR( INDIRECT(ADDRESS(ROW()+1, COLUMN(), 4, TRUE, "Export-dataset")) / INDIRECT(ADDRESS(ROW(), COLUMN(), 4, TRUE, "Export-dataset")), "" )</f>
        <v>1.3375891583452211</v>
      </c>
      <c r="Q23" s="6" cm="1">
        <f t="array" aca="1" ref="Q23" ca="1">IFERROR( INDIRECT(ADDRESS(ROW()+1, COLUMN(), 4, TRUE, "Export-dataset")) / INDIRECT(ADDRESS(ROW(), COLUMN(), 4, TRUE, "Export-dataset")), "" )</f>
        <v>0.98092643051771122</v>
      </c>
      <c r="R23" s="6" cm="1">
        <f t="array" aca="1" ref="R23" ca="1">IFERROR( INDIRECT(ADDRESS(ROW()+1, COLUMN(), 4, TRUE, "Export-dataset")) / INDIRECT(ADDRESS(ROW(), COLUMN(), 4, TRUE, "Export-dataset")), "" )</f>
        <v>2.6333333333333333</v>
      </c>
      <c r="S23" s="6" cm="1">
        <f t="array" aca="1" ref="S23" ca="1">IFERROR( INDIRECT(ADDRESS(ROW()+1, COLUMN(), 4, TRUE, "Export-dataset")) / INDIRECT(ADDRESS(ROW(), COLUMN(), 4, TRUE, "Export-dataset")), "" )</f>
        <v>3.6666666666666665</v>
      </c>
      <c r="T23" s="6" cm="1">
        <f t="array" aca="1" ref="T23" ca="1">IFERROR( INDIRECT(ADDRESS(ROW()+1, COLUMN(), 4, TRUE, "Export-dataset")) / INDIRECT(ADDRESS(ROW(), COLUMN(), 4, TRUE, "Export-dataset")), "" )</f>
        <v>1.0956937799043063</v>
      </c>
      <c r="U23" s="6" cm="1">
        <f t="array" aca="1" ref="U23" ca="1">IFERROR( INDIRECT(ADDRESS(ROW()+1, COLUMN(), 4, TRUE, "Export-dataset")) / INDIRECT(ADDRESS(ROW(), COLUMN(), 4, TRUE, "Export-dataset")), "" )</f>
        <v>1.2863436123348018</v>
      </c>
      <c r="V23" s="6" cm="1">
        <f t="array" aca="1" ref="V23" ca="1">IFERROR( INDIRECT(ADDRESS(ROW()+1, COLUMN(), 4, TRUE, "Export-dataset")) / INDIRECT(ADDRESS(ROW(), COLUMN(), 4, TRUE, "Export-dataset")), "" )</f>
        <v>0.83348307876609762</v>
      </c>
      <c r="W23" s="6" cm="1">
        <f t="array" aca="1" ref="W23" ca="1">IFERROR( INDIRECT(ADDRESS(ROW()+1, COLUMN(), 4, TRUE, "Export-dataset")) / INDIRECT(ADDRESS(ROW(), COLUMN(), 4, TRUE, "Export-dataset")), "" )</f>
        <v>0.73664825046040516</v>
      </c>
      <c r="X23" s="6" cm="1">
        <f t="array" aca="1" ref="X23" ca="1">IFERROR( INDIRECT(ADDRESS(ROW()+1, COLUMN(), 4, TRUE, "Export-dataset")) / INDIRECT(ADDRESS(ROW(), COLUMN(), 4, TRUE, "Export-dataset")), "" )</f>
        <v>1.4055215413132618</v>
      </c>
      <c r="Y23" s="6" cm="1">
        <f t="array" aca="1" ref="Y23" ca="1">IFERROR( INDIRECT(ADDRESS(ROW()+1, COLUMN(), 4, TRUE, "Export-dataset")) / INDIRECT(ADDRESS(ROW(), COLUMN(), 4, TRUE, "Export-dataset")), "" )</f>
        <v>1.1970443349753694</v>
      </c>
      <c r="Z23" s="6" cm="1">
        <f t="array" aca="1" ref="Z23" ca="1">IFERROR( INDIRECT(ADDRESS(ROW()+1, COLUMN(), 4, TRUE, "Export-dataset")) / INDIRECT(ADDRESS(ROW(), COLUMN(), 4, TRUE, "Export-dataset")), "" )</f>
        <v>1.8580798578446744</v>
      </c>
      <c r="AA23" s="6" cm="1">
        <f t="array" aca="1" ref="AA23" ca="1">IFERROR( INDIRECT(ADDRESS(ROW()+1, COLUMN(), 4, TRUE, "Export-dataset")) / INDIRECT(ADDRESS(ROW(), COLUMN(), 4, TRUE, "Export-dataset")), "" )</f>
        <v>2.2451736526946107</v>
      </c>
      <c r="AB23" s="6" cm="1">
        <f t="array" aca="1" ref="AB23" ca="1">IFERROR( INDIRECT(ADDRESS(ROW()+1, COLUMN(), 4, TRUE, "Export-dataset")) / INDIRECT(ADDRESS(ROW(), COLUMN(), 4, TRUE, "Export-dataset")), "" )</f>
        <v>1.2316474890732316</v>
      </c>
      <c r="AC23" s="6" cm="1">
        <f t="array" aca="1" ref="AC23" ca="1">IFERROR( INDIRECT(ADDRESS(ROW()+1, COLUMN(), 4, TRUE, "Export-dataset")) / INDIRECT(ADDRESS(ROW(), COLUMN(), 4, TRUE, "Export-dataset")), "" )</f>
        <v>1.6885723535124635</v>
      </c>
      <c r="AD23" s="6" cm="1">
        <f t="array" aca="1" ref="AD23" ca="1">IFERROR( INDIRECT(ADDRESS(ROW()+1, COLUMN(), 4, TRUE, "Export-dataset")) / INDIRECT(ADDRESS(ROW(), COLUMN(), 4, TRUE, "Export-dataset")), "" )</f>
        <v>1.5757575757575757</v>
      </c>
      <c r="AE23" s="6" cm="1">
        <f t="array" aca="1" ref="AE23" ca="1">IFERROR( INDIRECT(ADDRESS(ROW()+1, COLUMN(), 4, TRUE, "Export-dataset")) / INDIRECT(ADDRESS(ROW(), COLUMN(), 4, TRUE, "Export-dataset")), "" )</f>
        <v>1.3900709219858156</v>
      </c>
      <c r="AF23" s="6" cm="1">
        <f t="array" aca="1" ref="AF23" ca="1">IFERROR( INDIRECT(ADDRESS(ROW()+1, COLUMN(), 4, TRUE, "Export-dataset")) / INDIRECT(ADDRESS(ROW(), COLUMN(), 4, TRUE, "Export-dataset")), "" )</f>
        <v>2.4558823529411766</v>
      </c>
      <c r="AG23" s="6" cm="1">
        <f t="array" aca="1" ref="AG23" ca="1">IFERROR( INDIRECT(ADDRESS(ROW()+1, COLUMN(), 4, TRUE, "Export-dataset")) / INDIRECT(ADDRESS(ROW(), COLUMN(), 4, TRUE, "Export-dataset")), "" )</f>
        <v>1</v>
      </c>
      <c r="AH23" s="6" cm="1">
        <f t="array" aca="1" ref="AH23" ca="1">IFERROR( INDIRECT(ADDRESS(ROW()+1, COLUMN(), 4, TRUE, "Export-dataset")) / INDIRECT(ADDRESS(ROW(), COLUMN(), 4, TRUE, "Export-dataset")), "" )</f>
        <v>1.0713743356112377</v>
      </c>
      <c r="AI23" s="6" cm="1">
        <f t="array" aca="1" ref="AI23" ca="1">IFERROR( INDIRECT(ADDRESS(ROW()+1, COLUMN(), 4, TRUE, "Export-dataset")) / INDIRECT(ADDRESS(ROW(), COLUMN(), 4, TRUE, "Export-dataset")), "" )</f>
        <v>1.15625</v>
      </c>
      <c r="AJ23" s="6" cm="1">
        <f t="array" aca="1" ref="AJ23" ca="1">IFERROR( INDIRECT(ADDRESS(ROW()+1, COLUMN(), 4, TRUE, "Export-dataset")) / INDIRECT(ADDRESS(ROW(), COLUMN(), 4, TRUE, "Export-dataset")), "" )</f>
        <v>0.94348894348894352</v>
      </c>
      <c r="AK23" s="6" cm="1">
        <f t="array" aca="1" ref="AK23" ca="1">IFERROR( INDIRECT(ADDRESS(ROW()+1, COLUMN(), 4, TRUE, "Export-dataset")) / INDIRECT(ADDRESS(ROW(), COLUMN(), 4, TRUE, "Export-dataset")), "" )</f>
        <v>0.94805194805194803</v>
      </c>
      <c r="AL23" s="6" cm="1">
        <f t="array" aca="1" ref="AL23" ca="1">IFERROR( INDIRECT(ADDRESS(ROW()+1, COLUMN(), 4, TRUE, "Export-dataset")) / INDIRECT(ADDRESS(ROW(), COLUMN(), 4, TRUE, "Export-dataset")), "" )</f>
        <v>1.008611955420466</v>
      </c>
      <c r="AM23" s="6" cm="1">
        <f t="array" aca="1" ref="AM23" ca="1">IFERROR( INDIRECT(ADDRESS(ROW()+1, COLUMN(), 4, TRUE, "Export-dataset")) / INDIRECT(ADDRESS(ROW(), COLUMN(), 4, TRUE, "Export-dataset")), "" )</f>
        <v>1.1167608286252355</v>
      </c>
      <c r="AN23" s="6" cm="1">
        <f t="array" aca="1" ref="AN23" ca="1">IFERROR( INDIRECT(ADDRESS(ROW()+1, COLUMN(), 4, TRUE, "Export-dataset")) / INDIRECT(ADDRESS(ROW(), COLUMN(), 4, TRUE, "Export-dataset")), "" )</f>
        <v>2.5057915057915059</v>
      </c>
      <c r="AO23" s="6" cm="1">
        <f t="array" aca="1" ref="AO23" ca="1">IFERROR( INDIRECT(ADDRESS(ROW()+1, COLUMN(), 4, TRUE, "Export-dataset")) / INDIRECT(ADDRESS(ROW(), COLUMN(), 4, TRUE, "Export-dataset")), "" )</f>
        <v>0.88739946380697055</v>
      </c>
      <c r="AP23" s="6" cm="1">
        <f t="array" aca="1" ref="AP23" ca="1">IFERROR( INDIRECT(ADDRESS(ROW()+1, COLUMN(), 4, TRUE, "Export-dataset")) / INDIRECT(ADDRESS(ROW(), COLUMN(), 4, TRUE, "Export-dataset")), "" )</f>
        <v>1.0372492836676217</v>
      </c>
      <c r="AQ23" s="6" cm="1">
        <f t="array" aca="1" ref="AQ23" ca="1">IFERROR( INDIRECT(ADDRESS(ROW()+1, COLUMN(), 4, TRUE, "Export-dataset")) / INDIRECT(ADDRESS(ROW(), COLUMN(), 4, TRUE, "Export-dataset")), "" )</f>
        <v>1.1945754716981132</v>
      </c>
      <c r="AR23" s="6" cm="1">
        <f t="array" aca="1" ref="AR23" ca="1">IFERROR( INDIRECT(ADDRESS(ROW()+1, COLUMN(), 4, TRUE, "Export-dataset")) / INDIRECT(ADDRESS(ROW(), COLUMN(), 4, TRUE, "Export-dataset")), "" )</f>
        <v>0.96969860064585578</v>
      </c>
      <c r="AS23" s="6" cm="1">
        <f t="array" aca="1" ref="AS23" ca="1">IFERROR( INDIRECT(ADDRESS(ROW()+1, COLUMN(), 4, TRUE, "Export-dataset")) / INDIRECT(ADDRESS(ROW(), COLUMN(), 4, TRUE, "Export-dataset")), "" )</f>
        <v>0.85301837270341208</v>
      </c>
      <c r="AT23" s="6" cm="1">
        <f t="array" aca="1" ref="AT23" ca="1">IFERROR( INDIRECT(ADDRESS(ROW()+1, COLUMN(), 4, TRUE, "Export-dataset")) / INDIRECT(ADDRESS(ROW(), COLUMN(), 4, TRUE, "Export-dataset")), "" )</f>
        <v>1.1358024691358024</v>
      </c>
      <c r="AU23" s="6" cm="1">
        <f t="array" aca="1" ref="AU23" ca="1">IFERROR( INDIRECT(ADDRESS(ROW()+1, COLUMN(), 4, TRUE, "Export-dataset")) / INDIRECT(ADDRESS(ROW(), COLUMN(), 4, TRUE, "Export-dataset")), "" )</f>
        <v>0.9760479041916168</v>
      </c>
      <c r="AV23" s="6" cm="1">
        <f t="array" aca="1" ref="AV23" ca="1">IFERROR( INDIRECT(ADDRESS(ROW()+1, COLUMN(), 4, TRUE, "Export-dataset")) / INDIRECT(ADDRESS(ROW(), COLUMN(), 4, TRUE, "Export-dataset")), "" )</f>
        <v>1.0112834978843441</v>
      </c>
      <c r="AW23" s="6" cm="1">
        <f t="array" aca="1" ref="AW23" ca="1">IFERROR( INDIRECT(ADDRESS(ROW()+1, COLUMN(), 4, TRUE, "Export-dataset")) / INDIRECT(ADDRESS(ROW(), COLUMN(), 4, TRUE, "Export-dataset")), "" )</f>
        <v>0.92439024390243907</v>
      </c>
      <c r="AX23" s="6" cm="1">
        <f t="array" aca="1" ref="AX23" ca="1">IFERROR( INDIRECT(ADDRESS(ROW()+1, COLUMN(), 4, TRUE, "Export-dataset")) / INDIRECT(ADDRESS(ROW(), COLUMN(), 4, TRUE, "Export-dataset")), "" )</f>
        <v>1.0598958333333333</v>
      </c>
      <c r="AY23" s="6" cm="1">
        <f t="array" aca="1" ref="AY23" ca="1">IFERROR( INDIRECT(ADDRESS(ROW()+1, COLUMN(), 4, TRUE, "Export-dataset")) / INDIRECT(ADDRESS(ROW(), COLUMN(), 4, TRUE, "Export-dataset")), "" )</f>
        <v>1.4172901080631755</v>
      </c>
      <c r="AZ23" s="6" cm="1">
        <f t="array" aca="1" ref="AZ23" ca="1">IFERROR( INDIRECT(ADDRESS(ROW()+1, COLUMN(), 4, TRUE, "Export-dataset")) / INDIRECT(ADDRESS(ROW(), COLUMN(), 4, TRUE, "Export-dataset")), "" )</f>
        <v>0.915848116112007</v>
      </c>
      <c r="BA23" s="6" cm="1">
        <f t="array" aca="1" ref="BA23" ca="1">IFERROR( INDIRECT(ADDRESS(ROW()+1, COLUMN(), 4, TRUE, "Export-dataset")) / INDIRECT(ADDRESS(ROW(), COLUMN(), 4, TRUE, "Export-dataset")), "" )</f>
        <v>1.0795454545454546</v>
      </c>
      <c r="BB23" s="6" cm="1">
        <f t="array" aca="1" ref="BB23" ca="1">IFERROR( INDIRECT(ADDRESS(ROW()+1, COLUMN(), 4, TRUE, "Export-dataset")) / INDIRECT(ADDRESS(ROW(), COLUMN(), 4, TRUE, "Export-dataset")), "" )</f>
        <v>1.110247657781974</v>
      </c>
      <c r="BC23" s="6" cm="1">
        <f t="array" aca="1" ref="BC23" ca="1">IFERROR( INDIRECT(ADDRESS(ROW()+1, COLUMN(), 4, TRUE, "Export-dataset")) / INDIRECT(ADDRESS(ROW(), COLUMN(), 4, TRUE, "Export-dataset")), "" )</f>
        <v>0.90419161676646709</v>
      </c>
      <c r="BD23" s="6" cm="1">
        <f t="array" aca="1" ref="BD23" ca="1">IFERROR( INDIRECT(ADDRESS(ROW()+1, COLUMN(), 4, TRUE, "Export-dataset")) / INDIRECT(ADDRESS(ROW(), COLUMN(), 4, TRUE, "Export-dataset")), "" )</f>
        <v>1.0883720930232559</v>
      </c>
      <c r="BE23" s="6" cm="1">
        <f t="array" aca="1" ref="BE23" ca="1">IFERROR( INDIRECT(ADDRESS(ROW()+1, COLUMN(), 4, TRUE, "Export-dataset")) / INDIRECT(ADDRESS(ROW(), COLUMN(), 4, TRUE, "Export-dataset")), "" )</f>
        <v>0.99019607843137258</v>
      </c>
      <c r="BF23" s="6" cm="1">
        <f t="array" aca="1" ref="BF23" ca="1">IFERROR( INDIRECT(ADDRESS(ROW()+1, COLUMN(), 4, TRUE, "Export-dataset")) / INDIRECT(ADDRESS(ROW(), COLUMN(), 4, TRUE, "Export-dataset")), "" )</f>
        <v>1.0972972972972972</v>
      </c>
      <c r="BG23" s="6" cm="1">
        <f t="array" aca="1" ref="BG23" ca="1">IFERROR( INDIRECT(ADDRESS(ROW()+1, COLUMN(), 4, TRUE, "Export-dataset")) / INDIRECT(ADDRESS(ROW(), COLUMN(), 4, TRUE, "Export-dataset")), "" )</f>
        <v>1.0311688311688312</v>
      </c>
      <c r="BH23" s="6" cm="1">
        <f t="array" aca="1" ref="BH23" ca="1">IFERROR( INDIRECT(ADDRESS(ROW()+1, COLUMN(), 4, TRUE, "Export-dataset")) / INDIRECT(ADDRESS(ROW(), COLUMN(), 4, TRUE, "Export-dataset")), "" )</f>
        <v>1.1763367463026166</v>
      </c>
      <c r="BI23" s="6" cm="1">
        <f t="array" aca="1" ref="BI23" ca="1">IFERROR( INDIRECT(ADDRESS(ROW()+1, COLUMN(), 4, TRUE, "Export-dataset")) / INDIRECT(ADDRESS(ROW(), COLUMN(), 4, TRUE, "Export-dataset")), "" )</f>
        <v>1.0054141851651326</v>
      </c>
      <c r="BJ23" s="6" cm="1">
        <f t="array" aca="1" ref="BJ23" ca="1">IFERROR( INDIRECT(ADDRESS(ROW()+1, COLUMN(), 4, TRUE, "Export-dataset")) / INDIRECT(ADDRESS(ROW(), COLUMN(), 4, TRUE, "Export-dataset")), "" )</f>
        <v>1.1824175824175824</v>
      </c>
      <c r="BK23" s="6" cm="1">
        <f t="array" aca="1" ref="BK23" ca="1">IFERROR( INDIRECT(ADDRESS(ROW()+1, COLUMN(), 4, TRUE, "Export-dataset")) / INDIRECT(ADDRESS(ROW(), COLUMN(), 4, TRUE, "Export-dataset")), "" )</f>
        <v>1.3523166023166022</v>
      </c>
      <c r="BL23" s="6" cm="1">
        <f t="array" aca="1" ref="BL23" ca="1">IFERROR( INDIRECT(ADDRESS(ROW()+1, COLUMN(), 4, TRUE, "Export-dataset")) / INDIRECT(ADDRESS(ROW(), COLUMN(), 4, TRUE, "Export-dataset")), "" )</f>
        <v>1.0598459411416157</v>
      </c>
      <c r="BM23" s="6" cm="1">
        <f t="array" aca="1" ref="BM23" ca="1">IFERROR( INDIRECT(ADDRESS(ROW()+1, COLUMN(), 4, TRUE, "Export-dataset")) / INDIRECT(ADDRESS(ROW(), COLUMN(), 4, TRUE, "Export-dataset")), "" )</f>
        <v>0.97810218978102192</v>
      </c>
      <c r="BN23" s="6" cm="1">
        <f t="array" aca="1" ref="BN23" ca="1">IFERROR( INDIRECT(ADDRESS(ROW()+1, COLUMN(), 4, TRUE, "Export-dataset")) / INDIRECT(ADDRESS(ROW(), COLUMN(), 4, TRUE, "Export-dataset")), "" )</f>
        <v>1.0727272727272728</v>
      </c>
      <c r="BO23" s="6" cm="1">
        <f t="array" aca="1" ref="BO23" ca="1">IFERROR( INDIRECT(ADDRESS(ROW()+1, COLUMN(), 4, TRUE, "Export-dataset")) / INDIRECT(ADDRESS(ROW(), COLUMN(), 4, TRUE, "Export-dataset")), "" )</f>
        <v>1.0666666666666667</v>
      </c>
      <c r="BP23" s="6" cm="1">
        <f t="array" aca="1" ref="BP23" ca="1">IFERROR( INDIRECT(ADDRESS(ROW()+1, COLUMN(), 4, TRUE, "Export-dataset")) / INDIRECT(ADDRESS(ROW(), COLUMN(), 4, TRUE, "Export-dataset")), "" )</f>
        <v>1.049792531120332</v>
      </c>
      <c r="BQ23" s="6" cm="1">
        <f t="array" aca="1" ref="BQ23" ca="1">IFERROR( INDIRECT(ADDRESS(ROW()+1, COLUMN(), 4, TRUE, "Export-dataset")) / INDIRECT(ADDRESS(ROW(), COLUMN(), 4, TRUE, "Export-dataset")), "" )</f>
        <v>1.1333333333333333</v>
      </c>
      <c r="BR23" s="6" cm="1">
        <f t="array" aca="1" ref="BR23" ca="1">IFERROR( INDIRECT(ADDRESS(ROW()+1, COLUMN(), 4, TRUE, "Export-dataset")) / INDIRECT(ADDRESS(ROW(), COLUMN(), 4, TRUE, "Export-dataset")), "" )</f>
        <v>1.1402540033130868</v>
      </c>
      <c r="BS23" s="6" cm="1">
        <f t="array" aca="1" ref="BS23" ca="1">IFERROR( INDIRECT(ADDRESS(ROW()+1, COLUMN(), 4, TRUE, "Export-dataset")) / INDIRECT(ADDRESS(ROW(), COLUMN(), 4, TRUE, "Export-dataset")), "" )</f>
        <v>1.0996884735202492</v>
      </c>
      <c r="BT23" s="6" cm="1">
        <f t="array" aca="1" ref="BT23" ca="1">IFERROR( INDIRECT(ADDRESS(ROW()+1, COLUMN(), 4, TRUE, "Export-dataset")) / INDIRECT(ADDRESS(ROW(), COLUMN(), 4, TRUE, "Export-dataset")), "" )</f>
        <v>1</v>
      </c>
      <c r="BU23" s="6" cm="1">
        <f t="array" aca="1" ref="BU23" ca="1">IFERROR( INDIRECT(ADDRESS(ROW()+1, COLUMN(), 4, TRUE, "Export-dataset")) / INDIRECT(ADDRESS(ROW(), COLUMN(), 4, TRUE, "Export-dataset")), "" )</f>
        <v>1.044776119402985</v>
      </c>
      <c r="BV23" s="6" cm="1">
        <f t="array" aca="1" ref="BV23" ca="1">IFERROR( INDIRECT(ADDRESS(ROW()+1, COLUMN(), 4, TRUE, "Export-dataset")) / INDIRECT(ADDRESS(ROW(), COLUMN(), 4, TRUE, "Export-dataset")), "" )</f>
        <v>1.0088888888888889</v>
      </c>
      <c r="BW23" s="6" cm="1">
        <f t="array" aca="1" ref="BW23" ca="1">IFERROR( INDIRECT(ADDRESS(ROW()+1, COLUMN(), 4, TRUE, "Export-dataset")) / INDIRECT(ADDRESS(ROW(), COLUMN(), 4, TRUE, "Export-dataset")), "" )</f>
        <v>1.9856459330143541</v>
      </c>
      <c r="BX23" s="6" t="str" cm="1">
        <f t="array" aca="1" ref="BX23" ca="1">IFERROR( INDIRECT(ADDRESS(ROW()+1, COLUMN(), 4, TRUE, "Export-dataset")) / INDIRECT(ADDRESS(ROW(), COLUMN(), 4, TRUE, "Export-dataset")), "" )</f>
        <v/>
      </c>
      <c r="BY23" s="6" cm="1">
        <f t="array" aca="1" ref="BY23" ca="1">IFERROR( INDIRECT(ADDRESS(ROW()+1, COLUMN(), 4, TRUE, "Export-dataset")) / INDIRECT(ADDRESS(ROW(), COLUMN(), 4, TRUE, "Export-dataset")), "" )</f>
        <v>1.258515975706364</v>
      </c>
      <c r="BZ23" s="6" cm="1">
        <f t="array" aca="1" ref="BZ23" ca="1">IFERROR( INDIRECT(ADDRESS(ROW()+1, COLUMN(), 4, TRUE, "Export-dataset")) / INDIRECT(ADDRESS(ROW(), COLUMN(), 4, TRUE, "Export-dataset")), "" )</f>
        <v>0.75119453924914681</v>
      </c>
      <c r="CA23" s="6" cm="1">
        <f t="array" aca="1" ref="CA23" ca="1">IFERROR( INDIRECT(ADDRESS(ROW()+1, COLUMN(), 4, TRUE, "Export-dataset")) / INDIRECT(ADDRESS(ROW(), COLUMN(), 4, TRUE, "Export-dataset")), "" )</f>
        <v>1.3204245008492392</v>
      </c>
    </row>
    <row r="24" spans="1:79">
      <c r="A24" s="6" t="s">
        <v>181</v>
      </c>
      <c r="B24" s="6" cm="1">
        <f t="array" aca="1" ref="B24" ca="1">IFERROR( INDIRECT(ADDRESS(ROW()+1, COLUMN(), 4, TRUE, "Export-dataset")) / INDIRECT(ADDRESS(ROW(), COLUMN(), 4, TRUE, "Export-dataset")), "" )</f>
        <v>0.99133544216751479</v>
      </c>
      <c r="C24" s="6" cm="1">
        <f t="array" aca="1" ref="C24" ca="1">IFERROR( INDIRECT(ADDRESS(ROW()+1, COLUMN(), 4, TRUE, "Export-dataset")) / INDIRECT(ADDRESS(ROW(), COLUMN(), 4, TRUE, "Export-dataset")), "" )</f>
        <v>1.028596961572833</v>
      </c>
      <c r="D24" s="6" cm="1">
        <f t="array" aca="1" ref="D24" ca="1">IFERROR( INDIRECT(ADDRESS(ROW()+1, COLUMN(), 4, TRUE, "Export-dataset")) / INDIRECT(ADDRESS(ROW(), COLUMN(), 4, TRUE, "Export-dataset")), "" )</f>
        <v>0.92191190773933585</v>
      </c>
      <c r="E24" s="6" cm="1">
        <f t="array" aca="1" ref="E24" ca="1">IFERROR( INDIRECT(ADDRESS(ROW()+1, COLUMN(), 4, TRUE, "Export-dataset")) / INDIRECT(ADDRESS(ROW(), COLUMN(), 4, TRUE, "Export-dataset")), "" )</f>
        <v>0.80489642184557442</v>
      </c>
      <c r="F24" s="6" cm="1">
        <f t="array" aca="1" ref="F24" ca="1">IFERROR( INDIRECT(ADDRESS(ROW()+1, COLUMN(), 4, TRUE, "Export-dataset")) / INDIRECT(ADDRESS(ROW(), COLUMN(), 4, TRUE, "Export-dataset")), "" )</f>
        <v>0.93490054249547916</v>
      </c>
      <c r="G24" s="6" cm="1">
        <f t="array" aca="1" ref="G24" ca="1">IFERROR( INDIRECT(ADDRESS(ROW()+1, COLUMN(), 4, TRUE, "Export-dataset")) / INDIRECT(ADDRESS(ROW(), COLUMN(), 4, TRUE, "Export-dataset")), "" )</f>
        <v>1.0631354542472942</v>
      </c>
      <c r="H24" s="6" cm="1">
        <f t="array" aca="1" ref="H24" ca="1">IFERROR( INDIRECT(ADDRESS(ROW()+1, COLUMN(), 4, TRUE, "Export-dataset")) / INDIRECT(ADDRESS(ROW(), COLUMN(), 4, TRUE, "Export-dataset")), "" )</f>
        <v>1.2004264392324093</v>
      </c>
      <c r="I24" s="6" cm="1">
        <f t="array" aca="1" ref="I24" ca="1">IFERROR( INDIRECT(ADDRESS(ROW()+1, COLUMN(), 4, TRUE, "Export-dataset")) / INDIRECT(ADDRESS(ROW(), COLUMN(), 4, TRUE, "Export-dataset")), "" )</f>
        <v>1.1380753138075315</v>
      </c>
      <c r="J24" s="6" cm="1">
        <f t="array" aca="1" ref="J24" ca="1">IFERROR( INDIRECT(ADDRESS(ROW()+1, COLUMN(), 4, TRUE, "Export-dataset")) / INDIRECT(ADDRESS(ROW(), COLUMN(), 4, TRUE, "Export-dataset")), "" )</f>
        <v>1.1301115241635689</v>
      </c>
      <c r="K24" s="6" cm="1">
        <f t="array" aca="1" ref="K24" ca="1">IFERROR( INDIRECT(ADDRESS(ROW()+1, COLUMN(), 4, TRUE, "Export-dataset")) / INDIRECT(ADDRESS(ROW(), COLUMN(), 4, TRUE, "Export-dataset")), "" )</f>
        <v>1.1286863270777481</v>
      </c>
      <c r="L24" s="6" cm="1">
        <f t="array" aca="1" ref="L24" ca="1">IFERROR( INDIRECT(ADDRESS(ROW()+1, COLUMN(), 4, TRUE, "Export-dataset")) / INDIRECT(ADDRESS(ROW(), COLUMN(), 4, TRUE, "Export-dataset")), "" )</f>
        <v>1.0790774299835255</v>
      </c>
      <c r="M24" s="6" cm="1">
        <f t="array" aca="1" ref="M24" ca="1">IFERROR( INDIRECT(ADDRESS(ROW()+1, COLUMN(), 4, TRUE, "Export-dataset")) / INDIRECT(ADDRESS(ROW(), COLUMN(), 4, TRUE, "Export-dataset")), "" )</f>
        <v>0.93333333333333335</v>
      </c>
      <c r="N24" s="6" cm="1">
        <f t="array" aca="1" ref="N24" ca="1">IFERROR( INDIRECT(ADDRESS(ROW()+1, COLUMN(), 4, TRUE, "Export-dataset")) / INDIRECT(ADDRESS(ROW(), COLUMN(), 4, TRUE, "Export-dataset")), "" )</f>
        <v>0.92940732351830879</v>
      </c>
      <c r="O24" s="6" cm="1">
        <f t="array" aca="1" ref="O24" ca="1">IFERROR( INDIRECT(ADDRESS(ROW()+1, COLUMN(), 4, TRUE, "Export-dataset")) / INDIRECT(ADDRESS(ROW(), COLUMN(), 4, TRUE, "Export-dataset")), "" )</f>
        <v>1.032</v>
      </c>
      <c r="P24" s="6" cm="1">
        <f t="array" aca="1" ref="P24" ca="1">IFERROR( INDIRECT(ADDRESS(ROW()+1, COLUMN(), 4, TRUE, "Export-dataset")) / INDIRECT(ADDRESS(ROW(), COLUMN(), 4, TRUE, "Export-dataset")), "" )</f>
        <v>0.91231625162196273</v>
      </c>
      <c r="Q24" s="6" cm="1">
        <f t="array" aca="1" ref="Q24" ca="1">IFERROR( INDIRECT(ADDRESS(ROW()+1, COLUMN(), 4, TRUE, "Export-dataset")) / INDIRECT(ADDRESS(ROW(), COLUMN(), 4, TRUE, "Export-dataset")), "" )</f>
        <v>0.72638888888888886</v>
      </c>
      <c r="R24" s="6" cm="1">
        <f t="array" aca="1" ref="R24" ca="1">IFERROR( INDIRECT(ADDRESS(ROW()+1, COLUMN(), 4, TRUE, "Export-dataset")) / INDIRECT(ADDRESS(ROW(), COLUMN(), 4, TRUE, "Export-dataset")), "" )</f>
        <v>1.9367088607594938</v>
      </c>
      <c r="S24" s="6" cm="1">
        <f t="array" aca="1" ref="S24" ca="1">IFERROR( INDIRECT(ADDRESS(ROW()+1, COLUMN(), 4, TRUE, "Export-dataset")) / INDIRECT(ADDRESS(ROW(), COLUMN(), 4, TRUE, "Export-dataset")), "" )</f>
        <v>1.0909090909090908</v>
      </c>
      <c r="T24" s="6" cm="1">
        <f t="array" aca="1" ref="T24" ca="1">IFERROR( INDIRECT(ADDRESS(ROW()+1, COLUMN(), 4, TRUE, "Export-dataset")) / INDIRECT(ADDRESS(ROW(), COLUMN(), 4, TRUE, "Export-dataset")), "" )</f>
        <v>0.79330422125181954</v>
      </c>
      <c r="U24" s="6" cm="1">
        <f t="array" aca="1" ref="U24" ca="1">IFERROR( INDIRECT(ADDRESS(ROW()+1, COLUMN(), 4, TRUE, "Export-dataset")) / INDIRECT(ADDRESS(ROW(), COLUMN(), 4, TRUE, "Export-dataset")), "" )</f>
        <v>0.71917808219178081</v>
      </c>
      <c r="V24" s="6" cm="1">
        <f t="array" aca="1" ref="V24" ca="1">IFERROR( INDIRECT(ADDRESS(ROW()+1, COLUMN(), 4, TRUE, "Export-dataset")) / INDIRECT(ADDRESS(ROW(), COLUMN(), 4, TRUE, "Export-dataset")), "" )</f>
        <v>0.87172116421128276</v>
      </c>
      <c r="W24" s="6" cm="1">
        <f t="array" aca="1" ref="W24" ca="1">IFERROR( INDIRECT(ADDRESS(ROW()+1, COLUMN(), 4, TRUE, "Export-dataset")) / INDIRECT(ADDRESS(ROW(), COLUMN(), 4, TRUE, "Export-dataset")), "" )</f>
        <v>0.72250000000000003</v>
      </c>
      <c r="X24" s="6" cm="1">
        <f t="array" aca="1" ref="X24" ca="1">IFERROR( INDIRECT(ADDRESS(ROW()+1, COLUMN(), 4, TRUE, "Export-dataset")) / INDIRECT(ADDRESS(ROW(), COLUMN(), 4, TRUE, "Export-dataset")), "" )</f>
        <v>0.91513637726046559</v>
      </c>
      <c r="Y24" s="6" cm="1">
        <f t="array" aca="1" ref="Y24" ca="1">IFERROR( INDIRECT(ADDRESS(ROW()+1, COLUMN(), 4, TRUE, "Export-dataset")) / INDIRECT(ADDRESS(ROW(), COLUMN(), 4, TRUE, "Export-dataset")), "" )</f>
        <v>0.87654320987654322</v>
      </c>
      <c r="Z24" s="6" cm="1">
        <f t="array" aca="1" ref="Z24" ca="1">IFERROR( INDIRECT(ADDRESS(ROW()+1, COLUMN(), 4, TRUE, "Export-dataset")) / INDIRECT(ADDRESS(ROW(), COLUMN(), 4, TRUE, "Export-dataset")), "" )</f>
        <v>0.8133745868785599</v>
      </c>
      <c r="AA24" s="6" cm="1">
        <f t="array" aca="1" ref="AA24" ca="1">IFERROR( INDIRECT(ADDRESS(ROW()+1, COLUMN(), 4, TRUE, "Export-dataset")) / INDIRECT(ADDRESS(ROW(), COLUMN(), 4, TRUE, "Export-dataset")), "" )</f>
        <v>0.8449688486814031</v>
      </c>
      <c r="AB24" s="6" cm="1">
        <f t="array" aca="1" ref="AB24" ca="1">IFERROR( INDIRECT(ADDRESS(ROW()+1, COLUMN(), 4, TRUE, "Export-dataset")) / INDIRECT(ADDRESS(ROW(), COLUMN(), 4, TRUE, "Export-dataset")), "" )</f>
        <v>0.69524913093858631</v>
      </c>
      <c r="AC24" s="6" cm="1">
        <f t="array" aca="1" ref="AC24" ca="1">IFERROR( INDIRECT(ADDRESS(ROW()+1, COLUMN(), 4, TRUE, "Export-dataset")) / INDIRECT(ADDRESS(ROW(), COLUMN(), 4, TRUE, "Export-dataset")), "" )</f>
        <v>0.82735812883435578</v>
      </c>
      <c r="AD24" s="6" cm="1">
        <f t="array" aca="1" ref="AD24" ca="1">IFERROR( INDIRECT(ADDRESS(ROW()+1, COLUMN(), 4, TRUE, "Export-dataset")) / INDIRECT(ADDRESS(ROW(), COLUMN(), 4, TRUE, "Export-dataset")), "" )</f>
        <v>0.77797202797202802</v>
      </c>
      <c r="AE24" s="6" cm="1">
        <f t="array" aca="1" ref="AE24" ca="1">IFERROR( INDIRECT(ADDRESS(ROW()+1, COLUMN(), 4, TRUE, "Export-dataset")) / INDIRECT(ADDRESS(ROW(), COLUMN(), 4, TRUE, "Export-dataset")), "" )</f>
        <v>0.69387755102040816</v>
      </c>
      <c r="AF24" s="6" cm="1">
        <f t="array" aca="1" ref="AF24" ca="1">IFERROR( INDIRECT(ADDRESS(ROW()+1, COLUMN(), 4, TRUE, "Export-dataset")) / INDIRECT(ADDRESS(ROW(), COLUMN(), 4, TRUE, "Export-dataset")), "" )</f>
        <v>0.9640718562874252</v>
      </c>
      <c r="AG24" s="6" cm="1">
        <f t="array" aca="1" ref="AG24" ca="1">IFERROR( INDIRECT(ADDRESS(ROW()+1, COLUMN(), 4, TRUE, "Export-dataset")) / INDIRECT(ADDRESS(ROW(), COLUMN(), 4, TRUE, "Export-dataset")), "" )</f>
        <v>1.1538461538461537</v>
      </c>
      <c r="AH24" s="6" cm="1">
        <f t="array" aca="1" ref="AH24" ca="1">IFERROR( INDIRECT(ADDRESS(ROW()+1, COLUMN(), 4, TRUE, "Export-dataset")) / INDIRECT(ADDRESS(ROW(), COLUMN(), 4, TRUE, "Export-dataset")), "" )</f>
        <v>0.95582329317269077</v>
      </c>
      <c r="AI24" s="6" cm="1">
        <f t="array" aca="1" ref="AI24" ca="1">IFERROR( INDIRECT(ADDRESS(ROW()+1, COLUMN(), 4, TRUE, "Export-dataset")) / INDIRECT(ADDRESS(ROW(), COLUMN(), 4, TRUE, "Export-dataset")), "" )</f>
        <v>0.83243243243243248</v>
      </c>
      <c r="AJ24" s="6" cm="1">
        <f t="array" aca="1" ref="AJ24" ca="1">IFERROR( INDIRECT(ADDRESS(ROW()+1, COLUMN(), 4, TRUE, "Export-dataset")) / INDIRECT(ADDRESS(ROW(), COLUMN(), 4, TRUE, "Export-dataset")), "" )</f>
        <v>0.67447916666666663</v>
      </c>
      <c r="AK24" s="6" cm="1">
        <f t="array" aca="1" ref="AK24" ca="1">IFERROR( INDIRECT(ADDRESS(ROW()+1, COLUMN(), 4, TRUE, "Export-dataset")) / INDIRECT(ADDRESS(ROW(), COLUMN(), 4, TRUE, "Export-dataset")), "" )</f>
        <v>1.1575342465753424</v>
      </c>
      <c r="AL24" s="6" cm="1">
        <f t="array" aca="1" ref="AL24" ca="1">IFERROR( INDIRECT(ADDRESS(ROW()+1, COLUMN(), 4, TRUE, "Export-dataset")) / INDIRECT(ADDRESS(ROW(), COLUMN(), 4, TRUE, "Export-dataset")), "" )</f>
        <v>1.0223505775991963</v>
      </c>
      <c r="AM24" s="6" cm="1">
        <f t="array" aca="1" ref="AM24" ca="1">IFERROR( INDIRECT(ADDRESS(ROW()+1, COLUMN(), 4, TRUE, "Export-dataset")) / INDIRECT(ADDRESS(ROW(), COLUMN(), 4, TRUE, "Export-dataset")), "" )</f>
        <v>1.0151770657672849</v>
      </c>
      <c r="AN24" s="6" cm="1">
        <f t="array" aca="1" ref="AN24" ca="1">IFERROR( INDIRECT(ADDRESS(ROW()+1, COLUMN(), 4, TRUE, "Export-dataset")) / INDIRECT(ADDRESS(ROW(), COLUMN(), 4, TRUE, "Export-dataset")), "" )</f>
        <v>0.62403697996918339</v>
      </c>
      <c r="AO24" s="6" cm="1">
        <f t="array" aca="1" ref="AO24" ca="1">IFERROR( INDIRECT(ADDRESS(ROW()+1, COLUMN(), 4, TRUE, "Export-dataset")) / INDIRECT(ADDRESS(ROW(), COLUMN(), 4, TRUE, "Export-dataset")), "" )</f>
        <v>0.7643504531722054</v>
      </c>
      <c r="AP24" s="6" cm="1">
        <f t="array" aca="1" ref="AP24" ca="1">IFERROR( INDIRECT(ADDRESS(ROW()+1, COLUMN(), 4, TRUE, "Export-dataset")) / INDIRECT(ADDRESS(ROW(), COLUMN(), 4, TRUE, "Export-dataset")), "" )</f>
        <v>1.1574585635359116</v>
      </c>
      <c r="AQ24" s="6" cm="1">
        <f t="array" aca="1" ref="AQ24" ca="1">IFERROR( INDIRECT(ADDRESS(ROW()+1, COLUMN(), 4, TRUE, "Export-dataset")) / INDIRECT(ADDRESS(ROW(), COLUMN(), 4, TRUE, "Export-dataset")), "" )</f>
        <v>0.98321816386969396</v>
      </c>
      <c r="AR24" s="6" cm="1">
        <f t="array" aca="1" ref="AR24" ca="1">IFERROR( INDIRECT(ADDRESS(ROW()+1, COLUMN(), 4, TRUE, "Export-dataset")) / INDIRECT(ADDRESS(ROW(), COLUMN(), 4, TRUE, "Export-dataset")), "" )</f>
        <v>0.76155852805683522</v>
      </c>
      <c r="AS24" s="6" cm="1">
        <f t="array" aca="1" ref="AS24" ca="1">IFERROR( INDIRECT(ADDRESS(ROW()+1, COLUMN(), 4, TRUE, "Export-dataset")) / INDIRECT(ADDRESS(ROW(), COLUMN(), 4, TRUE, "Export-dataset")), "" )</f>
        <v>0.76615384615384619</v>
      </c>
      <c r="AT24" s="6" cm="1">
        <f t="array" aca="1" ref="AT24" ca="1">IFERROR( INDIRECT(ADDRESS(ROW()+1, COLUMN(), 4, TRUE, "Export-dataset")) / INDIRECT(ADDRESS(ROW(), COLUMN(), 4, TRUE, "Export-dataset")), "" )</f>
        <v>0.73550724637681164</v>
      </c>
      <c r="AU24" s="6" cm="1">
        <f t="array" aca="1" ref="AU24" ca="1">IFERROR( INDIRECT(ADDRESS(ROW()+1, COLUMN(), 4, TRUE, "Export-dataset")) / INDIRECT(ADDRESS(ROW(), COLUMN(), 4, TRUE, "Export-dataset")), "" )</f>
        <v>0.95705521472392641</v>
      </c>
      <c r="AV24" s="6" cm="1">
        <f t="array" aca="1" ref="AV24" ca="1">IFERROR( INDIRECT(ADDRESS(ROW()+1, COLUMN(), 4, TRUE, "Export-dataset")) / INDIRECT(ADDRESS(ROW(), COLUMN(), 4, TRUE, "Export-dataset")), "" )</f>
        <v>0.91631799163179917</v>
      </c>
      <c r="AW24" s="6" cm="1">
        <f t="array" aca="1" ref="AW24" ca="1">IFERROR( INDIRECT(ADDRESS(ROW()+1, COLUMN(), 4, TRUE, "Export-dataset")) / INDIRECT(ADDRESS(ROW(), COLUMN(), 4, TRUE, "Export-dataset")), "" )</f>
        <v>0.81266490765171506</v>
      </c>
      <c r="AX24" s="6" cm="1">
        <f t="array" aca="1" ref="AX24" ca="1">IFERROR( INDIRECT(ADDRESS(ROW()+1, COLUMN(), 4, TRUE, "Export-dataset")) / INDIRECT(ADDRESS(ROW(), COLUMN(), 4, TRUE, "Export-dataset")), "" )</f>
        <v>1.020884520884521</v>
      </c>
      <c r="AY24" s="6" cm="1">
        <f t="array" aca="1" ref="AY24" ca="1">IFERROR( INDIRECT(ADDRESS(ROW()+1, COLUMN(), 4, TRUE, "Export-dataset")) / INDIRECT(ADDRESS(ROW(), COLUMN(), 4, TRUE, "Export-dataset")), "" )</f>
        <v>0.50439882697947214</v>
      </c>
      <c r="AZ24" s="6" cm="1">
        <f t="array" aca="1" ref="AZ24" ca="1">IFERROR( INDIRECT(ADDRESS(ROW()+1, COLUMN(), 4, TRUE, "Export-dataset")) / INDIRECT(ADDRESS(ROW(), COLUMN(), 4, TRUE, "Export-dataset")), "" )</f>
        <v>0.7514006723227149</v>
      </c>
      <c r="BA24" s="6" cm="1">
        <f t="array" aca="1" ref="BA24" ca="1">IFERROR( INDIRECT(ADDRESS(ROW()+1, COLUMN(), 4, TRUE, "Export-dataset")) / INDIRECT(ADDRESS(ROW(), COLUMN(), 4, TRUE, "Export-dataset")), "" )</f>
        <v>0.93859649122807021</v>
      </c>
      <c r="BB24" s="6" cm="1">
        <f t="array" aca="1" ref="BB24" ca="1">IFERROR( INDIRECT(ADDRESS(ROW()+1, COLUMN(), 4, TRUE, "Export-dataset")) / INDIRECT(ADDRESS(ROW(), COLUMN(), 4, TRUE, "Export-dataset")), "" )</f>
        <v>0.77857002682017395</v>
      </c>
      <c r="BC24" s="6" cm="1">
        <f t="array" aca="1" ref="BC24" ca="1">IFERROR( INDIRECT(ADDRESS(ROW()+1, COLUMN(), 4, TRUE, "Export-dataset")) / INDIRECT(ADDRESS(ROW(), COLUMN(), 4, TRUE, "Export-dataset")), "" )</f>
        <v>0.74266792809839166</v>
      </c>
      <c r="BD24" s="6" cm="1">
        <f t="array" aca="1" ref="BD24" ca="1">IFERROR( INDIRECT(ADDRESS(ROW()+1, COLUMN(), 4, TRUE, "Export-dataset")) / INDIRECT(ADDRESS(ROW(), COLUMN(), 4, TRUE, "Export-dataset")), "" )</f>
        <v>0.99519230769230771</v>
      </c>
      <c r="BE24" s="6" cm="1">
        <f t="array" aca="1" ref="BE24" ca="1">IFERROR( INDIRECT(ADDRESS(ROW()+1, COLUMN(), 4, TRUE, "Export-dataset")) / INDIRECT(ADDRESS(ROW(), COLUMN(), 4, TRUE, "Export-dataset")), "" )</f>
        <v>0.72277227722772275</v>
      </c>
      <c r="BF24" s="6" cm="1">
        <f t="array" aca="1" ref="BF24" ca="1">IFERROR( INDIRECT(ADDRESS(ROW()+1, COLUMN(), 4, TRUE, "Export-dataset")) / INDIRECT(ADDRESS(ROW(), COLUMN(), 4, TRUE, "Export-dataset")), "" )</f>
        <v>0.96551724137931039</v>
      </c>
      <c r="BG24" s="6" cm="1">
        <f t="array" aca="1" ref="BG24" ca="1">IFERROR( INDIRECT(ADDRESS(ROW()+1, COLUMN(), 4, TRUE, "Export-dataset")) / INDIRECT(ADDRESS(ROW(), COLUMN(), 4, TRUE, "Export-dataset")), "" )</f>
        <v>0.85558354324097396</v>
      </c>
      <c r="BH24" s="6" cm="1">
        <f t="array" aca="1" ref="BH24" ca="1">IFERROR( INDIRECT(ADDRESS(ROW()+1, COLUMN(), 4, TRUE, "Export-dataset")) / INDIRECT(ADDRESS(ROW(), COLUMN(), 4, TRUE, "Export-dataset")), "" )</f>
        <v>0.97292069632495159</v>
      </c>
      <c r="BI24" s="6" cm="1">
        <f t="array" aca="1" ref="BI24" ca="1">IFERROR( INDIRECT(ADDRESS(ROW()+1, COLUMN(), 4, TRUE, "Export-dataset")) / INDIRECT(ADDRESS(ROW(), COLUMN(), 4, TRUE, "Export-dataset")), "" )</f>
        <v>0.82660204631125467</v>
      </c>
      <c r="BJ24" s="6" cm="1">
        <f t="array" aca="1" ref="BJ24" ca="1">IFERROR( INDIRECT(ADDRESS(ROW()+1, COLUMN(), 4, TRUE, "Export-dataset")) / INDIRECT(ADDRESS(ROW(), COLUMN(), 4, TRUE, "Export-dataset")), "" )</f>
        <v>0.51652209830648488</v>
      </c>
      <c r="BK24" s="6" cm="1">
        <f t="array" aca="1" ref="BK24" ca="1">IFERROR( INDIRECT(ADDRESS(ROW()+1, COLUMN(), 4, TRUE, "Export-dataset")) / INDIRECT(ADDRESS(ROW(), COLUMN(), 4, TRUE, "Export-dataset")), "" )</f>
        <v>0.91720199857244822</v>
      </c>
      <c r="BL24" s="6" cm="1">
        <f t="array" aca="1" ref="BL24" ca="1">IFERROR( INDIRECT(ADDRESS(ROW()+1, COLUMN(), 4, TRUE, "Export-dataset")) / INDIRECT(ADDRESS(ROW(), COLUMN(), 4, TRUE, "Export-dataset")), "" )</f>
        <v>0.9444651509504286</v>
      </c>
      <c r="BM24" s="6" cm="1">
        <f t="array" aca="1" ref="BM24" ca="1">IFERROR( INDIRECT(ADDRESS(ROW()+1, COLUMN(), 4, TRUE, "Export-dataset")) / INDIRECT(ADDRESS(ROW(), COLUMN(), 4, TRUE, "Export-dataset")), "" )</f>
        <v>1.0671641791044777</v>
      </c>
      <c r="BN24" s="6" cm="1">
        <f t="array" aca="1" ref="BN24" ca="1">IFERROR( INDIRECT(ADDRESS(ROW()+1, COLUMN(), 4, TRUE, "Export-dataset")) / INDIRECT(ADDRESS(ROW(), COLUMN(), 4, TRUE, "Export-dataset")), "" )</f>
        <v>0.9152542372881356</v>
      </c>
      <c r="BO24" s="6" cm="1">
        <f t="array" aca="1" ref="BO24" ca="1">IFERROR( INDIRECT(ADDRESS(ROW()+1, COLUMN(), 4, TRUE, "Export-dataset")) / INDIRECT(ADDRESS(ROW(), COLUMN(), 4, TRUE, "Export-dataset")), "" )</f>
        <v>1.03125</v>
      </c>
      <c r="BP24" s="6" cm="1">
        <f t="array" aca="1" ref="BP24" ca="1">IFERROR( INDIRECT(ADDRESS(ROW()+1, COLUMN(), 4, TRUE, "Export-dataset")) / INDIRECT(ADDRESS(ROW(), COLUMN(), 4, TRUE, "Export-dataset")), "" )</f>
        <v>0.91304347826086951</v>
      </c>
      <c r="BQ24" s="6" cm="1">
        <f t="array" aca="1" ref="BQ24" ca="1">IFERROR( INDIRECT(ADDRESS(ROW()+1, COLUMN(), 4, TRUE, "Export-dataset")) / INDIRECT(ADDRESS(ROW(), COLUMN(), 4, TRUE, "Export-dataset")), "" )</f>
        <v>0.84313725490196079</v>
      </c>
      <c r="BR24" s="6" cm="1">
        <f t="array" aca="1" ref="BR24" ca="1">IFERROR( INDIRECT(ADDRESS(ROW()+1, COLUMN(), 4, TRUE, "Export-dataset")) / INDIRECT(ADDRESS(ROW(), COLUMN(), 4, TRUE, "Export-dataset")), "" )</f>
        <v>1.0130750605326877</v>
      </c>
      <c r="BS24" s="6" cm="1">
        <f t="array" aca="1" ref="BS24" ca="1">IFERROR( INDIRECT(ADDRESS(ROW()+1, COLUMN(), 4, TRUE, "Export-dataset")) / INDIRECT(ADDRESS(ROW(), COLUMN(), 4, TRUE, "Export-dataset")), "" )</f>
        <v>0.94050991501416425</v>
      </c>
      <c r="BT24" s="6" cm="1">
        <f t="array" aca="1" ref="BT24" ca="1">IFERROR( INDIRECT(ADDRESS(ROW()+1, COLUMN(), 4, TRUE, "Export-dataset")) / INDIRECT(ADDRESS(ROW(), COLUMN(), 4, TRUE, "Export-dataset")), "" )</f>
        <v>0.88165680473372776</v>
      </c>
      <c r="BU24" s="6" cm="1">
        <f t="array" aca="1" ref="BU24" ca="1">IFERROR( INDIRECT(ADDRESS(ROW()+1, COLUMN(), 4, TRUE, "Export-dataset")) / INDIRECT(ADDRESS(ROW(), COLUMN(), 4, TRUE, "Export-dataset")), "" )</f>
        <v>1.0561287477954144</v>
      </c>
      <c r="BV24" s="6" cm="1">
        <f t="array" aca="1" ref="BV24" ca="1">IFERROR( INDIRECT(ADDRESS(ROW()+1, COLUMN(), 4, TRUE, "Export-dataset")) / INDIRECT(ADDRESS(ROW(), COLUMN(), 4, TRUE, "Export-dataset")), "" )</f>
        <v>1.4273127753303965</v>
      </c>
      <c r="BW24" s="6" cm="1">
        <f t="array" aca="1" ref="BW24" ca="1">IFERROR( INDIRECT(ADDRESS(ROW()+1, COLUMN(), 4, TRUE, "Export-dataset")) / INDIRECT(ADDRESS(ROW(), COLUMN(), 4, TRUE, "Export-dataset")), "" )</f>
        <v>1.3277108433734939</v>
      </c>
      <c r="BX24" s="6" t="str" cm="1">
        <f t="array" aca="1" ref="BX24" ca="1">IFERROR( INDIRECT(ADDRESS(ROW()+1, COLUMN(), 4, TRUE, "Export-dataset")) / INDIRECT(ADDRESS(ROW(), COLUMN(), 4, TRUE, "Export-dataset")), "" )</f>
        <v/>
      </c>
      <c r="BY24" s="6" cm="1">
        <f t="array" aca="1" ref="BY24" ca="1">IFERROR( INDIRECT(ADDRESS(ROW()+1, COLUMN(), 4, TRUE, "Export-dataset")) / INDIRECT(ADDRESS(ROW(), COLUMN(), 4, TRUE, "Export-dataset")), "" )</f>
        <v>1.0527346482025459</v>
      </c>
      <c r="BZ24" s="6" cm="1">
        <f t="array" aca="1" ref="BZ24" ca="1">IFERROR( INDIRECT(ADDRESS(ROW()+1, COLUMN(), 4, TRUE, "Export-dataset")) / INDIRECT(ADDRESS(ROW(), COLUMN(), 4, TRUE, "Export-dataset")), "" )</f>
        <v>0.97077086172951688</v>
      </c>
      <c r="CA24" s="6" cm="1">
        <f t="array" aca="1" ref="CA24" ca="1">IFERROR( INDIRECT(ADDRESS(ROW()+1, COLUMN(), 4, TRUE, "Export-dataset")) / INDIRECT(ADDRESS(ROW(), COLUMN(), 4, TRUE, "Export-dataset")), "" )</f>
        <v>0.88402948623960498</v>
      </c>
    </row>
    <row r="25" spans="1:79">
      <c r="A25" s="6" t="s">
        <v>182</v>
      </c>
      <c r="B25" s="6" cm="1">
        <f t="array" aca="1" ref="B25" ca="1">IFERROR( INDIRECT(ADDRESS(ROW()+1, COLUMN(), 4, TRUE, "Export-dataset")) / INDIRECT(ADDRESS(ROW(), COLUMN(), 4, TRUE, "Export-dataset")), "" )</f>
        <v>0.96536256011838695</v>
      </c>
      <c r="C25" s="6" cm="1">
        <f t="array" aca="1" ref="C25" ca="1">IFERROR( INDIRECT(ADDRESS(ROW()+1, COLUMN(), 4, TRUE, "Export-dataset")) / INDIRECT(ADDRESS(ROW(), COLUMN(), 4, TRUE, "Export-dataset")), "" )</f>
        <v>0.99478714161598614</v>
      </c>
      <c r="D25" s="6" cm="1">
        <f t="array" aca="1" ref="D25" ca="1">IFERROR( INDIRECT(ADDRESS(ROW()+1, COLUMN(), 4, TRUE, "Export-dataset")) / INDIRECT(ADDRESS(ROW(), COLUMN(), 4, TRUE, "Export-dataset")), "" )</f>
        <v>1.0111529766390355</v>
      </c>
      <c r="E25" s="6" cm="1">
        <f t="array" aca="1" ref="E25" ca="1">IFERROR( INDIRECT(ADDRESS(ROW()+1, COLUMN(), 4, TRUE, "Export-dataset")) / INDIRECT(ADDRESS(ROW(), COLUMN(), 4, TRUE, "Export-dataset")), "" )</f>
        <v>1.0107627515208235</v>
      </c>
      <c r="F25" s="6" cm="1">
        <f t="array" aca="1" ref="F25" ca="1">IFERROR( INDIRECT(ADDRESS(ROW()+1, COLUMN(), 4, TRUE, "Export-dataset")) / INDIRECT(ADDRESS(ROW(), COLUMN(), 4, TRUE, "Export-dataset")), "" )</f>
        <v>0.98549323017408119</v>
      </c>
      <c r="G25" s="6" cm="1">
        <f t="array" aca="1" ref="G25" ca="1">IFERROR( INDIRECT(ADDRESS(ROW()+1, COLUMN(), 4, TRUE, "Export-dataset")) / INDIRECT(ADDRESS(ROW(), COLUMN(), 4, TRUE, "Export-dataset")), "" )</f>
        <v>0.90421101341971311</v>
      </c>
      <c r="H25" s="6" cm="1">
        <f t="array" aca="1" ref="H25" ca="1">IFERROR( INDIRECT(ADDRESS(ROW()+1, COLUMN(), 4, TRUE, "Export-dataset")) / INDIRECT(ADDRESS(ROW(), COLUMN(), 4, TRUE, "Export-dataset")), "" )</f>
        <v>0.9206631142687981</v>
      </c>
      <c r="I25" s="6" cm="1">
        <f t="array" aca="1" ref="I25" ca="1">IFERROR( INDIRECT(ADDRESS(ROW()+1, COLUMN(), 4, TRUE, "Export-dataset")) / INDIRECT(ADDRESS(ROW(), COLUMN(), 4, TRUE, "Export-dataset")), "" )</f>
        <v>1.2389705882352942</v>
      </c>
      <c r="J25" s="6" cm="1">
        <f t="array" aca="1" ref="J25" ca="1">IFERROR( INDIRECT(ADDRESS(ROW()+1, COLUMN(), 4, TRUE, "Export-dataset")) / INDIRECT(ADDRESS(ROW(), COLUMN(), 4, TRUE, "Export-dataset")), "" )</f>
        <v>0.9375</v>
      </c>
      <c r="K25" s="6" cm="1">
        <f t="array" aca="1" ref="K25" ca="1">IFERROR( INDIRECT(ADDRESS(ROW()+1, COLUMN(), 4, TRUE, "Export-dataset")) / INDIRECT(ADDRESS(ROW(), COLUMN(), 4, TRUE, "Export-dataset")), "" )</f>
        <v>0.79968329374505143</v>
      </c>
      <c r="L25" s="6" cm="1">
        <f t="array" aca="1" ref="L25" ca="1">IFERROR( INDIRECT(ADDRESS(ROW()+1, COLUMN(), 4, TRUE, "Export-dataset")) / INDIRECT(ADDRESS(ROW(), COLUMN(), 4, TRUE, "Export-dataset")), "" )</f>
        <v>1.2183206106870228</v>
      </c>
      <c r="M25" s="6" cm="1">
        <f t="array" aca="1" ref="M25" ca="1">IFERROR( INDIRECT(ADDRESS(ROW()+1, COLUMN(), 4, TRUE, "Export-dataset")) / INDIRECT(ADDRESS(ROW(), COLUMN(), 4, TRUE, "Export-dataset")), "" )</f>
        <v>0.93397683397683395</v>
      </c>
      <c r="N25" s="6" cm="1">
        <f t="array" aca="1" ref="N25" ca="1">IFERROR( INDIRECT(ADDRESS(ROW()+1, COLUMN(), 4, TRUE, "Export-dataset")) / INDIRECT(ADDRESS(ROW(), COLUMN(), 4, TRUE, "Export-dataset")), "" )</f>
        <v>0.93095044679122663</v>
      </c>
      <c r="O25" s="6" cm="1">
        <f t="array" aca="1" ref="O25" ca="1">IFERROR( INDIRECT(ADDRESS(ROW()+1, COLUMN(), 4, TRUE, "Export-dataset")) / INDIRECT(ADDRESS(ROW(), COLUMN(), 4, TRUE, "Export-dataset")), "" )</f>
        <v>0.98449612403100772</v>
      </c>
      <c r="P25" s="6" cm="1">
        <f t="array" aca="1" ref="P25" ca="1">IFERROR( INDIRECT(ADDRESS(ROW()+1, COLUMN(), 4, TRUE, "Export-dataset")) / INDIRECT(ADDRESS(ROW(), COLUMN(), 4, TRUE, "Export-dataset")), "" )</f>
        <v>1.4788411331488913</v>
      </c>
      <c r="Q25" s="6" cm="1">
        <f t="array" aca="1" ref="Q25" ca="1">IFERROR( INDIRECT(ADDRESS(ROW()+1, COLUMN(), 4, TRUE, "Export-dataset")) / INDIRECT(ADDRESS(ROW(), COLUMN(), 4, TRUE, "Export-dataset")), "" )</f>
        <v>1.3766730401529637</v>
      </c>
      <c r="R25" s="6" cm="1">
        <f t="array" aca="1" ref="R25" ca="1">IFERROR( INDIRECT(ADDRESS(ROW()+1, COLUMN(), 4, TRUE, "Export-dataset")) / INDIRECT(ADDRESS(ROW(), COLUMN(), 4, TRUE, "Export-dataset")), "" )</f>
        <v>0.76339869281045747</v>
      </c>
      <c r="S25" s="6" cm="1">
        <f t="array" aca="1" ref="S25" ca="1">IFERROR( INDIRECT(ADDRESS(ROW()+1, COLUMN(), 4, TRUE, "Export-dataset")) / INDIRECT(ADDRESS(ROW(), COLUMN(), 4, TRUE, "Export-dataset")), "" )</f>
        <v>1.25</v>
      </c>
      <c r="T25" s="6" cm="1">
        <f t="array" aca="1" ref="T25" ca="1">IFERROR( INDIRECT(ADDRESS(ROW()+1, COLUMN(), 4, TRUE, "Export-dataset")) / INDIRECT(ADDRESS(ROW(), COLUMN(), 4, TRUE, "Export-dataset")), "" )</f>
        <v>1.1155963302752294</v>
      </c>
      <c r="U25" s="6" cm="1">
        <f t="array" aca="1" ref="U25" ca="1">IFERROR( INDIRECT(ADDRESS(ROW()+1, COLUMN(), 4, TRUE, "Export-dataset")) / INDIRECT(ADDRESS(ROW(), COLUMN(), 4, TRUE, "Export-dataset")), "" )</f>
        <v>1.2571428571428571</v>
      </c>
      <c r="V25" s="6" cm="1">
        <f t="array" aca="1" ref="V25" ca="1">IFERROR( INDIRECT(ADDRESS(ROW()+1, COLUMN(), 4, TRUE, "Export-dataset")) / INDIRECT(ADDRESS(ROW(), COLUMN(), 4, TRUE, "Export-dataset")), "" )</f>
        <v>1.3676834295136027</v>
      </c>
      <c r="W25" s="6" cm="1">
        <f t="array" aca="1" ref="W25" ca="1">IFERROR( INDIRECT(ADDRESS(ROW()+1, COLUMN(), 4, TRUE, "Export-dataset")) / INDIRECT(ADDRESS(ROW(), COLUMN(), 4, TRUE, "Export-dataset")), "" )</f>
        <v>1.2491349480968859</v>
      </c>
      <c r="X25" s="6" cm="1">
        <f t="array" aca="1" ref="X25" ca="1">IFERROR( INDIRECT(ADDRESS(ROW()+1, COLUMN(), 4, TRUE, "Export-dataset")) / INDIRECT(ADDRESS(ROW(), COLUMN(), 4, TRUE, "Export-dataset")), "" )</f>
        <v>1.5112450325341718</v>
      </c>
      <c r="Y25" s="6" cm="1">
        <f t="array" aca="1" ref="Y25" ca="1">IFERROR( INDIRECT(ADDRESS(ROW()+1, COLUMN(), 4, TRUE, "Export-dataset")) / INDIRECT(ADDRESS(ROW(), COLUMN(), 4, TRUE, "Export-dataset")), "" )</f>
        <v>0.971830985915493</v>
      </c>
      <c r="Z25" s="6" cm="1">
        <f t="array" aca="1" ref="Z25" ca="1">IFERROR( INDIRECT(ADDRESS(ROW()+1, COLUMN(), 4, TRUE, "Export-dataset")) / INDIRECT(ADDRESS(ROW(), COLUMN(), 4, TRUE, "Export-dataset")), "" )</f>
        <v>1.1513616322296187</v>
      </c>
      <c r="AA25" s="6" cm="1">
        <f t="array" aca="1" ref="AA25" ca="1">IFERROR( INDIRECT(ADDRESS(ROW()+1, COLUMN(), 4, TRUE, "Export-dataset")) / INDIRECT(ADDRESS(ROW(), COLUMN(), 4, TRUE, "Export-dataset")), "" )</f>
        <v>1.0889601535275997</v>
      </c>
      <c r="AB25" s="6" cm="1">
        <f t="array" aca="1" ref="AB25" ca="1">IFERROR( INDIRECT(ADDRESS(ROW()+1, COLUMN(), 4, TRUE, "Export-dataset")) / INDIRECT(ADDRESS(ROW(), COLUMN(), 4, TRUE, "Export-dataset")), "" )</f>
        <v>1.3496874999999999</v>
      </c>
      <c r="AC25" s="6" cm="1">
        <f t="array" aca="1" ref="AC25" ca="1">IFERROR( INDIRECT(ADDRESS(ROW()+1, COLUMN(), 4, TRUE, "Export-dataset")) / INDIRECT(ADDRESS(ROW(), COLUMN(), 4, TRUE, "Export-dataset")), "" )</f>
        <v>1.2174719036032904</v>
      </c>
      <c r="AD25" s="6" cm="1">
        <f t="array" aca="1" ref="AD25" ca="1">IFERROR( INDIRECT(ADDRESS(ROW()+1, COLUMN(), 4, TRUE, "Export-dataset")) / INDIRECT(ADDRESS(ROW(), COLUMN(), 4, TRUE, "Export-dataset")), "" )</f>
        <v>1.0584269662921348</v>
      </c>
      <c r="AE25" s="6" cm="1">
        <f t="array" aca="1" ref="AE25" ca="1">IFERROR( INDIRECT(ADDRESS(ROW()+1, COLUMN(), 4, TRUE, "Export-dataset")) / INDIRECT(ADDRESS(ROW(), COLUMN(), 4, TRUE, "Export-dataset")), "" )</f>
        <v>1.125</v>
      </c>
      <c r="AF25" s="6" cm="1">
        <f t="array" aca="1" ref="AF25" ca="1">IFERROR( INDIRECT(ADDRESS(ROW()+1, COLUMN(), 4, TRUE, "Export-dataset")) / INDIRECT(ADDRESS(ROW(), COLUMN(), 4, TRUE, "Export-dataset")), "" )</f>
        <v>0.94409937888198758</v>
      </c>
      <c r="AG25" s="6" cm="1">
        <f t="array" aca="1" ref="AG25" ca="1">IFERROR( INDIRECT(ADDRESS(ROW()+1, COLUMN(), 4, TRUE, "Export-dataset")) / INDIRECT(ADDRESS(ROW(), COLUMN(), 4, TRUE, "Export-dataset")), "" )</f>
        <v>0.8</v>
      </c>
      <c r="AH25" s="6" cm="1">
        <f t="array" aca="1" ref="AH25" ca="1">IFERROR( INDIRECT(ADDRESS(ROW()+1, COLUMN(), 4, TRUE, "Export-dataset")) / INDIRECT(ADDRESS(ROW(), COLUMN(), 4, TRUE, "Export-dataset")), "" )</f>
        <v>0.99864063272367776</v>
      </c>
      <c r="AI25" s="6" cm="1">
        <f t="array" aca="1" ref="AI25" ca="1">IFERROR( INDIRECT(ADDRESS(ROW()+1, COLUMN(), 4, TRUE, "Export-dataset")) / INDIRECT(ADDRESS(ROW(), COLUMN(), 4, TRUE, "Export-dataset")), "" )</f>
        <v>1.1883116883116882</v>
      </c>
      <c r="AJ25" s="6" cm="1">
        <f t="array" aca="1" ref="AJ25" ca="1">IFERROR( INDIRECT(ADDRESS(ROW()+1, COLUMN(), 4, TRUE, "Export-dataset")) / INDIRECT(ADDRESS(ROW(), COLUMN(), 4, TRUE, "Export-dataset")), "" )</f>
        <v>1.0926640926640927</v>
      </c>
      <c r="AK25" s="6" cm="1">
        <f t="array" aca="1" ref="AK25" ca="1">IFERROR( INDIRECT(ADDRESS(ROW()+1, COLUMN(), 4, TRUE, "Export-dataset")) / INDIRECT(ADDRESS(ROW(), COLUMN(), 4, TRUE, "Export-dataset")), "" )</f>
        <v>0.98076923076923073</v>
      </c>
      <c r="AL25" s="6" cm="1">
        <f t="array" aca="1" ref="AL25" ca="1">IFERROR( INDIRECT(ADDRESS(ROW()+1, COLUMN(), 4, TRUE, "Export-dataset")) / INDIRECT(ADDRESS(ROW(), COLUMN(), 4, TRUE, "Export-dataset")), "" )</f>
        <v>0.98206828788995337</v>
      </c>
      <c r="AM25" s="6" cm="1">
        <f t="array" aca="1" ref="AM25" ca="1">IFERROR( INDIRECT(ADDRESS(ROW()+1, COLUMN(), 4, TRUE, "Export-dataset")) / INDIRECT(ADDRESS(ROW(), COLUMN(), 4, TRUE, "Export-dataset")), "" )</f>
        <v>1.084717607973422</v>
      </c>
      <c r="AN25" s="6" cm="1">
        <f t="array" aca="1" ref="AN25" ca="1">IFERROR( INDIRECT(ADDRESS(ROW()+1, COLUMN(), 4, TRUE, "Export-dataset")) / INDIRECT(ADDRESS(ROW(), COLUMN(), 4, TRUE, "Export-dataset")), "" )</f>
        <v>0.80493827160493825</v>
      </c>
      <c r="AO25" s="6" cm="1">
        <f t="array" aca="1" ref="AO25" ca="1">IFERROR( INDIRECT(ADDRESS(ROW()+1, COLUMN(), 4, TRUE, "Export-dataset")) / INDIRECT(ADDRESS(ROW(), COLUMN(), 4, TRUE, "Export-dataset")), "" )</f>
        <v>1.3715415019762847</v>
      </c>
      <c r="AP25" s="6" cm="1">
        <f t="array" aca="1" ref="AP25" ca="1">IFERROR( INDIRECT(ADDRESS(ROW()+1, COLUMN(), 4, TRUE, "Export-dataset")) / INDIRECT(ADDRESS(ROW(), COLUMN(), 4, TRUE, "Export-dataset")), "" )</f>
        <v>0.82577565632458239</v>
      </c>
      <c r="AQ25" s="6" cm="1">
        <f t="array" aca="1" ref="AQ25" ca="1">IFERROR( INDIRECT(ADDRESS(ROW()+1, COLUMN(), 4, TRUE, "Export-dataset")) / INDIRECT(ADDRESS(ROW(), COLUMN(), 4, TRUE, "Export-dataset")), "" )</f>
        <v>1.001004016064257</v>
      </c>
      <c r="AR25" s="6" cm="1">
        <f t="array" aca="1" ref="AR25" ca="1">IFERROR( INDIRECT(ADDRESS(ROW()+1, COLUMN(), 4, TRUE, "Export-dataset")) / INDIRECT(ADDRESS(ROW(), COLUMN(), 4, TRUE, "Export-dataset")), "" )</f>
        <v>1.1117994315283142</v>
      </c>
      <c r="AS25" s="6" cm="1">
        <f t="array" aca="1" ref="AS25" ca="1">IFERROR( INDIRECT(ADDRESS(ROW()+1, COLUMN(), 4, TRUE, "Export-dataset")) / INDIRECT(ADDRESS(ROW(), COLUMN(), 4, TRUE, "Export-dataset")), "" )</f>
        <v>1.1084337349397591</v>
      </c>
      <c r="AT25" s="6" cm="1">
        <f t="array" aca="1" ref="AT25" ca="1">IFERROR( INDIRECT(ADDRESS(ROW()+1, COLUMN(), 4, TRUE, "Export-dataset")) / INDIRECT(ADDRESS(ROW(), COLUMN(), 4, TRUE, "Export-dataset")), "" )</f>
        <v>0.9211822660098522</v>
      </c>
      <c r="AU25" s="6" cm="1">
        <f t="array" aca="1" ref="AU25" ca="1">IFERROR( INDIRECT(ADDRESS(ROW()+1, COLUMN(), 4, TRUE, "Export-dataset")) / INDIRECT(ADDRESS(ROW(), COLUMN(), 4, TRUE, "Export-dataset")), "" )</f>
        <v>0.96794871794871795</v>
      </c>
      <c r="AV25" s="6" cm="1">
        <f t="array" aca="1" ref="AV25" ca="1">IFERROR( INDIRECT(ADDRESS(ROW()+1, COLUMN(), 4, TRUE, "Export-dataset")) / INDIRECT(ADDRESS(ROW(), COLUMN(), 4, TRUE, "Export-dataset")), "" )</f>
        <v>1.2115677321156773</v>
      </c>
      <c r="AW25" s="6" cm="1">
        <f t="array" aca="1" ref="AW25" ca="1">IFERROR( INDIRECT(ADDRESS(ROW()+1, COLUMN(), 4, TRUE, "Export-dataset")) / INDIRECT(ADDRESS(ROW(), COLUMN(), 4, TRUE, "Export-dataset")), "" )</f>
        <v>0.86038961038961037</v>
      </c>
      <c r="AX25" s="6" cm="1">
        <f t="array" aca="1" ref="AX25" ca="1">IFERROR( INDIRECT(ADDRESS(ROW()+1, COLUMN(), 4, TRUE, "Export-dataset")) / INDIRECT(ADDRESS(ROW(), COLUMN(), 4, TRUE, "Export-dataset")), "" )</f>
        <v>0.87605294825511437</v>
      </c>
      <c r="AY25" s="6" cm="1">
        <f t="array" aca="1" ref="AY25" ca="1">IFERROR( INDIRECT(ADDRESS(ROW()+1, COLUMN(), 4, TRUE, "Export-dataset")) / INDIRECT(ADDRESS(ROW(), COLUMN(), 4, TRUE, "Export-dataset")), "" )</f>
        <v>1.6325581395348838</v>
      </c>
      <c r="AZ25" s="6" cm="1">
        <f t="array" aca="1" ref="AZ25" ca="1">IFERROR( INDIRECT(ADDRESS(ROW()+1, COLUMN(), 4, TRUE, "Export-dataset")) / INDIRECT(ADDRESS(ROW(), COLUMN(), 4, TRUE, "Export-dataset")), "" )</f>
        <v>1.105986365573072</v>
      </c>
      <c r="BA25" s="6" cm="1">
        <f t="array" aca="1" ref="BA25" ca="1">IFERROR( INDIRECT(ADDRESS(ROW()+1, COLUMN(), 4, TRUE, "Export-dataset")) / INDIRECT(ADDRESS(ROW(), COLUMN(), 4, TRUE, "Export-dataset")), "" )</f>
        <v>0.99065420560747663</v>
      </c>
      <c r="BB25" s="6" cm="1">
        <f t="array" aca="1" ref="BB25" ca="1">IFERROR( INDIRECT(ADDRESS(ROW()+1, COLUMN(), 4, TRUE, "Export-dataset")) / INDIRECT(ADDRESS(ROW(), COLUMN(), 4, TRUE, "Export-dataset")), "" )</f>
        <v>1.0273903545622585</v>
      </c>
      <c r="BC25" s="6" cm="1">
        <f t="array" aca="1" ref="BC25" ca="1">IFERROR( INDIRECT(ADDRESS(ROW()+1, COLUMN(), 4, TRUE, "Export-dataset")) / INDIRECT(ADDRESS(ROW(), COLUMN(), 4, TRUE, "Export-dataset")), "" )</f>
        <v>1.0624203821656051</v>
      </c>
      <c r="BD25" s="6" cm="1">
        <f t="array" aca="1" ref="BD25" ca="1">IFERROR( INDIRECT(ADDRESS(ROW()+1, COLUMN(), 4, TRUE, "Export-dataset")) / INDIRECT(ADDRESS(ROW(), COLUMN(), 4, TRUE, "Export-dataset")), "" )</f>
        <v>1.0214707461084274</v>
      </c>
      <c r="BE25" s="6" cm="1">
        <f t="array" aca="1" ref="BE25" ca="1">IFERROR( INDIRECT(ADDRESS(ROW()+1, COLUMN(), 4, TRUE, "Export-dataset")) / INDIRECT(ADDRESS(ROW(), COLUMN(), 4, TRUE, "Export-dataset")), "" )</f>
        <v>0.93150684931506844</v>
      </c>
      <c r="BF25" s="6" cm="1">
        <f t="array" aca="1" ref="BF25" ca="1">IFERROR( INDIRECT(ADDRESS(ROW()+1, COLUMN(), 4, TRUE, "Export-dataset")) / INDIRECT(ADDRESS(ROW(), COLUMN(), 4, TRUE, "Export-dataset")), "" )</f>
        <v>1.0170068027210883</v>
      </c>
      <c r="BG25" s="6" cm="1">
        <f t="array" aca="1" ref="BG25" ca="1">IFERROR( INDIRECT(ADDRESS(ROW()+1, COLUMN(), 4, TRUE, "Export-dataset")) / INDIRECT(ADDRESS(ROW(), COLUMN(), 4, TRUE, "Export-dataset")), "" )</f>
        <v>1.1599607458292445</v>
      </c>
      <c r="BH25" s="6" cm="1">
        <f t="array" aca="1" ref="BH25" ca="1">IFERROR( INDIRECT(ADDRESS(ROW()+1, COLUMN(), 4, TRUE, "Export-dataset")) / INDIRECT(ADDRESS(ROW(), COLUMN(), 4, TRUE, "Export-dataset")), "" )</f>
        <v>0.92743538767395628</v>
      </c>
      <c r="BI25" s="6" cm="1">
        <f t="array" aca="1" ref="BI25" ca="1">IFERROR( INDIRECT(ADDRESS(ROW()+1, COLUMN(), 4, TRUE, "Export-dataset")) / INDIRECT(ADDRESS(ROW(), COLUMN(), 4, TRUE, "Export-dataset")), "" )</f>
        <v>1.006514657980456</v>
      </c>
      <c r="BJ25" s="6" cm="1">
        <f t="array" aca="1" ref="BJ25" ca="1">IFERROR( INDIRECT(ADDRESS(ROW()+1, COLUMN(), 4, TRUE, "Export-dataset")) / INDIRECT(ADDRESS(ROW(), COLUMN(), 4, TRUE, "Export-dataset")), "" )</f>
        <v>1.1571371451419432</v>
      </c>
      <c r="BK25" s="6" cm="1">
        <f t="array" aca="1" ref="BK25" ca="1">IFERROR( INDIRECT(ADDRESS(ROW()+1, COLUMN(), 4, TRUE, "Export-dataset")) / INDIRECT(ADDRESS(ROW(), COLUMN(), 4, TRUE, "Export-dataset")), "" )</f>
        <v>0.78443579766536964</v>
      </c>
      <c r="BL25" s="6" cm="1">
        <f t="array" aca="1" ref="BL25" ca="1">IFERROR( INDIRECT(ADDRESS(ROW()+1, COLUMN(), 4, TRUE, "Export-dataset")) / INDIRECT(ADDRESS(ROW(), COLUMN(), 4, TRUE, "Export-dataset")), "" )</f>
        <v>0.9611286503551697</v>
      </c>
      <c r="BM25" s="6" cm="1">
        <f t="array" aca="1" ref="BM25" ca="1">IFERROR( INDIRECT(ADDRESS(ROW()+1, COLUMN(), 4, TRUE, "Export-dataset")) / INDIRECT(ADDRESS(ROW(), COLUMN(), 4, TRUE, "Export-dataset")), "" )</f>
        <v>1.0069930069930071</v>
      </c>
      <c r="BN25" s="6" cm="1">
        <f t="array" aca="1" ref="BN25" ca="1">IFERROR( INDIRECT(ADDRESS(ROW()+1, COLUMN(), 4, TRUE, "Export-dataset")) / INDIRECT(ADDRESS(ROW(), COLUMN(), 4, TRUE, "Export-dataset")), "" )</f>
        <v>0.93518518518518523</v>
      </c>
      <c r="BO25" s="6" cm="1">
        <f t="array" aca="1" ref="BO25" ca="1">IFERROR( INDIRECT(ADDRESS(ROW()+1, COLUMN(), 4, TRUE, "Export-dataset")) / INDIRECT(ADDRESS(ROW(), COLUMN(), 4, TRUE, "Export-dataset")), "" )</f>
        <v>0.93939393939393945</v>
      </c>
      <c r="BP25" s="6" cm="1">
        <f t="array" aca="1" ref="BP25" ca="1">IFERROR( INDIRECT(ADDRESS(ROW()+1, COLUMN(), 4, TRUE, "Export-dataset")) / INDIRECT(ADDRESS(ROW(), COLUMN(), 4, TRUE, "Export-dataset")), "" )</f>
        <v>1.0432900432900434</v>
      </c>
      <c r="BQ25" s="6" cm="1">
        <f t="array" aca="1" ref="BQ25" ca="1">IFERROR( INDIRECT(ADDRESS(ROW()+1, COLUMN(), 4, TRUE, "Export-dataset")) / INDIRECT(ADDRESS(ROW(), COLUMN(), 4, TRUE, "Export-dataset")), "" )</f>
        <v>0.97674418604651159</v>
      </c>
      <c r="BR25" s="6" cm="1">
        <f t="array" aca="1" ref="BR25" ca="1">IFERROR( INDIRECT(ADDRESS(ROW()+1, COLUMN(), 4, TRUE, "Export-dataset")) / INDIRECT(ADDRESS(ROW(), COLUMN(), 4, TRUE, "Export-dataset")), "" )</f>
        <v>0.93116634799235176</v>
      </c>
      <c r="BS25" s="6" cm="1">
        <f t="array" aca="1" ref="BS25" ca="1">IFERROR( INDIRECT(ADDRESS(ROW()+1, COLUMN(), 4, TRUE, "Export-dataset")) / INDIRECT(ADDRESS(ROW(), COLUMN(), 4, TRUE, "Export-dataset")), "" )</f>
        <v>0.8012048192771084</v>
      </c>
      <c r="BT25" s="6" cm="1">
        <f t="array" aca="1" ref="BT25" ca="1">IFERROR( INDIRECT(ADDRESS(ROW()+1, COLUMN(), 4, TRUE, "Export-dataset")) / INDIRECT(ADDRESS(ROW(), COLUMN(), 4, TRUE, "Export-dataset")), "" )</f>
        <v>1.0067114093959733</v>
      </c>
      <c r="BU25" s="6" cm="1">
        <f t="array" aca="1" ref="BU25" ca="1">IFERROR( INDIRECT(ADDRESS(ROW()+1, COLUMN(), 4, TRUE, "Export-dataset")) / INDIRECT(ADDRESS(ROW(), COLUMN(), 4, TRUE, "Export-dataset")), "" )</f>
        <v>1.020874211998497</v>
      </c>
      <c r="BV25" s="6" cm="1">
        <f t="array" aca="1" ref="BV25" ca="1">IFERROR( INDIRECT(ADDRESS(ROW()+1, COLUMN(), 4, TRUE, "Export-dataset")) / INDIRECT(ADDRESS(ROW(), COLUMN(), 4, TRUE, "Export-dataset")), "" )</f>
        <v>0.81121399176954734</v>
      </c>
      <c r="BW25" s="6" cm="1">
        <f t="array" aca="1" ref="BW25" ca="1">IFERROR( INDIRECT(ADDRESS(ROW()+1, COLUMN(), 4, TRUE, "Export-dataset")) / INDIRECT(ADDRESS(ROW(), COLUMN(), 4, TRUE, "Export-dataset")), "" )</f>
        <v>1.0326678765880217</v>
      </c>
      <c r="BX25" s="6" t="str" cm="1">
        <f t="array" aca="1" ref="BX25" ca="1">IFERROR( INDIRECT(ADDRESS(ROW()+1, COLUMN(), 4, TRUE, "Export-dataset")) / INDIRECT(ADDRESS(ROW(), COLUMN(), 4, TRUE, "Export-dataset")), "" )</f>
        <v/>
      </c>
      <c r="BY25" s="6" cm="1">
        <f t="array" aca="1" ref="BY25" ca="1">IFERROR( INDIRECT(ADDRESS(ROW()+1, COLUMN(), 4, TRUE, "Export-dataset")) / INDIRECT(ADDRESS(ROW(), COLUMN(), 4, TRUE, "Export-dataset")), "" )</f>
        <v>0.95907520595269735</v>
      </c>
      <c r="BZ25" s="6" cm="1">
        <f t="array" aca="1" ref="BZ25" ca="1">IFERROR( INDIRECT(ADDRESS(ROW()+1, COLUMN(), 4, TRUE, "Export-dataset")) / INDIRECT(ADDRESS(ROW(), COLUMN(), 4, TRUE, "Export-dataset")), "" )</f>
        <v>1.2271450858034321</v>
      </c>
      <c r="CA25" s="6" cm="1">
        <f t="array" aca="1" ref="CA25" ca="1">IFERROR( INDIRECT(ADDRESS(ROW()+1, COLUMN(), 4, TRUE, "Export-dataset")) / INDIRECT(ADDRESS(ROW(), COLUMN(), 4, TRUE, "Export-dataset")), "" )</f>
        <v>1.1759651193552982</v>
      </c>
    </row>
    <row r="26" spans="1:79">
      <c r="A26" s="6" t="s">
        <v>183</v>
      </c>
      <c r="B26" s="6" cm="1">
        <f t="array" aca="1" ref="B26" ca="1">IFERROR( INDIRECT(ADDRESS(ROW()+1, COLUMN(), 4, TRUE, "Export-dataset")) / INDIRECT(ADDRESS(ROW(), COLUMN(), 4, TRUE, "Export-dataset")), "" )</f>
        <v>1.1587065868263473</v>
      </c>
      <c r="C26" s="6" cm="1">
        <f t="array" aca="1" ref="C26" ca="1">IFERROR( INDIRECT(ADDRESS(ROW()+1, COLUMN(), 4, TRUE, "Export-dataset")) / INDIRECT(ADDRESS(ROW(), COLUMN(), 4, TRUE, "Export-dataset")), "" )</f>
        <v>0.93624454148471614</v>
      </c>
      <c r="D26" s="6" cm="1">
        <f t="array" aca="1" ref="D26" ca="1">IFERROR( INDIRECT(ADDRESS(ROW()+1, COLUMN(), 4, TRUE, "Export-dataset")) / INDIRECT(ADDRESS(ROW(), COLUMN(), 4, TRUE, "Export-dataset")), "" )</f>
        <v>1.0627515277984796</v>
      </c>
      <c r="E26" s="6" cm="1">
        <f t="array" aca="1" ref="E26" ca="1">IFERROR( INDIRECT(ADDRESS(ROW()+1, COLUMN(), 4, TRUE, "Export-dataset")) / INDIRECT(ADDRESS(ROW(), COLUMN(), 4, TRUE, "Export-dataset")), "" )</f>
        <v>1.0055555555555555</v>
      </c>
      <c r="F26" s="6" cm="1">
        <f t="array" aca="1" ref="F26" ca="1">IFERROR( INDIRECT(ADDRESS(ROW()+1, COLUMN(), 4, TRUE, "Export-dataset")) / INDIRECT(ADDRESS(ROW(), COLUMN(), 4, TRUE, "Export-dataset")), "" )</f>
        <v>1.0431795878312071</v>
      </c>
      <c r="G26" s="6" cm="1">
        <f t="array" aca="1" ref="G26" ca="1">IFERROR( INDIRECT(ADDRESS(ROW()+1, COLUMN(), 4, TRUE, "Export-dataset")) / INDIRECT(ADDRESS(ROW(), COLUMN(), 4, TRUE, "Export-dataset")), "" )</f>
        <v>1.4483111566018423</v>
      </c>
      <c r="H26" s="6" cm="1">
        <f t="array" aca="1" ref="H26" ca="1">IFERROR( INDIRECT(ADDRESS(ROW()+1, COLUMN(), 4, TRUE, "Export-dataset")) / INDIRECT(ADDRESS(ROW(), COLUMN(), 4, TRUE, "Export-dataset")), "" )</f>
        <v>1.0752411575562701</v>
      </c>
      <c r="I26" s="6" cm="1">
        <f t="array" aca="1" ref="I26" ca="1">IFERROR( INDIRECT(ADDRESS(ROW()+1, COLUMN(), 4, TRUE, "Export-dataset")) / INDIRECT(ADDRESS(ROW(), COLUMN(), 4, TRUE, "Export-dataset")), "" )</f>
        <v>0.97922848664688422</v>
      </c>
      <c r="J26" s="6" cm="1">
        <f t="array" aca="1" ref="J26" ca="1">IFERROR( INDIRECT(ADDRESS(ROW()+1, COLUMN(), 4, TRUE, "Export-dataset")) / INDIRECT(ADDRESS(ROW(), COLUMN(), 4, TRUE, "Export-dataset")), "" )</f>
        <v>1.0315789473684212</v>
      </c>
      <c r="K26" s="6" cm="1">
        <f t="array" aca="1" ref="K26" ca="1">IFERROR( INDIRECT(ADDRESS(ROW()+1, COLUMN(), 4, TRUE, "Export-dataset")) / INDIRECT(ADDRESS(ROW(), COLUMN(), 4, TRUE, "Export-dataset")), "" )</f>
        <v>1.0653465346534654</v>
      </c>
      <c r="L26" s="6" cm="1">
        <f t="array" aca="1" ref="L26" ca="1">IFERROR( INDIRECT(ADDRESS(ROW()+1, COLUMN(), 4, TRUE, "Export-dataset")) / INDIRECT(ADDRESS(ROW(), COLUMN(), 4, TRUE, "Export-dataset")), "" )</f>
        <v>1.1152882205513786</v>
      </c>
      <c r="M26" s="6" cm="1">
        <f t="array" aca="1" ref="M26" ca="1">IFERROR( INDIRECT(ADDRESS(ROW()+1, COLUMN(), 4, TRUE, "Export-dataset")) / INDIRECT(ADDRESS(ROW(), COLUMN(), 4, TRUE, "Export-dataset")), "" )</f>
        <v>0.91360066143034313</v>
      </c>
      <c r="N26" s="6" cm="1">
        <f t="array" aca="1" ref="N26" ca="1">IFERROR( INDIRECT(ADDRESS(ROW()+1, COLUMN(), 4, TRUE, "Export-dataset")) / INDIRECT(ADDRESS(ROW(), COLUMN(), 4, TRUE, "Export-dataset")), "" )</f>
        <v>0.91099476439790572</v>
      </c>
      <c r="O26" s="6" cm="1">
        <f t="array" aca="1" ref="O26" ca="1">IFERROR( INDIRECT(ADDRESS(ROW()+1, COLUMN(), 4, TRUE, "Export-dataset")) / INDIRECT(ADDRESS(ROW(), COLUMN(), 4, TRUE, "Export-dataset")), "" )</f>
        <v>0.952755905511811</v>
      </c>
      <c r="P26" s="6" cm="1">
        <f t="array" aca="1" ref="P26" ca="1">IFERROR( INDIRECT(ADDRESS(ROW()+1, COLUMN(), 4, TRUE, "Export-dataset")) / INDIRECT(ADDRESS(ROW(), COLUMN(), 4, TRUE, "Export-dataset")), "" )</f>
        <v>1.2619132313610792</v>
      </c>
      <c r="Q26" s="6" cm="1">
        <f t="array" aca="1" ref="Q26" ca="1">IFERROR( INDIRECT(ADDRESS(ROW()+1, COLUMN(), 4, TRUE, "Export-dataset")) / INDIRECT(ADDRESS(ROW(), COLUMN(), 4, TRUE, "Export-dataset")), "" )</f>
        <v>1.1805555555555556</v>
      </c>
      <c r="R26" s="6" cm="1">
        <f t="array" aca="1" ref="R26" ca="1">IFERROR( INDIRECT(ADDRESS(ROW()+1, COLUMN(), 4, TRUE, "Export-dataset")) / INDIRECT(ADDRESS(ROW(), COLUMN(), 4, TRUE, "Export-dataset")), "" )</f>
        <v>2.2380136986301369</v>
      </c>
      <c r="S26" s="6" cm="1">
        <f t="array" aca="1" ref="S26" ca="1">IFERROR( INDIRECT(ADDRESS(ROW()+1, COLUMN(), 4, TRUE, "Export-dataset")) / INDIRECT(ADDRESS(ROW(), COLUMN(), 4, TRUE, "Export-dataset")), "" )</f>
        <v>1.1333333333333333</v>
      </c>
      <c r="T26" s="6" cm="1">
        <f t="array" aca="1" ref="T26" ca="1">IFERROR( INDIRECT(ADDRESS(ROW()+1, COLUMN(), 4, TRUE, "Export-dataset")) / INDIRECT(ADDRESS(ROW(), COLUMN(), 4, TRUE, "Export-dataset")), "" )</f>
        <v>0.89802631578947367</v>
      </c>
      <c r="U26" s="6" cm="1">
        <f t="array" aca="1" ref="U26" ca="1">IFERROR( INDIRECT(ADDRESS(ROW()+1, COLUMN(), 4, TRUE, "Export-dataset")) / INDIRECT(ADDRESS(ROW(), COLUMN(), 4, TRUE, "Export-dataset")), "" )</f>
        <v>0.94318181818181823</v>
      </c>
      <c r="V26" s="6" cm="1">
        <f t="array" aca="1" ref="V26" ca="1">IFERROR( INDIRECT(ADDRESS(ROW()+1, COLUMN(), 4, TRUE, "Export-dataset")) / INDIRECT(ADDRESS(ROW(), COLUMN(), 4, TRUE, "Export-dataset")), "" )</f>
        <v>1.635623869801085</v>
      </c>
      <c r="W26" s="6" cm="1">
        <f t="array" aca="1" ref="W26" ca="1">IFERROR( INDIRECT(ADDRESS(ROW()+1, COLUMN(), 4, TRUE, "Export-dataset")) / INDIRECT(ADDRESS(ROW(), COLUMN(), 4, TRUE, "Export-dataset")), "" )</f>
        <v>1.1495844875346259</v>
      </c>
      <c r="X26" s="6" cm="1">
        <f t="array" aca="1" ref="X26" ca="1">IFERROR( INDIRECT(ADDRESS(ROW()+1, COLUMN(), 4, TRUE, "Export-dataset")) / INDIRECT(ADDRESS(ROW(), COLUMN(), 4, TRUE, "Export-dataset")), "" )</f>
        <v>1.2457521817025949</v>
      </c>
      <c r="Y26" s="6" cm="1">
        <f t="array" aca="1" ref="Y26" ca="1">IFERROR( INDIRECT(ADDRESS(ROW()+1, COLUMN(), 4, TRUE, "Export-dataset")) / INDIRECT(ADDRESS(ROW(), COLUMN(), 4, TRUE, "Export-dataset")), "" )</f>
        <v>0.97584541062801933</v>
      </c>
      <c r="Z26" s="6" cm="1">
        <f t="array" aca="1" ref="Z26" ca="1">IFERROR( INDIRECT(ADDRESS(ROW()+1, COLUMN(), 4, TRUE, "Export-dataset")) / INDIRECT(ADDRESS(ROW(), COLUMN(), 4, TRUE, "Export-dataset")), "" )</f>
        <v>1.1021940560753278</v>
      </c>
      <c r="AA26" s="6" cm="1">
        <f t="array" aca="1" ref="AA26" ca="1">IFERROR( INDIRECT(ADDRESS(ROW()+1, COLUMN(), 4, TRUE, "Export-dataset")) / INDIRECT(ADDRESS(ROW(), COLUMN(), 4, TRUE, "Export-dataset")), "" )</f>
        <v>1.0886492753623189</v>
      </c>
      <c r="AB26" s="6" cm="1">
        <f t="array" aca="1" ref="AB26" ca="1">IFERROR( INDIRECT(ADDRESS(ROW()+1, COLUMN(), 4, TRUE, "Export-dataset")) / INDIRECT(ADDRESS(ROW(), COLUMN(), 4, TRUE, "Export-dataset")), "" )</f>
        <v>1.1110596588716524</v>
      </c>
      <c r="AC26" s="6" cm="1">
        <f t="array" aca="1" ref="AC26" ca="1">IFERROR( INDIRECT(ADDRESS(ROW()+1, COLUMN(), 4, TRUE, "Export-dataset")) / INDIRECT(ADDRESS(ROW(), COLUMN(), 4, TRUE, "Export-dataset")), "" )</f>
        <v>1.146459840121812</v>
      </c>
      <c r="AD26" s="6" cm="1">
        <f t="array" aca="1" ref="AD26" ca="1">IFERROR( INDIRECT(ADDRESS(ROW()+1, COLUMN(), 4, TRUE, "Export-dataset")) / INDIRECT(ADDRESS(ROW(), COLUMN(), 4, TRUE, "Export-dataset")), "" )</f>
        <v>1.2760084925690021</v>
      </c>
      <c r="AE26" s="6" cm="1">
        <f t="array" aca="1" ref="AE26" ca="1">IFERROR( INDIRECT(ADDRESS(ROW()+1, COLUMN(), 4, TRUE, "Export-dataset")) / INDIRECT(ADDRESS(ROW(), COLUMN(), 4, TRUE, "Export-dataset")), "" )</f>
        <v>1.3496732026143792</v>
      </c>
      <c r="AF26" s="6" cm="1">
        <f t="array" aca="1" ref="AF26" ca="1">IFERROR( INDIRECT(ADDRESS(ROW()+1, COLUMN(), 4, TRUE, "Export-dataset")) / INDIRECT(ADDRESS(ROW(), COLUMN(), 4, TRUE, "Export-dataset")), "" )</f>
        <v>1.1447368421052631</v>
      </c>
      <c r="AG26" s="6" cm="1">
        <f t="array" aca="1" ref="AG26" ca="1">IFERROR( INDIRECT(ADDRESS(ROW()+1, COLUMN(), 4, TRUE, "Export-dataset")) / INDIRECT(ADDRESS(ROW(), COLUMN(), 4, TRUE, "Export-dataset")), "" )</f>
        <v>1</v>
      </c>
      <c r="AH26" s="6" cm="1">
        <f t="array" aca="1" ref="AH26" ca="1">IFERROR( INDIRECT(ADDRESS(ROW()+1, COLUMN(), 4, TRUE, "Export-dataset")) / INDIRECT(ADDRESS(ROW(), COLUMN(), 4, TRUE, "Export-dataset")), "" )</f>
        <v>0.97685929959163464</v>
      </c>
      <c r="AI26" s="6" cm="1">
        <f t="array" aca="1" ref="AI26" ca="1">IFERROR( INDIRECT(ADDRESS(ROW()+1, COLUMN(), 4, TRUE, "Export-dataset")) / INDIRECT(ADDRESS(ROW(), COLUMN(), 4, TRUE, "Export-dataset")), "" )</f>
        <v>1.0327868852459017</v>
      </c>
      <c r="AJ26" s="6" cm="1">
        <f t="array" aca="1" ref="AJ26" ca="1">IFERROR( INDIRECT(ADDRESS(ROW()+1, COLUMN(), 4, TRUE, "Export-dataset")) / INDIRECT(ADDRESS(ROW(), COLUMN(), 4, TRUE, "Export-dataset")), "" )</f>
        <v>1.0353356890459364</v>
      </c>
      <c r="AK26" s="6" cm="1">
        <f t="array" aca="1" ref="AK26" ca="1">IFERROR( INDIRECT(ADDRESS(ROW()+1, COLUMN(), 4, TRUE, "Export-dataset")) / INDIRECT(ADDRESS(ROW(), COLUMN(), 4, TRUE, "Export-dataset")), "" )</f>
        <v>1.1689291101055808</v>
      </c>
      <c r="AL26" s="6" cm="1">
        <f t="array" aca="1" ref="AL26" ca="1">IFERROR( INDIRECT(ADDRESS(ROW()+1, COLUMN(), 4, TRUE, "Export-dataset")) / INDIRECT(ADDRESS(ROW(), COLUMN(), 4, TRUE, "Export-dataset")), "" )</f>
        <v>0.93621810905452729</v>
      </c>
      <c r="AM26" s="6" cm="1">
        <f t="array" aca="1" ref="AM26" ca="1">IFERROR( INDIRECT(ADDRESS(ROW()+1, COLUMN(), 4, TRUE, "Export-dataset")) / INDIRECT(ADDRESS(ROW(), COLUMN(), 4, TRUE, "Export-dataset")), "" )</f>
        <v>0.95405819295558958</v>
      </c>
      <c r="AN26" s="6" cm="1">
        <f t="array" aca="1" ref="AN26" ca="1">IFERROR( INDIRECT(ADDRESS(ROW()+1, COLUMN(), 4, TRUE, "Export-dataset")) / INDIRECT(ADDRESS(ROW(), COLUMN(), 4, TRUE, "Export-dataset")), "" )</f>
        <v>1.2147239263803682</v>
      </c>
      <c r="AO26" s="6" cm="1">
        <f t="array" aca="1" ref="AO26" ca="1">IFERROR( INDIRECT(ADDRESS(ROW()+1, COLUMN(), 4, TRUE, "Export-dataset")) / INDIRECT(ADDRESS(ROW(), COLUMN(), 4, TRUE, "Export-dataset")), "" )</f>
        <v>0.86743515850144093</v>
      </c>
      <c r="AP26" s="6" cm="1">
        <f t="array" aca="1" ref="AP26" ca="1">IFERROR( INDIRECT(ADDRESS(ROW()+1, COLUMN(), 4, TRUE, "Export-dataset")) / INDIRECT(ADDRESS(ROW(), COLUMN(), 4, TRUE, "Export-dataset")), "" )</f>
        <v>0.93930635838150289</v>
      </c>
      <c r="AQ26" s="6" cm="1">
        <f t="array" aca="1" ref="AQ26" ca="1">IFERROR( INDIRECT(ADDRESS(ROW()+1, COLUMN(), 4, TRUE, "Export-dataset")) / INDIRECT(ADDRESS(ROW(), COLUMN(), 4, TRUE, "Export-dataset")), "" )</f>
        <v>0.96288866599799394</v>
      </c>
      <c r="AR26" s="6" cm="1">
        <f t="array" aca="1" ref="AR26" ca="1">IFERROR( INDIRECT(ADDRESS(ROW()+1, COLUMN(), 4, TRUE, "Export-dataset")) / INDIRECT(ADDRESS(ROW(), COLUMN(), 4, TRUE, "Export-dataset")), "" )</f>
        <v>1.047590953785644</v>
      </c>
      <c r="AS26" s="6" cm="1">
        <f t="array" aca="1" ref="AS26" ca="1">IFERROR( INDIRECT(ADDRESS(ROW()+1, COLUMN(), 4, TRUE, "Export-dataset")) / INDIRECT(ADDRESS(ROW(), COLUMN(), 4, TRUE, "Export-dataset")), "" )</f>
        <v>0.87681159420289856</v>
      </c>
      <c r="AT26" s="6" cm="1">
        <f t="array" aca="1" ref="AT26" ca="1">IFERROR( INDIRECT(ADDRESS(ROW()+1, COLUMN(), 4, TRUE, "Export-dataset")) / INDIRECT(ADDRESS(ROW(), COLUMN(), 4, TRUE, "Export-dataset")), "" )</f>
        <v>1.0909090909090908</v>
      </c>
      <c r="AU26" s="6" cm="1">
        <f t="array" aca="1" ref="AU26" ca="1">IFERROR( INDIRECT(ADDRESS(ROW()+1, COLUMN(), 4, TRUE, "Export-dataset")) / INDIRECT(ADDRESS(ROW(), COLUMN(), 4, TRUE, "Export-dataset")), "" )</f>
        <v>0.77483443708609268</v>
      </c>
      <c r="AV26" s="6" cm="1">
        <f t="array" aca="1" ref="AV26" ca="1">IFERROR( INDIRECT(ADDRESS(ROW()+1, COLUMN(), 4, TRUE, "Export-dataset")) / INDIRECT(ADDRESS(ROW(), COLUMN(), 4, TRUE, "Export-dataset")), "" )</f>
        <v>1.0653266331658291</v>
      </c>
      <c r="AW26" s="6" cm="1">
        <f t="array" aca="1" ref="AW26" ca="1">IFERROR( INDIRECT(ADDRESS(ROW()+1, COLUMN(), 4, TRUE, "Export-dataset")) / INDIRECT(ADDRESS(ROW(), COLUMN(), 4, TRUE, "Export-dataset")), "" )</f>
        <v>0.99622641509433962</v>
      </c>
      <c r="AX26" s="6" cm="1">
        <f t="array" aca="1" ref="AX26" ca="1">IFERROR( INDIRECT(ADDRESS(ROW()+1, COLUMN(), 4, TRUE, "Export-dataset")) / INDIRECT(ADDRESS(ROW(), COLUMN(), 4, TRUE, "Export-dataset")), "" )</f>
        <v>0.89697802197802201</v>
      </c>
      <c r="AY26" s="6" cm="1">
        <f t="array" aca="1" ref="AY26" ca="1">IFERROR( INDIRECT(ADDRESS(ROW()+1, COLUMN(), 4, TRUE, "Export-dataset")) / INDIRECT(ADDRESS(ROW(), COLUMN(), 4, TRUE, "Export-dataset")), "" )</f>
        <v>0.87891737891737887</v>
      </c>
      <c r="AZ26" s="6" cm="1">
        <f t="array" aca="1" ref="AZ26" ca="1">IFERROR( INDIRECT(ADDRESS(ROW()+1, COLUMN(), 4, TRUE, "Export-dataset")) / INDIRECT(ADDRESS(ROW(), COLUMN(), 4, TRUE, "Export-dataset")), "" )</f>
        <v>1.0956370991043052</v>
      </c>
      <c r="BA26" s="6" cm="1">
        <f t="array" aca="1" ref="BA26" ca="1">IFERROR( INDIRECT(ADDRESS(ROW()+1, COLUMN(), 4, TRUE, "Export-dataset")) / INDIRECT(ADDRESS(ROW(), COLUMN(), 4, TRUE, "Export-dataset")), "" )</f>
        <v>0.98113207547169812</v>
      </c>
      <c r="BB26" s="6" cm="1">
        <f t="array" aca="1" ref="BB26" ca="1">IFERROR( INDIRECT(ADDRESS(ROW()+1, COLUMN(), 4, TRUE, "Export-dataset")) / INDIRECT(ADDRESS(ROW(), COLUMN(), 4, TRUE, "Export-dataset")), "" )</f>
        <v>1.0292770690219168</v>
      </c>
      <c r="BC26" s="6" cm="1">
        <f t="array" aca="1" ref="BC26" ca="1">IFERROR( INDIRECT(ADDRESS(ROW()+1, COLUMN(), 4, TRUE, "Export-dataset")) / INDIRECT(ADDRESS(ROW(), COLUMN(), 4, TRUE, "Export-dataset")), "" )</f>
        <v>1.1522781774580335</v>
      </c>
      <c r="BD26" s="6" cm="1">
        <f t="array" aca="1" ref="BD26" ca="1">IFERROR( INDIRECT(ADDRESS(ROW()+1, COLUMN(), 4, TRUE, "Export-dataset")) / INDIRECT(ADDRESS(ROW(), COLUMN(), 4, TRUE, "Export-dataset")), "" )</f>
        <v>1.024172359432475</v>
      </c>
      <c r="BE26" s="6" cm="1">
        <f t="array" aca="1" ref="BE26" ca="1">IFERROR( INDIRECT(ADDRESS(ROW()+1, COLUMN(), 4, TRUE, "Export-dataset")) / INDIRECT(ADDRESS(ROW(), COLUMN(), 4, TRUE, "Export-dataset")), "" )</f>
        <v>1.1838235294117647</v>
      </c>
      <c r="BF26" s="6" cm="1">
        <f t="array" aca="1" ref="BF26" ca="1">IFERROR( INDIRECT(ADDRESS(ROW()+1, COLUMN(), 4, TRUE, "Export-dataset")) / INDIRECT(ADDRESS(ROW(), COLUMN(), 4, TRUE, "Export-dataset")), "" )</f>
        <v>1.0228539576365663</v>
      </c>
      <c r="BG26" s="6" cm="1">
        <f t="array" aca="1" ref="BG26" ca="1">IFERROR( INDIRECT(ADDRESS(ROW()+1, COLUMN(), 4, TRUE, "Export-dataset")) / INDIRECT(ADDRESS(ROW(), COLUMN(), 4, TRUE, "Export-dataset")), "" )</f>
        <v>0.97377326565143829</v>
      </c>
      <c r="BH26" s="6" cm="1">
        <f t="array" aca="1" ref="BH26" ca="1">IFERROR( INDIRECT(ADDRESS(ROW()+1, COLUMN(), 4, TRUE, "Export-dataset")) / INDIRECT(ADDRESS(ROW(), COLUMN(), 4, TRUE, "Export-dataset")), "" )</f>
        <v>1.0439442658092175</v>
      </c>
      <c r="BI26" s="6" cm="1">
        <f t="array" aca="1" ref="BI26" ca="1">IFERROR( INDIRECT(ADDRESS(ROW()+1, COLUMN(), 4, TRUE, "Export-dataset")) / INDIRECT(ADDRESS(ROW(), COLUMN(), 4, TRUE, "Export-dataset")), "" )</f>
        <v>1.007766990291262</v>
      </c>
      <c r="BJ26" s="6" cm="1">
        <f t="array" aca="1" ref="BJ26" ca="1">IFERROR( INDIRECT(ADDRESS(ROW()+1, COLUMN(), 4, TRUE, "Export-dataset")) / INDIRECT(ADDRESS(ROW(), COLUMN(), 4, TRUE, "Export-dataset")), "" )</f>
        <v>0.87802349689011749</v>
      </c>
      <c r="BK26" s="6" cm="1">
        <f t="array" aca="1" ref="BK26" ca="1">IFERROR( INDIRECT(ADDRESS(ROW()+1, COLUMN(), 4, TRUE, "Export-dataset")) / INDIRECT(ADDRESS(ROW(), COLUMN(), 4, TRUE, "Export-dataset")), "" )</f>
        <v>1.4474206349206349</v>
      </c>
      <c r="BL26" s="6" cm="1">
        <f t="array" aca="1" ref="BL26" ca="1">IFERROR( INDIRECT(ADDRESS(ROW()+1, COLUMN(), 4, TRUE, "Export-dataset")) / INDIRECT(ADDRESS(ROW(), COLUMN(), 4, TRUE, "Export-dataset")), "" )</f>
        <v>1.0638472592896735</v>
      </c>
      <c r="BM26" s="6" cm="1">
        <f t="array" aca="1" ref="BM26" ca="1">IFERROR( INDIRECT(ADDRESS(ROW()+1, COLUMN(), 4, TRUE, "Export-dataset")) / INDIRECT(ADDRESS(ROW(), COLUMN(), 4, TRUE, "Export-dataset")), "" )</f>
        <v>0.81944444444444442</v>
      </c>
      <c r="BN26" s="6" cm="1">
        <f t="array" aca="1" ref="BN26" ca="1">IFERROR( INDIRECT(ADDRESS(ROW()+1, COLUMN(), 4, TRUE, "Export-dataset")) / INDIRECT(ADDRESS(ROW(), COLUMN(), 4, TRUE, "Export-dataset")), "" )</f>
        <v>0.97029702970297027</v>
      </c>
      <c r="BO26" s="6" cm="1">
        <f t="array" aca="1" ref="BO26" ca="1">IFERROR( INDIRECT(ADDRESS(ROW()+1, COLUMN(), 4, TRUE, "Export-dataset")) / INDIRECT(ADDRESS(ROW(), COLUMN(), 4, TRUE, "Export-dataset")), "" )</f>
        <v>1</v>
      </c>
      <c r="BP26" s="6" cm="1">
        <f t="array" aca="1" ref="BP26" ca="1">IFERROR( INDIRECT(ADDRESS(ROW()+1, COLUMN(), 4, TRUE, "Export-dataset")) / INDIRECT(ADDRESS(ROW(), COLUMN(), 4, TRUE, "Export-dataset")), "" )</f>
        <v>1.0373443983402491</v>
      </c>
      <c r="BQ26" s="6" cm="1">
        <f t="array" aca="1" ref="BQ26" ca="1">IFERROR( INDIRECT(ADDRESS(ROW()+1, COLUMN(), 4, TRUE, "Export-dataset")) / INDIRECT(ADDRESS(ROW(), COLUMN(), 4, TRUE, "Export-dataset")), "" )</f>
        <v>1.2380952380952381</v>
      </c>
      <c r="BR26" s="6" cm="1">
        <f t="array" aca="1" ref="BR26" ca="1">IFERROR( INDIRECT(ADDRESS(ROW()+1, COLUMN(), 4, TRUE, "Export-dataset")) / INDIRECT(ADDRESS(ROW(), COLUMN(), 4, TRUE, "Export-dataset")), "" )</f>
        <v>0.99537987679671458</v>
      </c>
      <c r="BS26" s="6" cm="1">
        <f t="array" aca="1" ref="BS26" ca="1">IFERROR( INDIRECT(ADDRESS(ROW()+1, COLUMN(), 4, TRUE, "Export-dataset")) / INDIRECT(ADDRESS(ROW(), COLUMN(), 4, TRUE, "Export-dataset")), "" )</f>
        <v>0.97744360902255634</v>
      </c>
      <c r="BT26" s="6" cm="1">
        <f t="array" aca="1" ref="BT26" ca="1">IFERROR( INDIRECT(ADDRESS(ROW()+1, COLUMN(), 4, TRUE, "Export-dataset")) / INDIRECT(ADDRESS(ROW(), COLUMN(), 4, TRUE, "Export-dataset")), "" )</f>
        <v>1.1614285714285715</v>
      </c>
      <c r="BU26" s="6" cm="1">
        <f t="array" aca="1" ref="BU26" ca="1">IFERROR( INDIRECT(ADDRESS(ROW()+1, COLUMN(), 4, TRUE, "Export-dataset")) / INDIRECT(ADDRESS(ROW(), COLUMN(), 4, TRUE, "Export-dataset")), "" )</f>
        <v>0.97681266102318731</v>
      </c>
      <c r="BV26" s="6" cm="1">
        <f t="array" aca="1" ref="BV26" ca="1">IFERROR( INDIRECT(ADDRESS(ROW()+1, COLUMN(), 4, TRUE, "Export-dataset")) / INDIRECT(ADDRESS(ROW(), COLUMN(), 4, TRUE, "Export-dataset")), "" )</f>
        <v>0.81293595434369059</v>
      </c>
      <c r="BW26" s="6" cm="1">
        <f t="array" aca="1" ref="BW26" ca="1">IFERROR( INDIRECT(ADDRESS(ROW()+1, COLUMN(), 4, TRUE, "Export-dataset")) / INDIRECT(ADDRESS(ROW(), COLUMN(), 4, TRUE, "Export-dataset")), "" )</f>
        <v>1.5746924428822495</v>
      </c>
      <c r="BX26" s="6" t="str" cm="1">
        <f t="array" aca="1" ref="BX26" ca="1">IFERROR( INDIRECT(ADDRESS(ROW()+1, COLUMN(), 4, TRUE, "Export-dataset")) / INDIRECT(ADDRESS(ROW(), COLUMN(), 4, TRUE, "Export-dataset")), "" )</f>
        <v/>
      </c>
      <c r="BY26" s="6" cm="1">
        <f t="array" aca="1" ref="BY26" ca="1">IFERROR( INDIRECT(ADDRESS(ROW()+1, COLUMN(), 4, TRUE, "Export-dataset")) / INDIRECT(ADDRESS(ROW(), COLUMN(), 4, TRUE, "Export-dataset")), "" )</f>
        <v>1.0442643391521198</v>
      </c>
      <c r="BZ26" s="6" cm="1">
        <f t="array" aca="1" ref="BZ26" ca="1">IFERROR( INDIRECT(ADDRESS(ROW()+1, COLUMN(), 4, TRUE, "Export-dataset")) / INDIRECT(ADDRESS(ROW(), COLUMN(), 4, TRUE, "Export-dataset")), "" )</f>
        <v>0.84235952199338926</v>
      </c>
      <c r="CA26" s="6" cm="1">
        <f t="array" aca="1" ref="CA26" ca="1">IFERROR( INDIRECT(ADDRESS(ROW()+1, COLUMN(), 4, TRUE, "Export-dataset")) / INDIRECT(ADDRESS(ROW(), COLUMN(), 4, TRUE, "Export-dataset")), "" )</f>
        <v>1.1321865684879058</v>
      </c>
    </row>
    <row r="27" spans="1:79">
      <c r="A27" s="6" t="s">
        <v>184</v>
      </c>
      <c r="B27" s="6" cm="1">
        <f t="array" aca="1" ref="B27" ca="1">IFERROR( INDIRECT(ADDRESS(ROW()+1, COLUMN(), 4, TRUE, "Export-dataset")) / INDIRECT(ADDRESS(ROW(), COLUMN(), 4, TRUE, "Export-dataset")), "" )</f>
        <v>1.0444848685298496</v>
      </c>
      <c r="C27" s="6" cm="1">
        <f t="array" aca="1" ref="C27" ca="1">IFERROR( INDIRECT(ADDRESS(ROW()+1, COLUMN(), 4, TRUE, "Export-dataset")) / INDIRECT(ADDRESS(ROW(), COLUMN(), 4, TRUE, "Export-dataset")), "" )</f>
        <v>0.97854477611940294</v>
      </c>
      <c r="D27" s="6" cm="1">
        <f t="array" aca="1" ref="D27" ca="1">IFERROR( INDIRECT(ADDRESS(ROW()+1, COLUMN(), 4, TRUE, "Export-dataset")) / INDIRECT(ADDRESS(ROW(), COLUMN(), 4, TRUE, "Export-dataset")), "" )</f>
        <v>1.0099579242636747</v>
      </c>
      <c r="E27" s="6" cm="1">
        <f t="array" aca="1" ref="E27" ca="1">IFERROR( INDIRECT(ADDRESS(ROW()+1, COLUMN(), 4, TRUE, "Export-dataset")) / INDIRECT(ADDRESS(ROW(), COLUMN(), 4, TRUE, "Export-dataset")), "" )</f>
        <v>0.99907918968692444</v>
      </c>
      <c r="F27" s="6" cm="1">
        <f t="array" aca="1" ref="F27" ca="1">IFERROR( INDIRECT(ADDRESS(ROW()+1, COLUMN(), 4, TRUE, "Export-dataset")) / INDIRECT(ADDRESS(ROW(), COLUMN(), 4, TRUE, "Export-dataset")), "" )</f>
        <v>0.89651928504233303</v>
      </c>
      <c r="G27" s="6" cm="1">
        <f t="array" aca="1" ref="G27" ca="1">IFERROR( INDIRECT(ADDRESS(ROW()+1, COLUMN(), 4, TRUE, "Export-dataset")) / INDIRECT(ADDRESS(ROW(), COLUMN(), 4, TRUE, "Export-dataset")), "" )</f>
        <v>1.0644287396937573</v>
      </c>
      <c r="H27" s="6" cm="1">
        <f t="array" aca="1" ref="H27" ca="1">IFERROR( INDIRECT(ADDRESS(ROW()+1, COLUMN(), 4, TRUE, "Export-dataset")) / INDIRECT(ADDRESS(ROW(), COLUMN(), 4, TRUE, "Export-dataset")), "" )</f>
        <v>1.2452153110047848</v>
      </c>
      <c r="I27" s="6" cm="1">
        <f t="array" aca="1" ref="I27" ca="1">IFERROR( INDIRECT(ADDRESS(ROW()+1, COLUMN(), 4, TRUE, "Export-dataset")) / INDIRECT(ADDRESS(ROW(), COLUMN(), 4, TRUE, "Export-dataset")), "" )</f>
        <v>0.89393939393939392</v>
      </c>
      <c r="J27" s="6" cm="1">
        <f t="array" aca="1" ref="J27" ca="1">IFERROR( INDIRECT(ADDRESS(ROW()+1, COLUMN(), 4, TRUE, "Export-dataset")) / INDIRECT(ADDRESS(ROW(), COLUMN(), 4, TRUE, "Export-dataset")), "" )</f>
        <v>0.86054421768707479</v>
      </c>
      <c r="K27" s="6" cm="1">
        <f t="array" aca="1" ref="K27" ca="1">IFERROR( INDIRECT(ADDRESS(ROW()+1, COLUMN(), 4, TRUE, "Export-dataset")) / INDIRECT(ADDRESS(ROW(), COLUMN(), 4, TRUE, "Export-dataset")), "" )</f>
        <v>1.2100371747211895</v>
      </c>
      <c r="L27" s="6" cm="1">
        <f t="array" aca="1" ref="L27" ca="1">IFERROR( INDIRECT(ADDRESS(ROW()+1, COLUMN(), 4, TRUE, "Export-dataset")) / INDIRECT(ADDRESS(ROW(), COLUMN(), 4, TRUE, "Export-dataset")), "" )</f>
        <v>1.0269662921348315</v>
      </c>
      <c r="M27" s="6" cm="1">
        <f t="array" aca="1" ref="M27" ca="1">IFERROR( INDIRECT(ADDRESS(ROW()+1, COLUMN(), 4, TRUE, "Export-dataset")) / INDIRECT(ADDRESS(ROW(), COLUMN(), 4, TRUE, "Export-dataset")), "" )</f>
        <v>0.97375565610859727</v>
      </c>
      <c r="N27" s="6" cm="1">
        <f t="array" aca="1" ref="N27" ca="1">IFERROR( INDIRECT(ADDRESS(ROW()+1, COLUMN(), 4, TRUE, "Export-dataset")) / INDIRECT(ADDRESS(ROW(), COLUMN(), 4, TRUE, "Export-dataset")), "" )</f>
        <v>0.99137931034482762</v>
      </c>
      <c r="O27" s="6" cm="1">
        <f t="array" aca="1" ref="O27" ca="1">IFERROR( INDIRECT(ADDRESS(ROW()+1, COLUMN(), 4, TRUE, "Export-dataset")) / INDIRECT(ADDRESS(ROW(), COLUMN(), 4, TRUE, "Export-dataset")), "" )</f>
        <v>0.68595041322314054</v>
      </c>
      <c r="P27" s="6" cm="1">
        <f t="array" aca="1" ref="P27" ca="1">IFERROR( INDIRECT(ADDRESS(ROW()+1, COLUMN(), 4, TRUE, "Export-dataset")) / INDIRECT(ADDRESS(ROW(), COLUMN(), 4, TRUE, "Export-dataset")), "" )</f>
        <v>0.90029545952830881</v>
      </c>
      <c r="Q27" s="6" cm="1">
        <f t="array" aca="1" ref="Q27" ca="1">IFERROR( INDIRECT(ADDRESS(ROW()+1, COLUMN(), 4, TRUE, "Export-dataset")) / INDIRECT(ADDRESS(ROW(), COLUMN(), 4, TRUE, "Export-dataset")), "" )</f>
        <v>0.96235294117647063</v>
      </c>
      <c r="R27" s="6" cm="1">
        <f t="array" aca="1" ref="R27" ca="1">IFERROR( INDIRECT(ADDRESS(ROW()+1, COLUMN(), 4, TRUE, "Export-dataset")) / INDIRECT(ADDRESS(ROW(), COLUMN(), 4, TRUE, "Export-dataset")), "" )</f>
        <v>1.3749043611323641</v>
      </c>
      <c r="S27" s="6" cm="1">
        <f t="array" aca="1" ref="S27" ca="1">IFERROR( INDIRECT(ADDRESS(ROW()+1, COLUMN(), 4, TRUE, "Export-dataset")) / INDIRECT(ADDRESS(ROW(), COLUMN(), 4, TRUE, "Export-dataset")), "" )</f>
        <v>1.2941176470588236</v>
      </c>
      <c r="T27" s="6" cm="1">
        <f t="array" aca="1" ref="T27" ca="1">IFERROR( INDIRECT(ADDRESS(ROW()+1, COLUMN(), 4, TRUE, "Export-dataset")) / INDIRECT(ADDRESS(ROW(), COLUMN(), 4, TRUE, "Export-dataset")), "" )</f>
        <v>0.81318681318681318</v>
      </c>
      <c r="U27" s="6" cm="1">
        <f t="array" aca="1" ref="U27" ca="1">IFERROR( INDIRECT(ADDRESS(ROW()+1, COLUMN(), 4, TRUE, "Export-dataset")) / INDIRECT(ADDRESS(ROW(), COLUMN(), 4, TRUE, "Export-dataset")), "" )</f>
        <v>0.94779116465863456</v>
      </c>
      <c r="V27" s="6" cm="1">
        <f t="array" aca="1" ref="V27" ca="1">IFERROR( INDIRECT(ADDRESS(ROW()+1, COLUMN(), 4, TRUE, "Export-dataset")) / INDIRECT(ADDRESS(ROW(), COLUMN(), 4, TRUE, "Export-dataset")), "" )</f>
        <v>0.96075179657269205</v>
      </c>
      <c r="W27" s="6" cm="1">
        <f t="array" aca="1" ref="W27" ca="1">IFERROR( INDIRECT(ADDRESS(ROW()+1, COLUMN(), 4, TRUE, "Export-dataset")) / INDIRECT(ADDRESS(ROW(), COLUMN(), 4, TRUE, "Export-dataset")), "" )</f>
        <v>1.0313253012048194</v>
      </c>
      <c r="X27" s="6" cm="1">
        <f t="array" aca="1" ref="X27" ca="1">IFERROR( INDIRECT(ADDRESS(ROW()+1, COLUMN(), 4, TRUE, "Export-dataset")) / INDIRECT(ADDRESS(ROW(), COLUMN(), 4, TRUE, "Export-dataset")), "" )</f>
        <v>0.88807831038842044</v>
      </c>
      <c r="Y27" s="6" cm="1">
        <f t="array" aca="1" ref="Y27" ca="1">IFERROR( INDIRECT(ADDRESS(ROW()+1, COLUMN(), 4, TRUE, "Export-dataset")) / INDIRECT(ADDRESS(ROW(), COLUMN(), 4, TRUE, "Export-dataset")), "" )</f>
        <v>1.2722772277227723</v>
      </c>
      <c r="Z27" s="6" cm="1">
        <f t="array" aca="1" ref="Z27" ca="1">IFERROR( INDIRECT(ADDRESS(ROW()+1, COLUMN(), 4, TRUE, "Export-dataset")) / INDIRECT(ADDRESS(ROW(), COLUMN(), 4, TRUE, "Export-dataset")), "" )</f>
        <v>0.95844346949341908</v>
      </c>
      <c r="AA27" s="6" cm="1">
        <f t="array" aca="1" ref="AA27" ca="1">IFERROR( INDIRECT(ADDRESS(ROW()+1, COLUMN(), 4, TRUE, "Export-dataset")) / INDIRECT(ADDRESS(ROW(), COLUMN(), 4, TRUE, "Export-dataset")), "" )</f>
        <v>0.88536252875521859</v>
      </c>
      <c r="AB27" s="6" cm="1">
        <f t="array" aca="1" ref="AB27" ca="1">IFERROR( INDIRECT(ADDRESS(ROW()+1, COLUMN(), 4, TRUE, "Export-dataset")) / INDIRECT(ADDRESS(ROW(), COLUMN(), 4, TRUE, "Export-dataset")), "" )</f>
        <v>0.99235898860794669</v>
      </c>
      <c r="AC27" s="6" cm="1">
        <f t="array" aca="1" ref="AC27" ca="1">IFERROR( INDIRECT(ADDRESS(ROW()+1, COLUMN(), 4, TRUE, "Export-dataset")) / INDIRECT(ADDRESS(ROW(), COLUMN(), 4, TRUE, "Export-dataset")), "" )</f>
        <v>1.2029550925541628</v>
      </c>
      <c r="AD27" s="6" cm="1">
        <f t="array" aca="1" ref="AD27" ca="1">IFERROR( INDIRECT(ADDRESS(ROW()+1, COLUMN(), 4, TRUE, "Export-dataset")) / INDIRECT(ADDRESS(ROW(), COLUMN(), 4, TRUE, "Export-dataset")), "" )</f>
        <v>0.8452579034941764</v>
      </c>
      <c r="AE27" s="6" cm="1">
        <f t="array" aca="1" ref="AE27" ca="1">IFERROR( INDIRECT(ADDRESS(ROW()+1, COLUMN(), 4, TRUE, "Export-dataset")) / INDIRECT(ADDRESS(ROW(), COLUMN(), 4, TRUE, "Export-dataset")), "" )</f>
        <v>0.82082324455205813</v>
      </c>
      <c r="AF27" s="6" cm="1">
        <f t="array" aca="1" ref="AF27" ca="1">IFERROR( INDIRECT(ADDRESS(ROW()+1, COLUMN(), 4, TRUE, "Export-dataset")) / INDIRECT(ADDRESS(ROW(), COLUMN(), 4, TRUE, "Export-dataset")), "" )</f>
        <v>0.91379310344827591</v>
      </c>
      <c r="AG27" s="6" cm="1">
        <f t="array" aca="1" ref="AG27" ca="1">IFERROR( INDIRECT(ADDRESS(ROW()+1, COLUMN(), 4, TRUE, "Export-dataset")) / INDIRECT(ADDRESS(ROW(), COLUMN(), 4, TRUE, "Export-dataset")), "" )</f>
        <v>0.83333333333333337</v>
      </c>
      <c r="AH27" s="6" cm="1">
        <f t="array" aca="1" ref="AH27" ca="1">IFERROR( INDIRECT(ADDRESS(ROW()+1, COLUMN(), 4, TRUE, "Export-dataset")) / INDIRECT(ADDRESS(ROW(), COLUMN(), 4, TRUE, "Export-dataset")), "" )</f>
        <v>1.0667595642259944</v>
      </c>
      <c r="AI27" s="6" cm="1">
        <f t="array" aca="1" ref="AI27" ca="1">IFERROR( INDIRECT(ADDRESS(ROW()+1, COLUMN(), 4, TRUE, "Export-dataset")) / INDIRECT(ADDRESS(ROW(), COLUMN(), 4, TRUE, "Export-dataset")), "" )</f>
        <v>1.17989417989418</v>
      </c>
      <c r="AJ27" s="6" cm="1">
        <f t="array" aca="1" ref="AJ27" ca="1">IFERROR( INDIRECT(ADDRESS(ROW()+1, COLUMN(), 4, TRUE, "Export-dataset")) / INDIRECT(ADDRESS(ROW(), COLUMN(), 4, TRUE, "Export-dataset")), "" )</f>
        <v>1.1911262798634812</v>
      </c>
      <c r="AK27" s="6" cm="1">
        <f t="array" aca="1" ref="AK27" ca="1">IFERROR( INDIRECT(ADDRESS(ROW()+1, COLUMN(), 4, TRUE, "Export-dataset")) / INDIRECT(ADDRESS(ROW(), COLUMN(), 4, TRUE, "Export-dataset")), "" )</f>
        <v>0.86322580645161295</v>
      </c>
      <c r="AL27" s="6" cm="1">
        <f t="array" aca="1" ref="AL27" ca="1">IFERROR( INDIRECT(ADDRESS(ROW()+1, COLUMN(), 4, TRUE, "Export-dataset")) / INDIRECT(ADDRESS(ROW(), COLUMN(), 4, TRUE, "Export-dataset")), "" )</f>
        <v>1.1544215869623298</v>
      </c>
      <c r="AM27" s="6" cm="1">
        <f t="array" aca="1" ref="AM27" ca="1">IFERROR( INDIRECT(ADDRESS(ROW()+1, COLUMN(), 4, TRUE, "Export-dataset")) / INDIRECT(ADDRESS(ROW(), COLUMN(), 4, TRUE, "Export-dataset")), "" )</f>
        <v>1.0032102728731942</v>
      </c>
      <c r="AN27" s="6" cm="1">
        <f t="array" aca="1" ref="AN27" ca="1">IFERROR( INDIRECT(ADDRESS(ROW()+1, COLUMN(), 4, TRUE, "Export-dataset")) / INDIRECT(ADDRESS(ROW(), COLUMN(), 4, TRUE, "Export-dataset")), "" )</f>
        <v>0.78030303030303028</v>
      </c>
      <c r="AO27" s="6" cm="1">
        <f t="array" aca="1" ref="AO27" ca="1">IFERROR( INDIRECT(ADDRESS(ROW()+1, COLUMN(), 4, TRUE, "Export-dataset")) / INDIRECT(ADDRESS(ROW(), COLUMN(), 4, TRUE, "Export-dataset")), "" )</f>
        <v>1.0930232558139534</v>
      </c>
      <c r="AP27" s="6" cm="1">
        <f t="array" aca="1" ref="AP27" ca="1">IFERROR( INDIRECT(ADDRESS(ROW()+1, COLUMN(), 4, TRUE, "Export-dataset")) / INDIRECT(ADDRESS(ROW(), COLUMN(), 4, TRUE, "Export-dataset")), "" )</f>
        <v>0.96307692307692305</v>
      </c>
      <c r="AQ27" s="6" cm="1">
        <f t="array" aca="1" ref="AQ27" ca="1">IFERROR( INDIRECT(ADDRESS(ROW()+1, COLUMN(), 4, TRUE, "Export-dataset")) / INDIRECT(ADDRESS(ROW(), COLUMN(), 4, TRUE, "Export-dataset")), "" )</f>
        <v>0.97499999999999998</v>
      </c>
      <c r="AR27" s="6" cm="1">
        <f t="array" aca="1" ref="AR27" ca="1">IFERROR( INDIRECT(ADDRESS(ROW()+1, COLUMN(), 4, TRUE, "Export-dataset")) / INDIRECT(ADDRESS(ROW(), COLUMN(), 4, TRUE, "Export-dataset")), "" )</f>
        <v>0.86502721982354047</v>
      </c>
      <c r="AS27" s="6" cm="1">
        <f t="array" aca="1" ref="AS27" ca="1">IFERROR( INDIRECT(ADDRESS(ROW()+1, COLUMN(), 4, TRUE, "Export-dataset")) / INDIRECT(ADDRESS(ROW(), COLUMN(), 4, TRUE, "Export-dataset")), "" )</f>
        <v>0.80991735537190079</v>
      </c>
      <c r="AT27" s="6" cm="1">
        <f t="array" aca="1" ref="AT27" ca="1">IFERROR( INDIRECT(ADDRESS(ROW()+1, COLUMN(), 4, TRUE, "Export-dataset")) / INDIRECT(ADDRESS(ROW(), COLUMN(), 4, TRUE, "Export-dataset")), "" )</f>
        <v>1.0294117647058822</v>
      </c>
      <c r="AU27" s="6" cm="1">
        <f t="array" aca="1" ref="AU27" ca="1">IFERROR( INDIRECT(ADDRESS(ROW()+1, COLUMN(), 4, TRUE, "Export-dataset")) / INDIRECT(ADDRESS(ROW(), COLUMN(), 4, TRUE, "Export-dataset")), "" )</f>
        <v>0.81196581196581197</v>
      </c>
      <c r="AV27" s="6" cm="1">
        <f t="array" aca="1" ref="AV27" ca="1">IFERROR( INDIRECT(ADDRESS(ROW()+1, COLUMN(), 4, TRUE, "Export-dataset")) / INDIRECT(ADDRESS(ROW(), COLUMN(), 4, TRUE, "Export-dataset")), "" )</f>
        <v>0.94575471698113212</v>
      </c>
      <c r="AW27" s="6" cm="1">
        <f t="array" aca="1" ref="AW27" ca="1">IFERROR( INDIRECT(ADDRESS(ROW()+1, COLUMN(), 4, TRUE, "Export-dataset")) / INDIRECT(ADDRESS(ROW(), COLUMN(), 4, TRUE, "Export-dataset")), "" )</f>
        <v>0.93560606060606055</v>
      </c>
      <c r="AX27" s="6" cm="1">
        <f t="array" aca="1" ref="AX27" ca="1">IFERROR( INDIRECT(ADDRESS(ROW()+1, COLUMN(), 4, TRUE, "Export-dataset")) / INDIRECT(ADDRESS(ROW(), COLUMN(), 4, TRUE, "Export-dataset")), "" )</f>
        <v>0.93415007656967841</v>
      </c>
      <c r="AY27" s="6" cm="1">
        <f t="array" aca="1" ref="AY27" ca="1">IFERROR( INDIRECT(ADDRESS(ROW()+1, COLUMN(), 4, TRUE, "Export-dataset")) / INDIRECT(ADDRESS(ROW(), COLUMN(), 4, TRUE, "Export-dataset")), "" )</f>
        <v>0.57536466774716366</v>
      </c>
      <c r="AZ27" s="6" cm="1">
        <f t="array" aca="1" ref="AZ27" ca="1">IFERROR( INDIRECT(ADDRESS(ROW()+1, COLUMN(), 4, TRUE, "Export-dataset")) / INDIRECT(ADDRESS(ROW(), COLUMN(), 4, TRUE, "Export-dataset")), "" )</f>
        <v>0.86840717299578063</v>
      </c>
      <c r="BA27" s="6" cm="1">
        <f t="array" aca="1" ref="BA27" ca="1">IFERROR( INDIRECT(ADDRESS(ROW()+1, COLUMN(), 4, TRUE, "Export-dataset")) / INDIRECT(ADDRESS(ROW(), COLUMN(), 4, TRUE, "Export-dataset")), "" )</f>
        <v>1.0317307692307693</v>
      </c>
      <c r="BB27" s="6" cm="1">
        <f t="array" aca="1" ref="BB27" ca="1">IFERROR( INDIRECT(ADDRESS(ROW()+1, COLUMN(), 4, TRUE, "Export-dataset")) / INDIRECT(ADDRESS(ROW(), COLUMN(), 4, TRUE, "Export-dataset")), "" )</f>
        <v>1.0569680597489273</v>
      </c>
      <c r="BC27" s="6" cm="1">
        <f t="array" aca="1" ref="BC27" ca="1">IFERROR( INDIRECT(ADDRESS(ROW()+1, COLUMN(), 4, TRUE, "Export-dataset")) / INDIRECT(ADDRESS(ROW(), COLUMN(), 4, TRUE, "Export-dataset")), "" )</f>
        <v>0.87721123829344438</v>
      </c>
      <c r="BD27" s="6" cm="1">
        <f t="array" aca="1" ref="BD27" ca="1">IFERROR( INDIRECT(ADDRESS(ROW()+1, COLUMN(), 4, TRUE, "Export-dataset")) / INDIRECT(ADDRESS(ROW(), COLUMN(), 4, TRUE, "Export-dataset")), "" )</f>
        <v>1.0903027193432528</v>
      </c>
      <c r="BE27" s="6" cm="1">
        <f t="array" aca="1" ref="BE27" ca="1">IFERROR( INDIRECT(ADDRESS(ROW()+1, COLUMN(), 4, TRUE, "Export-dataset")) / INDIRECT(ADDRESS(ROW(), COLUMN(), 4, TRUE, "Export-dataset")), "" )</f>
        <v>1.0559006211180124</v>
      </c>
      <c r="BF27" s="6" cm="1">
        <f t="array" aca="1" ref="BF27" ca="1">IFERROR( INDIRECT(ADDRESS(ROW()+1, COLUMN(), 4, TRUE, "Export-dataset")) / INDIRECT(ADDRESS(ROW(), COLUMN(), 4, TRUE, "Export-dataset")), "" )</f>
        <v>1.0299727520435968</v>
      </c>
      <c r="BG27" s="6" cm="1">
        <f t="array" aca="1" ref="BG27" ca="1">IFERROR( INDIRECT(ADDRESS(ROW()+1, COLUMN(), 4, TRUE, "Export-dataset")) / INDIRECT(ADDRESS(ROW(), COLUMN(), 4, TRUE, "Export-dataset")), "" )</f>
        <v>0.96350999131190274</v>
      </c>
      <c r="BH27" s="6" cm="1">
        <f t="array" aca="1" ref="BH27" ca="1">IFERROR( INDIRECT(ADDRESS(ROW()+1, COLUMN(), 4, TRUE, "Export-dataset")) / INDIRECT(ADDRESS(ROW(), COLUMN(), 4, TRUE, "Export-dataset")), "" )</f>
        <v>1.0349075975359343</v>
      </c>
      <c r="BI27" s="6" cm="1">
        <f t="array" aca="1" ref="BI27" ca="1">IFERROR( INDIRECT(ADDRESS(ROW()+1, COLUMN(), 4, TRUE, "Export-dataset")) / INDIRECT(ADDRESS(ROW(), COLUMN(), 4, TRUE, "Export-dataset")), "" )</f>
        <v>1.0141297366730893</v>
      </c>
      <c r="BJ27" s="6" cm="1">
        <f t="array" aca="1" ref="BJ27" ca="1">IFERROR( INDIRECT(ADDRESS(ROW()+1, COLUMN(), 4, TRUE, "Export-dataset")) / INDIRECT(ADDRESS(ROW(), COLUMN(), 4, TRUE, "Export-dataset")), "" )</f>
        <v>1.1896890987800079</v>
      </c>
      <c r="BK27" s="6" cm="1">
        <f t="array" aca="1" ref="BK27" ca="1">IFERROR( INDIRECT(ADDRESS(ROW()+1, COLUMN(), 4, TRUE, "Export-dataset")) / INDIRECT(ADDRESS(ROW(), COLUMN(), 4, TRUE, "Export-dataset")), "" )</f>
        <v>1.067854694996573</v>
      </c>
      <c r="BL27" s="6" cm="1">
        <f t="array" aca="1" ref="BL27" ca="1">IFERROR( INDIRECT(ADDRESS(ROW()+1, COLUMN(), 4, TRUE, "Export-dataset")) / INDIRECT(ADDRESS(ROW(), COLUMN(), 4, TRUE, "Export-dataset")), "" )</f>
        <v>0.94982632188344274</v>
      </c>
      <c r="BM27" s="6" cm="1">
        <f t="array" aca="1" ref="BM27" ca="1">IFERROR( INDIRECT(ADDRESS(ROW()+1, COLUMN(), 4, TRUE, "Export-dataset")) / INDIRECT(ADDRESS(ROW(), COLUMN(), 4, TRUE, "Export-dataset")), "" )</f>
        <v>1.1440677966101696</v>
      </c>
      <c r="BN27" s="6" cm="1">
        <f t="array" aca="1" ref="BN27" ca="1">IFERROR( INDIRECT(ADDRESS(ROW()+1, COLUMN(), 4, TRUE, "Export-dataset")) / INDIRECT(ADDRESS(ROW(), COLUMN(), 4, TRUE, "Export-dataset")), "" )</f>
        <v>0.84693877551020413</v>
      </c>
      <c r="BO27" s="6" cm="1">
        <f t="array" aca="1" ref="BO27" ca="1">IFERROR( INDIRECT(ADDRESS(ROW()+1, COLUMN(), 4, TRUE, "Export-dataset")) / INDIRECT(ADDRESS(ROW(), COLUMN(), 4, TRUE, "Export-dataset")), "" )</f>
        <v>1.1612903225806452</v>
      </c>
      <c r="BP27" s="6" cm="1">
        <f t="array" aca="1" ref="BP27" ca="1">IFERROR( INDIRECT(ADDRESS(ROW()+1, COLUMN(), 4, TRUE, "Export-dataset")) / INDIRECT(ADDRESS(ROW(), COLUMN(), 4, TRUE, "Export-dataset")), "" )</f>
        <v>1.024</v>
      </c>
      <c r="BQ27" s="6" cm="1">
        <f t="array" aca="1" ref="BQ27" ca="1">IFERROR( INDIRECT(ADDRESS(ROW()+1, COLUMN(), 4, TRUE, "Export-dataset")) / INDIRECT(ADDRESS(ROW(), COLUMN(), 4, TRUE, "Export-dataset")), "" )</f>
        <v>0.94230769230769229</v>
      </c>
      <c r="BR27" s="6" cm="1">
        <f t="array" aca="1" ref="BR27" ca="1">IFERROR( INDIRECT(ADDRESS(ROW()+1, COLUMN(), 4, TRUE, "Export-dataset")) / INDIRECT(ADDRESS(ROW(), COLUMN(), 4, TRUE, "Export-dataset")), "" )</f>
        <v>0.93347086126869516</v>
      </c>
      <c r="BS27" s="6" cm="1">
        <f t="array" aca="1" ref="BS27" ca="1">IFERROR( INDIRECT(ADDRESS(ROW()+1, COLUMN(), 4, TRUE, "Export-dataset")) / INDIRECT(ADDRESS(ROW(), COLUMN(), 4, TRUE, "Export-dataset")), "" )</f>
        <v>0.91538461538461535</v>
      </c>
      <c r="BT27" s="6" cm="1">
        <f t="array" aca="1" ref="BT27" ca="1">IFERROR( INDIRECT(ADDRESS(ROW()+1, COLUMN(), 4, TRUE, "Export-dataset")) / INDIRECT(ADDRESS(ROW(), COLUMN(), 4, TRUE, "Export-dataset")), "" )</f>
        <v>0.94792947929479299</v>
      </c>
      <c r="BU27" s="6" cm="1">
        <f t="array" aca="1" ref="BU27" ca="1">IFERROR( INDIRECT(ADDRESS(ROW()+1, COLUMN(), 4, TRUE, "Export-dataset")) / INDIRECT(ADDRESS(ROW(), COLUMN(), 4, TRUE, "Export-dataset")), "" )</f>
        <v>0.95340366742024618</v>
      </c>
      <c r="BV27" s="6" cm="1">
        <f t="array" aca="1" ref="BV27" ca="1">IFERROR( INDIRECT(ADDRESS(ROW()+1, COLUMN(), 4, TRUE, "Export-dataset")) / INDIRECT(ADDRESS(ROW(), COLUMN(), 4, TRUE, "Export-dataset")), "" )</f>
        <v>0.80655226209048358</v>
      </c>
      <c r="BW27" s="6" cm="1">
        <f t="array" aca="1" ref="BW27" ca="1">IFERROR( INDIRECT(ADDRESS(ROW()+1, COLUMN(), 4, TRUE, "Export-dataset")) / INDIRECT(ADDRESS(ROW(), COLUMN(), 4, TRUE, "Export-dataset")), "" )</f>
        <v>0.8169642857142857</v>
      </c>
      <c r="BX27" s="6" t="str" cm="1">
        <f t="array" aca="1" ref="BX27" ca="1">IFERROR( INDIRECT(ADDRESS(ROW()+1, COLUMN(), 4, TRUE, "Export-dataset")) / INDIRECT(ADDRESS(ROW(), COLUMN(), 4, TRUE, "Export-dataset")), "" )</f>
        <v/>
      </c>
      <c r="BY27" s="6" cm="1">
        <f t="array" aca="1" ref="BY27" ca="1">IFERROR( INDIRECT(ADDRESS(ROW()+1, COLUMN(), 4, TRUE, "Export-dataset")) / INDIRECT(ADDRESS(ROW(), COLUMN(), 4, TRUE, "Export-dataset")), "" )</f>
        <v>1.0299170812603649</v>
      </c>
      <c r="BZ27" s="6" cm="1">
        <f t="array" aca="1" ref="BZ27" ca="1">IFERROR( INDIRECT(ADDRESS(ROW()+1, COLUMN(), 4, TRUE, "Export-dataset")) / INDIRECT(ADDRESS(ROW(), COLUMN(), 4, TRUE, "Export-dataset")), "" )</f>
        <v>0.82749773619076361</v>
      </c>
      <c r="CA27" s="6" cm="1">
        <f t="array" aca="1" ref="CA27" ca="1">IFERROR( INDIRECT(ADDRESS(ROW()+1, COLUMN(), 4, TRUE, "Export-dataset")) / INDIRECT(ADDRESS(ROW(), COLUMN(), 4, TRUE, "Export-dataset")), "" )</f>
        <v>0.94670171992800833</v>
      </c>
    </row>
    <row r="28" spans="1:79">
      <c r="A28" s="6" t="s">
        <v>185</v>
      </c>
      <c r="B28" s="6" cm="1">
        <f t="array" aca="1" ref="B28" ca="1">IFERROR( INDIRECT(ADDRESS(ROW()+1, COLUMN(), 4, TRUE, "Export-dataset")) / INDIRECT(ADDRESS(ROW(), COLUMN(), 4, TRUE, "Export-dataset")), "" )</f>
        <v>1.0731871437618745</v>
      </c>
      <c r="C28" s="6" cm="1">
        <f t="array" aca="1" ref="C28" ca="1">IFERROR( INDIRECT(ADDRESS(ROW()+1, COLUMN(), 4, TRUE, "Export-dataset")) / INDIRECT(ADDRESS(ROW(), COLUMN(), 4, TRUE, "Export-dataset")), "" )</f>
        <v>0.98760724499523356</v>
      </c>
      <c r="D28" s="6" cm="1">
        <f t="array" aca="1" ref="D28" ca="1">IFERROR( INDIRECT(ADDRESS(ROW()+1, COLUMN(), 4, TRUE, "Export-dataset")) / INDIRECT(ADDRESS(ROW(), COLUMN(), 4, TRUE, "Export-dataset")), "" )</f>
        <v>1.2013609220941537</v>
      </c>
      <c r="E28" s="6" cm="1">
        <f t="array" aca="1" ref="E28" ca="1">IFERROR( INDIRECT(ADDRESS(ROW()+1, COLUMN(), 4, TRUE, "Export-dataset")) / INDIRECT(ADDRESS(ROW(), COLUMN(), 4, TRUE, "Export-dataset")), "" )</f>
        <v>1.0622119815668203</v>
      </c>
      <c r="F28" s="6" cm="1">
        <f t="array" aca="1" ref="F28" ca="1">IFERROR( INDIRECT(ADDRESS(ROW()+1, COLUMN(), 4, TRUE, "Export-dataset")) / INDIRECT(ADDRESS(ROW(), COLUMN(), 4, TRUE, "Export-dataset")), "" )</f>
        <v>1.074501573976915</v>
      </c>
      <c r="G28" s="6" cm="1">
        <f t="array" aca="1" ref="G28" ca="1">IFERROR( INDIRECT(ADDRESS(ROW()+1, COLUMN(), 4, TRUE, "Export-dataset")) / INDIRECT(ADDRESS(ROW(), COLUMN(), 4, TRUE, "Export-dataset")), "" )</f>
        <v>1.0046475600309837</v>
      </c>
      <c r="H28" s="6" cm="1">
        <f t="array" aca="1" ref="H28" ca="1">IFERROR( INDIRECT(ADDRESS(ROW()+1, COLUMN(), 4, TRUE, "Export-dataset")) / INDIRECT(ADDRESS(ROW(), COLUMN(), 4, TRUE, "Export-dataset")), "" )</f>
        <v>1.0662824207492796</v>
      </c>
      <c r="I28" s="6" cm="1">
        <f t="array" aca="1" ref="I28" ca="1">IFERROR( INDIRECT(ADDRESS(ROW()+1, COLUMN(), 4, TRUE, "Export-dataset")) / INDIRECT(ADDRESS(ROW(), COLUMN(), 4, TRUE, "Export-dataset")), "" )</f>
        <v>0.97288135593220337</v>
      </c>
      <c r="J28" s="6" cm="1">
        <f t="array" aca="1" ref="J28" ca="1">IFERROR( INDIRECT(ADDRESS(ROW()+1, COLUMN(), 4, TRUE, "Export-dataset")) / INDIRECT(ADDRESS(ROW(), COLUMN(), 4, TRUE, "Export-dataset")), "" )</f>
        <v>1.0118577075098814</v>
      </c>
      <c r="K28" s="6" cm="1">
        <f t="array" aca="1" ref="K28" ca="1">IFERROR( INDIRECT(ADDRESS(ROW()+1, COLUMN(), 4, TRUE, "Export-dataset")) / INDIRECT(ADDRESS(ROW(), COLUMN(), 4, TRUE, "Export-dataset")), "" )</f>
        <v>0.89400921658986177</v>
      </c>
      <c r="L28" s="6" cm="1">
        <f t="array" aca="1" ref="L28" ca="1">IFERROR( INDIRECT(ADDRESS(ROW()+1, COLUMN(), 4, TRUE, "Export-dataset")) / INDIRECT(ADDRESS(ROW(), COLUMN(), 4, TRUE, "Export-dataset")), "" )</f>
        <v>1.1958424507658643</v>
      </c>
      <c r="M28" s="6" cm="1">
        <f t="array" aca="1" ref="M28" ca="1">IFERROR( INDIRECT(ADDRESS(ROW()+1, COLUMN(), 4, TRUE, "Export-dataset")) / INDIRECT(ADDRESS(ROW(), COLUMN(), 4, TRUE, "Export-dataset")), "" )</f>
        <v>0.97676579925650553</v>
      </c>
      <c r="N28" s="6" cm="1">
        <f t="array" aca="1" ref="N28" ca="1">IFERROR( INDIRECT(ADDRESS(ROW()+1, COLUMN(), 4, TRUE, "Export-dataset")) / INDIRECT(ADDRESS(ROW(), COLUMN(), 4, TRUE, "Export-dataset")), "" )</f>
        <v>0.98840579710144927</v>
      </c>
      <c r="O28" s="6" cm="1">
        <f t="array" aca="1" ref="O28" ca="1">IFERROR( INDIRECT(ADDRESS(ROW()+1, COLUMN(), 4, TRUE, "Export-dataset")) / INDIRECT(ADDRESS(ROW(), COLUMN(), 4, TRUE, "Export-dataset")), "" )</f>
        <v>0.67469879518072284</v>
      </c>
      <c r="P28" s="6" cm="1">
        <f t="array" aca="1" ref="P28" ca="1">IFERROR( INDIRECT(ADDRESS(ROW()+1, COLUMN(), 4, TRUE, "Export-dataset")) / INDIRECT(ADDRESS(ROW(), COLUMN(), 4, TRUE, "Export-dataset")), "" )</f>
        <v>1.1800470817436479</v>
      </c>
      <c r="Q28" s="6" cm="1">
        <f t="array" aca="1" ref="Q28" ca="1">IFERROR( INDIRECT(ADDRESS(ROW()+1, COLUMN(), 4, TRUE, "Export-dataset")) / INDIRECT(ADDRESS(ROW(), COLUMN(), 4, TRUE, "Export-dataset")), "" )</f>
        <v>1.2591687041564792</v>
      </c>
      <c r="R28" s="6" cm="1">
        <f t="array" aca="1" ref="R28" ca="1">IFERROR( INDIRECT(ADDRESS(ROW()+1, COLUMN(), 4, TRUE, "Export-dataset")) / INDIRECT(ADDRESS(ROW(), COLUMN(), 4, TRUE, "Export-dataset")), "" )</f>
        <v>1.4151363383416806</v>
      </c>
      <c r="S28" s="6" cm="1">
        <f t="array" aca="1" ref="S28" ca="1">IFERROR( INDIRECT(ADDRESS(ROW()+1, COLUMN(), 4, TRUE, "Export-dataset")) / INDIRECT(ADDRESS(ROW(), COLUMN(), 4, TRUE, "Export-dataset")), "" )</f>
        <v>0.86363636363636365</v>
      </c>
      <c r="T28" s="6" cm="1">
        <f t="array" aca="1" ref="T28" ca="1">IFERROR( INDIRECT(ADDRESS(ROW()+1, COLUMN(), 4, TRUE, "Export-dataset")) / INDIRECT(ADDRESS(ROW(), COLUMN(), 4, TRUE, "Export-dataset")), "" )</f>
        <v>1.0957207207207207</v>
      </c>
      <c r="U28" s="6" cm="1">
        <f t="array" aca="1" ref="U28" ca="1">IFERROR( INDIRECT(ADDRESS(ROW()+1, COLUMN(), 4, TRUE, "Export-dataset")) / INDIRECT(ADDRESS(ROW(), COLUMN(), 4, TRUE, "Export-dataset")), "" )</f>
        <v>0.97881355932203384</v>
      </c>
      <c r="V28" s="6" cm="1">
        <f t="array" aca="1" ref="V28" ca="1">IFERROR( INDIRECT(ADDRESS(ROW()+1, COLUMN(), 4, TRUE, "Export-dataset")) / INDIRECT(ADDRESS(ROW(), COLUMN(), 4, TRUE, "Export-dataset")), "" )</f>
        <v>1.0140007671653242</v>
      </c>
      <c r="W28" s="6" cm="1">
        <f t="array" aca="1" ref="W28" ca="1">IFERROR( INDIRECT(ADDRESS(ROW()+1, COLUMN(), 4, TRUE, "Export-dataset")) / INDIRECT(ADDRESS(ROW(), COLUMN(), 4, TRUE, "Export-dataset")), "" )</f>
        <v>0.7570093457943925</v>
      </c>
      <c r="X28" s="6" cm="1">
        <f t="array" aca="1" ref="X28" ca="1">IFERROR( INDIRECT(ADDRESS(ROW()+1, COLUMN(), 4, TRUE, "Export-dataset")) / INDIRECT(ADDRESS(ROW(), COLUMN(), 4, TRUE, "Export-dataset")), "" )</f>
        <v>1.1893144924318606</v>
      </c>
      <c r="Y28" s="6" cm="1">
        <f t="array" aca="1" ref="Y28" ca="1">IFERROR( INDIRECT(ADDRESS(ROW()+1, COLUMN(), 4, TRUE, "Export-dataset")) / INDIRECT(ADDRESS(ROW(), COLUMN(), 4, TRUE, "Export-dataset")), "" )</f>
        <v>1.1089494163424125</v>
      </c>
      <c r="Z28" s="6" cm="1">
        <f t="array" aca="1" ref="Z28" ca="1">IFERROR( INDIRECT(ADDRESS(ROW()+1, COLUMN(), 4, TRUE, "Export-dataset")) / INDIRECT(ADDRESS(ROW(), COLUMN(), 4, TRUE, "Export-dataset")), "" )</f>
        <v>0.95975491868531781</v>
      </c>
      <c r="AA28" s="6" cm="1">
        <f t="array" aca="1" ref="AA28" ca="1">IFERROR( INDIRECT(ADDRESS(ROW()+1, COLUMN(), 4, TRUE, "Export-dataset")) / INDIRECT(ADDRESS(ROW(), COLUMN(), 4, TRUE, "Export-dataset")), "" )</f>
        <v>0.96254150026463936</v>
      </c>
      <c r="AB28" s="6" cm="1">
        <f t="array" aca="1" ref="AB28" ca="1">IFERROR( INDIRECT(ADDRESS(ROW()+1, COLUMN(), 4, TRUE, "Export-dataset")) / INDIRECT(ADDRESS(ROW(), COLUMN(), 4, TRUE, "Export-dataset")), "" )</f>
        <v>0.82479350412991737</v>
      </c>
      <c r="AC28" s="6" cm="1">
        <f t="array" aca="1" ref="AC28" ca="1">IFERROR( INDIRECT(ADDRESS(ROW()+1, COLUMN(), 4, TRUE, "Export-dataset")) / INDIRECT(ADDRESS(ROW(), COLUMN(), 4, TRUE, "Export-dataset")), "" )</f>
        <v>1.0848054098813138</v>
      </c>
      <c r="AD28" s="6" cm="1">
        <f t="array" aca="1" ref="AD28" ca="1">IFERROR( INDIRECT(ADDRESS(ROW()+1, COLUMN(), 4, TRUE, "Export-dataset")) / INDIRECT(ADDRESS(ROW(), COLUMN(), 4, TRUE, "Export-dataset")), "" )</f>
        <v>1.2677165354330708</v>
      </c>
      <c r="AE28" s="6" cm="1">
        <f t="array" aca="1" ref="AE28" ca="1">IFERROR( INDIRECT(ADDRESS(ROW()+1, COLUMN(), 4, TRUE, "Export-dataset")) / INDIRECT(ADDRESS(ROW(), COLUMN(), 4, TRUE, "Export-dataset")), "" )</f>
        <v>1.1946902654867257</v>
      </c>
      <c r="AF28" s="6" cm="1">
        <f t="array" aca="1" ref="AF28" ca="1">IFERROR( INDIRECT(ADDRESS(ROW()+1, COLUMN(), 4, TRUE, "Export-dataset")) / INDIRECT(ADDRESS(ROW(), COLUMN(), 4, TRUE, "Export-dataset")), "" )</f>
        <v>1.3647798742138364</v>
      </c>
      <c r="AG28" s="6" cm="1">
        <f t="array" aca="1" ref="AG28" ca="1">IFERROR( INDIRECT(ADDRESS(ROW()+1, COLUMN(), 4, TRUE, "Export-dataset")) / INDIRECT(ADDRESS(ROW(), COLUMN(), 4, TRUE, "Export-dataset")), "" )</f>
        <v>2.2000000000000002</v>
      </c>
      <c r="AH28" s="6" cm="1">
        <f t="array" aca="1" ref="AH28" ca="1">IFERROR( INDIRECT(ADDRESS(ROW()+1, COLUMN(), 4, TRUE, "Export-dataset")) / INDIRECT(ADDRESS(ROW(), COLUMN(), 4, TRUE, "Export-dataset")), "" )</f>
        <v>0.92506828167676047</v>
      </c>
      <c r="AI28" s="6" cm="1">
        <f t="array" aca="1" ref="AI28" ca="1">IFERROR( INDIRECT(ADDRESS(ROW()+1, COLUMN(), 4, TRUE, "Export-dataset")) / INDIRECT(ADDRESS(ROW(), COLUMN(), 4, TRUE, "Export-dataset")), "" )</f>
        <v>0.75336322869955152</v>
      </c>
      <c r="AJ28" s="6" cm="1">
        <f t="array" aca="1" ref="AJ28" ca="1">IFERROR( INDIRECT(ADDRESS(ROW()+1, COLUMN(), 4, TRUE, "Export-dataset")) / INDIRECT(ADDRESS(ROW(), COLUMN(), 4, TRUE, "Export-dataset")), "" )</f>
        <v>1.1991404011461317</v>
      </c>
      <c r="AK28" s="6" cm="1">
        <f t="array" aca="1" ref="AK28" ca="1">IFERROR( INDIRECT(ADDRESS(ROW()+1, COLUMN(), 4, TRUE, "Export-dataset")) / INDIRECT(ADDRESS(ROW(), COLUMN(), 4, TRUE, "Export-dataset")), "" )</f>
        <v>1.0284005979073243</v>
      </c>
      <c r="AL28" s="6" cm="1">
        <f t="array" aca="1" ref="AL28" ca="1">IFERROR( INDIRECT(ADDRESS(ROW()+1, COLUMN(), 4, TRUE, "Export-dataset")) / INDIRECT(ADDRESS(ROW(), COLUMN(), 4, TRUE, "Export-dataset")), "" )</f>
        <v>0.82457764406387413</v>
      </c>
      <c r="AM28" s="6" cm="1">
        <f t="array" aca="1" ref="AM28" ca="1">IFERROR( INDIRECT(ADDRESS(ROW()+1, COLUMN(), 4, TRUE, "Export-dataset")) / INDIRECT(ADDRESS(ROW(), COLUMN(), 4, TRUE, "Export-dataset")), "" )</f>
        <v>1.1024</v>
      </c>
      <c r="AN28" s="6" cm="1">
        <f t="array" aca="1" ref="AN28" ca="1">IFERROR( INDIRECT(ADDRESS(ROW()+1, COLUMN(), 4, TRUE, "Export-dataset")) / INDIRECT(ADDRESS(ROW(), COLUMN(), 4, TRUE, "Export-dataset")), "" )</f>
        <v>0.66990291262135926</v>
      </c>
      <c r="AO28" s="6" cm="1">
        <f t="array" aca="1" ref="AO28" ca="1">IFERROR( INDIRECT(ADDRESS(ROW()+1, COLUMN(), 4, TRUE, "Export-dataset")) / INDIRECT(ADDRESS(ROW(), COLUMN(), 4, TRUE, "Export-dataset")), "" )</f>
        <v>0.88753799392097266</v>
      </c>
      <c r="AP28" s="6" cm="1">
        <f t="array" aca="1" ref="AP28" ca="1">IFERROR( INDIRECT(ADDRESS(ROW()+1, COLUMN(), 4, TRUE, "Export-dataset")) / INDIRECT(ADDRESS(ROW(), COLUMN(), 4, TRUE, "Export-dataset")), "" )</f>
        <v>1.0447284345047922</v>
      </c>
      <c r="AQ28" s="6" cm="1">
        <f t="array" aca="1" ref="AQ28" ca="1">IFERROR( INDIRECT(ADDRESS(ROW()+1, COLUMN(), 4, TRUE, "Export-dataset")) / INDIRECT(ADDRESS(ROW(), COLUMN(), 4, TRUE, "Export-dataset")), "" )</f>
        <v>1.0865384615384615</v>
      </c>
      <c r="AR28" s="6" cm="1">
        <f t="array" aca="1" ref="AR28" ca="1">IFERROR( INDIRECT(ADDRESS(ROW()+1, COLUMN(), 4, TRUE, "Export-dataset")) / INDIRECT(ADDRESS(ROW(), COLUMN(), 4, TRUE, "Export-dataset")), "" )</f>
        <v>1.0471643518518519</v>
      </c>
      <c r="AS28" s="6" cm="1">
        <f t="array" aca="1" ref="AS28" ca="1">IFERROR( INDIRECT(ADDRESS(ROW()+1, COLUMN(), 4, TRUE, "Export-dataset")) / INDIRECT(ADDRESS(ROW(), COLUMN(), 4, TRUE, "Export-dataset")), "" )</f>
        <v>1.1071428571428572</v>
      </c>
      <c r="AT28" s="6" cm="1">
        <f t="array" aca="1" ref="AT28" ca="1">IFERROR( INDIRECT(ADDRESS(ROW()+1, COLUMN(), 4, TRUE, "Export-dataset")) / INDIRECT(ADDRESS(ROW(), COLUMN(), 4, TRUE, "Export-dataset")), "" )</f>
        <v>0.95238095238095233</v>
      </c>
      <c r="AU28" s="6" cm="1">
        <f t="array" aca="1" ref="AU28" ca="1">IFERROR( INDIRECT(ADDRESS(ROW()+1, COLUMN(), 4, TRUE, "Export-dataset")) / INDIRECT(ADDRESS(ROW(), COLUMN(), 4, TRUE, "Export-dataset")), "" )</f>
        <v>0.78947368421052633</v>
      </c>
      <c r="AV28" s="6" cm="1">
        <f t="array" aca="1" ref="AV28" ca="1">IFERROR( INDIRECT(ADDRESS(ROW()+1, COLUMN(), 4, TRUE, "Export-dataset")) / INDIRECT(ADDRESS(ROW(), COLUMN(), 4, TRUE, "Export-dataset")), "" )</f>
        <v>1.1658354114713216</v>
      </c>
      <c r="AW28" s="6" cm="1">
        <f t="array" aca="1" ref="AW28" ca="1">IFERROR( INDIRECT(ADDRESS(ROW()+1, COLUMN(), 4, TRUE, "Export-dataset")) / INDIRECT(ADDRESS(ROW(), COLUMN(), 4, TRUE, "Export-dataset")), "" )</f>
        <v>0.94331983805668018</v>
      </c>
      <c r="AX28" s="6" cm="1">
        <f t="array" aca="1" ref="AX28" ca="1">IFERROR( INDIRECT(ADDRESS(ROW()+1, COLUMN(), 4, TRUE, "Export-dataset")) / INDIRECT(ADDRESS(ROW(), COLUMN(), 4, TRUE, "Export-dataset")), "" )</f>
        <v>1.3524590163934427</v>
      </c>
      <c r="AY28" s="6" cm="1">
        <f t="array" aca="1" ref="AY28" ca="1">IFERROR( INDIRECT(ADDRESS(ROW()+1, COLUMN(), 4, TRUE, "Export-dataset")) / INDIRECT(ADDRESS(ROW(), COLUMN(), 4, TRUE, "Export-dataset")), "" )</f>
        <v>0.9746478873239437</v>
      </c>
      <c r="AZ28" s="6" cm="1">
        <f t="array" aca="1" ref="AZ28" ca="1">IFERROR( INDIRECT(ADDRESS(ROW()+1, COLUMN(), 4, TRUE, "Export-dataset")) / INDIRECT(ADDRESS(ROW(), COLUMN(), 4, TRUE, "Export-dataset")), "" )</f>
        <v>1.0352262374734285</v>
      </c>
      <c r="BA28" s="6" cm="1">
        <f t="array" aca="1" ref="BA28" ca="1">IFERROR( INDIRECT(ADDRESS(ROW()+1, COLUMN(), 4, TRUE, "Export-dataset")) / INDIRECT(ADDRESS(ROW(), COLUMN(), 4, TRUE, "Export-dataset")), "" )</f>
        <v>0.99534016775396084</v>
      </c>
      <c r="BB28" s="6" cm="1">
        <f t="array" aca="1" ref="BB28" ca="1">IFERROR( INDIRECT(ADDRESS(ROW()+1, COLUMN(), 4, TRUE, "Export-dataset")) / INDIRECT(ADDRESS(ROW(), COLUMN(), 4, TRUE, "Export-dataset")), "" )</f>
        <v>1.0234533563857777</v>
      </c>
      <c r="BC28" s="6" cm="1">
        <f t="array" aca="1" ref="BC28" ca="1">IFERROR( INDIRECT(ADDRESS(ROW()+1, COLUMN(), 4, TRUE, "Export-dataset")) / INDIRECT(ADDRESS(ROW(), COLUMN(), 4, TRUE, "Export-dataset")), "" )</f>
        <v>1.066429418742586</v>
      </c>
      <c r="BD28" s="6" cm="1">
        <f t="array" aca="1" ref="BD28" ca="1">IFERROR( INDIRECT(ADDRESS(ROW()+1, COLUMN(), 4, TRUE, "Export-dataset")) / INDIRECT(ADDRESS(ROW(), COLUMN(), 4, TRUE, "Export-dataset")), "" )</f>
        <v>0.93176470588235294</v>
      </c>
      <c r="BE28" s="6" cm="1">
        <f t="array" aca="1" ref="BE28" ca="1">IFERROR( INDIRECT(ADDRESS(ROW()+1, COLUMN(), 4, TRUE, "Export-dataset")) / INDIRECT(ADDRESS(ROW(), COLUMN(), 4, TRUE, "Export-dataset")), "" )</f>
        <v>0.95882352941176474</v>
      </c>
      <c r="BF28" s="6" cm="1">
        <f t="array" aca="1" ref="BF28" ca="1">IFERROR( INDIRECT(ADDRESS(ROW()+1, COLUMN(), 4, TRUE, "Export-dataset")) / INDIRECT(ADDRESS(ROW(), COLUMN(), 4, TRUE, "Export-dataset")), "" )</f>
        <v>1.0068783068783069</v>
      </c>
      <c r="BG28" s="6" cm="1">
        <f t="array" aca="1" ref="BG28" ca="1">IFERROR( INDIRECT(ADDRESS(ROW()+1, COLUMN(), 4, TRUE, "Export-dataset")) / INDIRECT(ADDRESS(ROW(), COLUMN(), 4, TRUE, "Export-dataset")), "" )</f>
        <v>1.1424706943192064</v>
      </c>
      <c r="BH28" s="6" cm="1">
        <f t="array" aca="1" ref="BH28" ca="1">IFERROR( INDIRECT(ADDRESS(ROW()+1, COLUMN(), 4, TRUE, "Export-dataset")) / INDIRECT(ADDRESS(ROW(), COLUMN(), 4, TRUE, "Export-dataset")), "" )</f>
        <v>1.1259920634920635</v>
      </c>
      <c r="BI28" s="6" cm="1">
        <f t="array" aca="1" ref="BI28" ca="1">IFERROR( INDIRECT(ADDRESS(ROW()+1, COLUMN(), 4, TRUE, "Export-dataset")) / INDIRECT(ADDRESS(ROW(), COLUMN(), 4, TRUE, "Export-dataset")), "" )</f>
        <v>0.9385687143761875</v>
      </c>
      <c r="BJ28" s="6" cm="1">
        <f t="array" aca="1" ref="BJ28" ca="1">IFERROR( INDIRECT(ADDRESS(ROW()+1, COLUMN(), 4, TRUE, "Export-dataset")) / INDIRECT(ADDRESS(ROW(), COLUMN(), 4, TRUE, "Export-dataset")), "" )</f>
        <v>1.0145550777373471</v>
      </c>
      <c r="BK28" s="6" cm="1">
        <f t="array" aca="1" ref="BK28" ca="1">IFERROR( INDIRECT(ADDRESS(ROW()+1, COLUMN(), 4, TRUE, "Export-dataset")) / INDIRECT(ADDRESS(ROW(), COLUMN(), 4, TRUE, "Export-dataset")), "" )</f>
        <v>1.1065468549422337</v>
      </c>
      <c r="BL28" s="6" cm="1">
        <f t="array" aca="1" ref="BL28" ca="1">IFERROR( INDIRECT(ADDRESS(ROW()+1, COLUMN(), 4, TRUE, "Export-dataset")) / INDIRECT(ADDRESS(ROW(), COLUMN(), 4, TRUE, "Export-dataset")), "" )</f>
        <v>1.0233644859813085</v>
      </c>
      <c r="BM28" s="6" cm="1">
        <f t="array" aca="1" ref="BM28" ca="1">IFERROR( INDIRECT(ADDRESS(ROW()+1, COLUMN(), 4, TRUE, "Export-dataset")) / INDIRECT(ADDRESS(ROW(), COLUMN(), 4, TRUE, "Export-dataset")), "" )</f>
        <v>1.2370370370370369</v>
      </c>
      <c r="BN28" s="6" cm="1">
        <f t="array" aca="1" ref="BN28" ca="1">IFERROR( INDIRECT(ADDRESS(ROW()+1, COLUMN(), 4, TRUE, "Export-dataset")) / INDIRECT(ADDRESS(ROW(), COLUMN(), 4, TRUE, "Export-dataset")), "" )</f>
        <v>1.036144578313253</v>
      </c>
      <c r="BO28" s="6" cm="1">
        <f t="array" aca="1" ref="BO28" ca="1">IFERROR( INDIRECT(ADDRESS(ROW()+1, COLUMN(), 4, TRUE, "Export-dataset")) / INDIRECT(ADDRESS(ROW(), COLUMN(), 4, TRUE, "Export-dataset")), "" )</f>
        <v>1.0833333333333333</v>
      </c>
      <c r="BP28" s="6" cm="1">
        <f t="array" aca="1" ref="BP28" ca="1">IFERROR( INDIRECT(ADDRESS(ROW()+1, COLUMN(), 4, TRUE, "Export-dataset")) / INDIRECT(ADDRESS(ROW(), COLUMN(), 4, TRUE, "Export-dataset")), "" )</f>
        <v>0.9296875</v>
      </c>
      <c r="BQ28" s="6" cm="1">
        <f t="array" aca="1" ref="BQ28" ca="1">IFERROR( INDIRECT(ADDRESS(ROW()+1, COLUMN(), 4, TRUE, "Export-dataset")) / INDIRECT(ADDRESS(ROW(), COLUMN(), 4, TRUE, "Export-dataset")), "" )</f>
        <v>1.1632653061224489</v>
      </c>
      <c r="BR28" s="6" cm="1">
        <f t="array" aca="1" ref="BR28" ca="1">IFERROR( INDIRECT(ADDRESS(ROW()+1, COLUMN(), 4, TRUE, "Export-dataset")) / INDIRECT(ADDRESS(ROW(), COLUMN(), 4, TRUE, "Export-dataset")), "" )</f>
        <v>1.0348066298342542</v>
      </c>
      <c r="BS28" s="6" cm="1">
        <f t="array" aca="1" ref="BS28" ca="1">IFERROR( INDIRECT(ADDRESS(ROW()+1, COLUMN(), 4, TRUE, "Export-dataset")) / INDIRECT(ADDRESS(ROW(), COLUMN(), 4, TRUE, "Export-dataset")), "" )</f>
        <v>1.0336134453781514</v>
      </c>
      <c r="BT28" s="6" cm="1">
        <f t="array" aca="1" ref="BT28" ca="1">IFERROR( INDIRECT(ADDRESS(ROW()+1, COLUMN(), 4, TRUE, "Export-dataset")) / INDIRECT(ADDRESS(ROW(), COLUMN(), 4, TRUE, "Export-dataset")), "" )</f>
        <v>1.0082179930795847</v>
      </c>
      <c r="BU28" s="6" cm="1">
        <f t="array" aca="1" ref="BU28" ca="1">IFERROR( INDIRECT(ADDRESS(ROW()+1, COLUMN(), 4, TRUE, "Export-dataset")) / INDIRECT(ADDRESS(ROW(), COLUMN(), 4, TRUE, "Export-dataset")), "" )</f>
        <v>0.96201642295701051</v>
      </c>
      <c r="BV28" s="6" cm="1">
        <f t="array" aca="1" ref="BV28" ca="1">IFERROR( INDIRECT(ADDRESS(ROW()+1, COLUMN(), 4, TRUE, "Export-dataset")) / INDIRECT(ADDRESS(ROW(), COLUMN(), 4, TRUE, "Export-dataset")), "" )</f>
        <v>1.1073500967117988</v>
      </c>
      <c r="BW28" s="6" cm="1">
        <f t="array" aca="1" ref="BW28" ca="1">IFERROR( INDIRECT(ADDRESS(ROW()+1, COLUMN(), 4, TRUE, "Export-dataset")) / INDIRECT(ADDRESS(ROW(), COLUMN(), 4, TRUE, "Export-dataset")), "" )</f>
        <v>1.4234972677595628</v>
      </c>
      <c r="BX28" s="6" t="str" cm="1">
        <f t="array" aca="1" ref="BX28" ca="1">IFERROR( INDIRECT(ADDRESS(ROW()+1, COLUMN(), 4, TRUE, "Export-dataset")) / INDIRECT(ADDRESS(ROW(), COLUMN(), 4, TRUE, "Export-dataset")), "" )</f>
        <v/>
      </c>
      <c r="BY28" s="6" cm="1">
        <f t="array" aca="1" ref="BY28" ca="1">IFERROR( INDIRECT(ADDRESS(ROW()+1, COLUMN(), 4, TRUE, "Export-dataset")) / INDIRECT(ADDRESS(ROW(), COLUMN(), 4, TRUE, "Export-dataset")), "" )</f>
        <v>0.89514363003993302</v>
      </c>
      <c r="BZ28" s="6" cm="1">
        <f t="array" aca="1" ref="BZ28" ca="1">IFERROR( INDIRECT(ADDRESS(ROW()+1, COLUMN(), 4, TRUE, "Export-dataset")) / INDIRECT(ADDRESS(ROW(), COLUMN(), 4, TRUE, "Export-dataset")), "" )</f>
        <v>1.0618274667153018</v>
      </c>
      <c r="CA28" s="6" cm="1">
        <f t="array" aca="1" ref="CA28" ca="1">IFERROR( INDIRECT(ADDRESS(ROW()+1, COLUMN(), 4, TRUE, "Export-dataset")) / INDIRECT(ADDRESS(ROW(), COLUMN(), 4, TRUE, "Export-dataset")), "" )</f>
        <v>1.0573524010187729</v>
      </c>
    </row>
    <row r="29" spans="1:79">
      <c r="A29" s="6" t="s">
        <v>186</v>
      </c>
      <c r="B29" s="6" cm="1">
        <f t="array" aca="1" ref="B29" ca="1">IFERROR( INDIRECT(ADDRESS(ROW()+1, COLUMN(), 4, TRUE, "Export-dataset")) / INDIRECT(ADDRESS(ROW(), COLUMN(), 4, TRUE, "Export-dataset")), "" )</f>
        <v>1.1471618780658726</v>
      </c>
      <c r="C29" s="6" cm="1">
        <f t="array" aca="1" ref="C29" ca="1">IFERROR( INDIRECT(ADDRESS(ROW()+1, COLUMN(), 4, TRUE, "Export-dataset")) / INDIRECT(ADDRESS(ROW(), COLUMN(), 4, TRUE, "Export-dataset")), "" )</f>
        <v>1.5608108108108107</v>
      </c>
      <c r="D29" s="6" cm="1">
        <f t="array" aca="1" ref="D29" ca="1">IFERROR( INDIRECT(ADDRESS(ROW()+1, COLUMN(), 4, TRUE, "Export-dataset")) / INDIRECT(ADDRESS(ROW(), COLUMN(), 4, TRUE, "Export-dataset")), "" )</f>
        <v>1.3378800138712288</v>
      </c>
      <c r="E29" s="6" cm="1">
        <f t="array" aca="1" ref="E29" ca="1">IFERROR( INDIRECT(ADDRESS(ROW()+1, COLUMN(), 4, TRUE, "Export-dataset")) / INDIRECT(ADDRESS(ROW(), COLUMN(), 4, TRUE, "Export-dataset")), "" )</f>
        <v>1.1106290672451193</v>
      </c>
      <c r="F29" s="6" cm="1">
        <f t="array" aca="1" ref="F29" ca="1">IFERROR( INDIRECT(ADDRESS(ROW()+1, COLUMN(), 4, TRUE, "Export-dataset")) / INDIRECT(ADDRESS(ROW(), COLUMN(), 4, TRUE, "Export-dataset")), "" )</f>
        <v>1.181640625</v>
      </c>
      <c r="G29" s="6" cm="1">
        <f t="array" aca="1" ref="G29" ca="1">IFERROR( INDIRECT(ADDRESS(ROW()+1, COLUMN(), 4, TRUE, "Export-dataset")) / INDIRECT(ADDRESS(ROW(), COLUMN(), 4, TRUE, "Export-dataset")), "" )</f>
        <v>0.98854499394206408</v>
      </c>
      <c r="H29" s="6" cm="1">
        <f t="array" aca="1" ref="H29" ca="1">IFERROR( INDIRECT(ADDRESS(ROW()+1, COLUMN(), 4, TRUE, "Export-dataset")) / INDIRECT(ADDRESS(ROW(), COLUMN(), 4, TRUE, "Export-dataset")), "" )</f>
        <v>1.0644144144144143</v>
      </c>
      <c r="I29" s="6" cm="1">
        <f t="array" aca="1" ref="I29" ca="1">IFERROR( INDIRECT(ADDRESS(ROW()+1, COLUMN(), 4, TRUE, "Export-dataset")) / INDIRECT(ADDRESS(ROW(), COLUMN(), 4, TRUE, "Export-dataset")), "" )</f>
        <v>0.85017421602787457</v>
      </c>
      <c r="J29" s="6" cm="1">
        <f t="array" aca="1" ref="J29" ca="1">IFERROR( INDIRECT(ADDRESS(ROW()+1, COLUMN(), 4, TRUE, "Export-dataset")) / INDIRECT(ADDRESS(ROW(), COLUMN(), 4, TRUE, "Export-dataset")), "" )</f>
        <v>1.15625</v>
      </c>
      <c r="K29" s="6" cm="1">
        <f t="array" aca="1" ref="K29" ca="1">IFERROR( INDIRECT(ADDRESS(ROW()+1, COLUMN(), 4, TRUE, "Export-dataset")) / INDIRECT(ADDRESS(ROW(), COLUMN(), 4, TRUE, "Export-dataset")), "" )</f>
        <v>0.99828178694158076</v>
      </c>
      <c r="L29" s="6" cm="1">
        <f t="array" aca="1" ref="L29" ca="1">IFERROR( INDIRECT(ADDRESS(ROW()+1, COLUMN(), 4, TRUE, "Export-dataset")) / INDIRECT(ADDRESS(ROW(), COLUMN(), 4, TRUE, "Export-dataset")), "" )</f>
        <v>1.010978956999085</v>
      </c>
      <c r="M29" s="6" cm="1">
        <f t="array" aca="1" ref="M29" ca="1">IFERROR( INDIRECT(ADDRESS(ROW()+1, COLUMN(), 4, TRUE, "Export-dataset")) / INDIRECT(ADDRESS(ROW(), COLUMN(), 4, TRUE, "Export-dataset")), "" )</f>
        <v>1.0233111322549953</v>
      </c>
      <c r="N29" s="6" cm="1">
        <f t="array" aca="1" ref="N29" ca="1">IFERROR( INDIRECT(ADDRESS(ROW()+1, COLUMN(), 4, TRUE, "Export-dataset")) / INDIRECT(ADDRESS(ROW(), COLUMN(), 4, TRUE, "Export-dataset")), "" )</f>
        <v>1.0195503421309873</v>
      </c>
      <c r="O29" s="6" cm="1">
        <f t="array" aca="1" ref="O29" ca="1">IFERROR( INDIRECT(ADDRESS(ROW()+1, COLUMN(), 4, TRUE, "Export-dataset")) / INDIRECT(ADDRESS(ROW(), COLUMN(), 4, TRUE, "Export-dataset")), "" )</f>
        <v>1.1428571428571428</v>
      </c>
      <c r="P29" s="6" cm="1">
        <f t="array" aca="1" ref="P29" ca="1">IFERROR( INDIRECT(ADDRESS(ROW()+1, COLUMN(), 4, TRUE, "Export-dataset")) / INDIRECT(ADDRESS(ROW(), COLUMN(), 4, TRUE, "Export-dataset")), "" )</f>
        <v>0.95751727119959906</v>
      </c>
      <c r="Q29" s="6" cm="1">
        <f t="array" aca="1" ref="Q29" ca="1">IFERROR( INDIRECT(ADDRESS(ROW()+1, COLUMN(), 4, TRUE, "Export-dataset")) / INDIRECT(ADDRESS(ROW(), COLUMN(), 4, TRUE, "Export-dataset")), "" )</f>
        <v>0.99708737864077668</v>
      </c>
      <c r="R29" s="6" cm="1">
        <f t="array" aca="1" ref="R29" ca="1">IFERROR( INDIRECT(ADDRESS(ROW()+1, COLUMN(), 4, TRUE, "Export-dataset")) / INDIRECT(ADDRESS(ROW(), COLUMN(), 4, TRUE, "Export-dataset")), "" )</f>
        <v>0.63979551710578053</v>
      </c>
      <c r="S29" s="6" cm="1">
        <f t="array" aca="1" ref="S29" ca="1">IFERROR( INDIRECT(ADDRESS(ROW()+1, COLUMN(), 4, TRUE, "Export-dataset")) / INDIRECT(ADDRESS(ROW(), COLUMN(), 4, TRUE, "Export-dataset")), "" )</f>
        <v>0.73684210526315785</v>
      </c>
      <c r="T29" s="6" cm="1">
        <f t="array" aca="1" ref="T29" ca="1">IFERROR( INDIRECT(ADDRESS(ROW()+1, COLUMN(), 4, TRUE, "Export-dataset")) / INDIRECT(ADDRESS(ROW(), COLUMN(), 4, TRUE, "Export-dataset")), "" )</f>
        <v>1.2949640287769784</v>
      </c>
      <c r="U29" s="6" cm="1">
        <f t="array" aca="1" ref="U29" ca="1">IFERROR( INDIRECT(ADDRESS(ROW()+1, COLUMN(), 4, TRUE, "Export-dataset")) / INDIRECT(ADDRESS(ROW(), COLUMN(), 4, TRUE, "Export-dataset")), "" )</f>
        <v>1.0173160173160174</v>
      </c>
      <c r="V29" s="6" cm="1">
        <f t="array" aca="1" ref="V29" ca="1">IFERROR( INDIRECT(ADDRESS(ROW()+1, COLUMN(), 4, TRUE, "Export-dataset")) / INDIRECT(ADDRESS(ROW(), COLUMN(), 4, TRUE, "Export-dataset")), "" )</f>
        <v>0.85114431624739928</v>
      </c>
      <c r="W29" s="6" cm="1">
        <f t="array" aca="1" ref="W29" ca="1">IFERROR( INDIRECT(ADDRESS(ROW()+1, COLUMN(), 4, TRUE, "Export-dataset")) / INDIRECT(ADDRESS(ROW(), COLUMN(), 4, TRUE, "Export-dataset")), "" )</f>
        <v>1.3487654320987654</v>
      </c>
      <c r="X29" s="6" cm="1">
        <f t="array" aca="1" ref="X29" ca="1">IFERROR( INDIRECT(ADDRESS(ROW()+1, COLUMN(), 4, TRUE, "Export-dataset")) / INDIRECT(ADDRESS(ROW(), COLUMN(), 4, TRUE, "Export-dataset")), "" )</f>
        <v>0.96643130881658557</v>
      </c>
      <c r="Y29" s="6" cm="1">
        <f t="array" aca="1" ref="Y29" ca="1">IFERROR( INDIRECT(ADDRESS(ROW()+1, COLUMN(), 4, TRUE, "Export-dataset")) / INDIRECT(ADDRESS(ROW(), COLUMN(), 4, TRUE, "Export-dataset")), "" )</f>
        <v>1.1473684210526316</v>
      </c>
      <c r="Z29" s="6" cm="1">
        <f t="array" aca="1" ref="Z29" ca="1">IFERROR( INDIRECT(ADDRESS(ROW()+1, COLUMN(), 4, TRUE, "Export-dataset")) / INDIRECT(ADDRESS(ROW(), COLUMN(), 4, TRUE, "Export-dataset")), "" )</f>
        <v>1.0444062624975932</v>
      </c>
      <c r="AA29" s="6" cm="1">
        <f t="array" aca="1" ref="AA29" ca="1">IFERROR( INDIRECT(ADDRESS(ROW()+1, COLUMN(), 4, TRUE, "Export-dataset")) / INDIRECT(ADDRESS(ROW(), COLUMN(), 4, TRUE, "Export-dataset")), "" )</f>
        <v>0.95461021270214197</v>
      </c>
      <c r="AB29" s="6" cm="1">
        <f t="array" aca="1" ref="AB29" ca="1">IFERROR( INDIRECT(ADDRESS(ROW()+1, COLUMN(), 4, TRUE, "Export-dataset")) / INDIRECT(ADDRESS(ROW(), COLUMN(), 4, TRUE, "Export-dataset")), "" )</f>
        <v>1.1373164728846643</v>
      </c>
      <c r="AC29" s="6" cm="1">
        <f t="array" aca="1" ref="AC29" ca="1">IFERROR( INDIRECT(ADDRESS(ROW()+1, COLUMN(), 4, TRUE, "Export-dataset")) / INDIRECT(ADDRESS(ROW(), COLUMN(), 4, TRUE, "Export-dataset")), "" )</f>
        <v>1.2032949557916164</v>
      </c>
      <c r="AD29" s="6" cm="1">
        <f t="array" aca="1" ref="AD29" ca="1">IFERROR( INDIRECT(ADDRESS(ROW()+1, COLUMN(), 4, TRUE, "Export-dataset")) / INDIRECT(ADDRESS(ROW(), COLUMN(), 4, TRUE, "Export-dataset")), "" )</f>
        <v>1.0062111801242235</v>
      </c>
      <c r="AE29" s="6" cm="1">
        <f t="array" aca="1" ref="AE29" ca="1">IFERROR( INDIRECT(ADDRESS(ROW()+1, COLUMN(), 4, TRUE, "Export-dataset")) / INDIRECT(ADDRESS(ROW(), COLUMN(), 4, TRUE, "Export-dataset")), "" )</f>
        <v>1.0419753086419754</v>
      </c>
      <c r="AF29" s="6" cm="1">
        <f t="array" aca="1" ref="AF29" ca="1">IFERROR( INDIRECT(ADDRESS(ROW()+1, COLUMN(), 4, TRUE, "Export-dataset")) / INDIRECT(ADDRESS(ROW(), COLUMN(), 4, TRUE, "Export-dataset")), "" )</f>
        <v>0.96313364055299544</v>
      </c>
      <c r="AG29" s="6" cm="1">
        <f t="array" aca="1" ref="AG29" ca="1">IFERROR( INDIRECT(ADDRESS(ROW()+1, COLUMN(), 4, TRUE, "Export-dataset")) / INDIRECT(ADDRESS(ROW(), COLUMN(), 4, TRUE, "Export-dataset")), "" )</f>
        <v>0.86363636363636365</v>
      </c>
      <c r="AH29" s="6" cm="1">
        <f t="array" aca="1" ref="AH29" ca="1">IFERROR( INDIRECT(ADDRESS(ROW()+1, COLUMN(), 4, TRUE, "Export-dataset")) / INDIRECT(ADDRESS(ROW(), COLUMN(), 4, TRUE, "Export-dataset")), "" )</f>
        <v>0.94249037227214383</v>
      </c>
      <c r="AI29" s="6" cm="1">
        <f t="array" aca="1" ref="AI29" ca="1">IFERROR( INDIRECT(ADDRESS(ROW()+1, COLUMN(), 4, TRUE, "Export-dataset")) / INDIRECT(ADDRESS(ROW(), COLUMN(), 4, TRUE, "Export-dataset")), "" )</f>
        <v>1</v>
      </c>
      <c r="AJ29" s="6" cm="1">
        <f t="array" aca="1" ref="AJ29" ca="1">IFERROR( INDIRECT(ADDRESS(ROW()+1, COLUMN(), 4, TRUE, "Export-dataset")) / INDIRECT(ADDRESS(ROW(), COLUMN(), 4, TRUE, "Export-dataset")), "" )</f>
        <v>0.95579450418160095</v>
      </c>
      <c r="AK29" s="6" cm="1">
        <f t="array" aca="1" ref="AK29" ca="1">IFERROR( INDIRECT(ADDRESS(ROW()+1, COLUMN(), 4, TRUE, "Export-dataset")) / INDIRECT(ADDRESS(ROW(), COLUMN(), 4, TRUE, "Export-dataset")), "" )</f>
        <v>1.132267441860465</v>
      </c>
      <c r="AL29" s="6" cm="1">
        <f t="array" aca="1" ref="AL29" ca="1">IFERROR( INDIRECT(ADDRESS(ROW()+1, COLUMN(), 4, TRUE, "Export-dataset")) / INDIRECT(ADDRESS(ROW(), COLUMN(), 4, TRUE, "Export-dataset")), "" )</f>
        <v>0.82037608756665736</v>
      </c>
      <c r="AM29" s="6" cm="1">
        <f t="array" aca="1" ref="AM29" ca="1">IFERROR( INDIRECT(ADDRESS(ROW()+1, COLUMN(), 4, TRUE, "Export-dataset")) / INDIRECT(ADDRESS(ROW(), COLUMN(), 4, TRUE, "Export-dataset")), "" )</f>
        <v>1.0435413642960814</v>
      </c>
      <c r="AN29" s="6" cm="1">
        <f t="array" aca="1" ref="AN29" ca="1">IFERROR( INDIRECT(ADDRESS(ROW()+1, COLUMN(), 4, TRUE, "Export-dataset")) / INDIRECT(ADDRESS(ROW(), COLUMN(), 4, TRUE, "Export-dataset")), "" )</f>
        <v>1.1690821256038648</v>
      </c>
      <c r="AO29" s="6" cm="1">
        <f t="array" aca="1" ref="AO29" ca="1">IFERROR( INDIRECT(ADDRESS(ROW()+1, COLUMN(), 4, TRUE, "Export-dataset")) / INDIRECT(ADDRESS(ROW(), COLUMN(), 4, TRUE, "Export-dataset")), "" )</f>
        <v>1.1335616438356164</v>
      </c>
      <c r="AP29" s="6" cm="1">
        <f t="array" aca="1" ref="AP29" ca="1">IFERROR( INDIRECT(ADDRESS(ROW()+1, COLUMN(), 4, TRUE, "Export-dataset")) / INDIRECT(ADDRESS(ROW(), COLUMN(), 4, TRUE, "Export-dataset")), "" )</f>
        <v>1.0550458715596329</v>
      </c>
      <c r="AQ29" s="6" cm="1">
        <f t="array" aca="1" ref="AQ29" ca="1">IFERROR( INDIRECT(ADDRESS(ROW()+1, COLUMN(), 4, TRUE, "Export-dataset")) / INDIRECT(ADDRESS(ROW(), COLUMN(), 4, TRUE, "Export-dataset")), "" )</f>
        <v>1.0117994100294985</v>
      </c>
      <c r="AR29" s="6" cm="1">
        <f t="array" aca="1" ref="AR29" ca="1">IFERROR( INDIRECT(ADDRESS(ROW()+1, COLUMN(), 4, TRUE, "Export-dataset")) / INDIRECT(ADDRESS(ROW(), COLUMN(), 4, TRUE, "Export-dataset")), "" )</f>
        <v>1.0614810721193699</v>
      </c>
      <c r="AS29" s="6" cm="1">
        <f t="array" aca="1" ref="AS29" ca="1">IFERROR( INDIRECT(ADDRESS(ROW()+1, COLUMN(), 4, TRUE, "Export-dataset")) / INDIRECT(ADDRESS(ROW(), COLUMN(), 4, TRUE, "Export-dataset")), "" )</f>
        <v>1.1105990783410138</v>
      </c>
      <c r="AT29" s="6" cm="1">
        <f t="array" aca="1" ref="AT29" ca="1">IFERROR( INDIRECT(ADDRESS(ROW()+1, COLUMN(), 4, TRUE, "Export-dataset")) / INDIRECT(ADDRESS(ROW(), COLUMN(), 4, TRUE, "Export-dataset")), "" )</f>
        <v>1.04</v>
      </c>
      <c r="AU29" s="6" cm="1">
        <f t="array" aca="1" ref="AU29" ca="1">IFERROR( INDIRECT(ADDRESS(ROW()+1, COLUMN(), 4, TRUE, "Export-dataset")) / INDIRECT(ADDRESS(ROW(), COLUMN(), 4, TRUE, "Export-dataset")), "" )</f>
        <v>1.3466666666666667</v>
      </c>
      <c r="AV29" s="6" cm="1">
        <f t="array" aca="1" ref="AV29" ca="1">IFERROR( INDIRECT(ADDRESS(ROW()+1, COLUMN(), 4, TRUE, "Export-dataset")) / INDIRECT(ADDRESS(ROW(), COLUMN(), 4, TRUE, "Export-dataset")), "" )</f>
        <v>1.053475935828877</v>
      </c>
      <c r="AW29" s="6" cm="1">
        <f t="array" aca="1" ref="AW29" ca="1">IFERROR( INDIRECT(ADDRESS(ROW()+1, COLUMN(), 4, TRUE, "Export-dataset")) / INDIRECT(ADDRESS(ROW(), COLUMN(), 4, TRUE, "Export-dataset")), "" )</f>
        <v>1.0214592274678111</v>
      </c>
      <c r="AX29" s="6" cm="1">
        <f t="array" aca="1" ref="AX29" ca="1">IFERROR( INDIRECT(ADDRESS(ROW()+1, COLUMN(), 4, TRUE, "Export-dataset")) / INDIRECT(ADDRESS(ROW(), COLUMN(), 4, TRUE, "Export-dataset")), "" )</f>
        <v>1.1272727272727272</v>
      </c>
      <c r="AY29" s="6" cm="1">
        <f t="array" aca="1" ref="AY29" ca="1">IFERROR( INDIRECT(ADDRESS(ROW()+1, COLUMN(), 4, TRUE, "Export-dataset")) / INDIRECT(ADDRESS(ROW(), COLUMN(), 4, TRUE, "Export-dataset")), "" )</f>
        <v>0.97687861271676302</v>
      </c>
      <c r="AZ29" s="6" cm="1">
        <f t="array" aca="1" ref="AZ29" ca="1">IFERROR( INDIRECT(ADDRESS(ROW()+1, COLUMN(), 4, TRUE, "Export-dataset")) / INDIRECT(ADDRESS(ROW(), COLUMN(), 4, TRUE, "Export-dataset")), "" )</f>
        <v>1.0666862227437177</v>
      </c>
      <c r="BA29" s="6" cm="1">
        <f t="array" aca="1" ref="BA29" ca="1">IFERROR( INDIRECT(ADDRESS(ROW()+1, COLUMN(), 4, TRUE, "Export-dataset")) / INDIRECT(ADDRESS(ROW(), COLUMN(), 4, TRUE, "Export-dataset")), "" )</f>
        <v>1.0093632958801497</v>
      </c>
      <c r="BB29" s="6" cm="1">
        <f t="array" aca="1" ref="BB29" ca="1">IFERROR( INDIRECT(ADDRESS(ROW()+1, COLUMN(), 4, TRUE, "Export-dataset")) / INDIRECT(ADDRESS(ROW(), COLUMN(), 4, TRUE, "Export-dataset")), "" )</f>
        <v>1.0803525523319868</v>
      </c>
      <c r="BC29" s="6" cm="1">
        <f t="array" aca="1" ref="BC29" ca="1">IFERROR( INDIRECT(ADDRESS(ROW()+1, COLUMN(), 4, TRUE, "Export-dataset")) / INDIRECT(ADDRESS(ROW(), COLUMN(), 4, TRUE, "Export-dataset")), "" )</f>
        <v>1.0177975528364849</v>
      </c>
      <c r="BD29" s="6" cm="1">
        <f t="array" aca="1" ref="BD29" ca="1">IFERROR( INDIRECT(ADDRESS(ROW()+1, COLUMN(), 4, TRUE, "Export-dataset")) / INDIRECT(ADDRESS(ROW(), COLUMN(), 4, TRUE, "Export-dataset")), "" )</f>
        <v>1.0040404040404041</v>
      </c>
      <c r="BE29" s="6" cm="1">
        <f t="array" aca="1" ref="BE29" ca="1">IFERROR( INDIRECT(ADDRESS(ROW()+1, COLUMN(), 4, TRUE, "Export-dataset")) / INDIRECT(ADDRESS(ROW(), COLUMN(), 4, TRUE, "Export-dataset")), "" )</f>
        <v>1.1595092024539877</v>
      </c>
      <c r="BF29" s="6" cm="1">
        <f t="array" aca="1" ref="BF29" ca="1">IFERROR( INDIRECT(ADDRESS(ROW()+1, COLUMN(), 4, TRUE, "Export-dataset")) / INDIRECT(ADDRESS(ROW(), COLUMN(), 4, TRUE, "Export-dataset")), "" )</f>
        <v>1.0394114555964267</v>
      </c>
      <c r="BG29" s="6" cm="1">
        <f t="array" aca="1" ref="BG29" ca="1">IFERROR( INDIRECT(ADDRESS(ROW()+1, COLUMN(), 4, TRUE, "Export-dataset")) / INDIRECT(ADDRESS(ROW(), COLUMN(), 4, TRUE, "Export-dataset")), "" )</f>
        <v>1.2083662194159432</v>
      </c>
      <c r="BH29" s="6" cm="1">
        <f t="array" aca="1" ref="BH29" ca="1">IFERROR( INDIRECT(ADDRESS(ROW()+1, COLUMN(), 4, TRUE, "Export-dataset")) / INDIRECT(ADDRESS(ROW(), COLUMN(), 4, TRUE, "Export-dataset")), "" )</f>
        <v>1.1867841409691631</v>
      </c>
      <c r="BI29" s="6" cm="1">
        <f t="array" aca="1" ref="BI29" ca="1">IFERROR( INDIRECT(ADDRESS(ROW()+1, COLUMN(), 4, TRUE, "Export-dataset")) / INDIRECT(ADDRESS(ROW(), COLUMN(), 4, TRUE, "Export-dataset")), "" )</f>
        <v>1.0418353576248314</v>
      </c>
      <c r="BJ29" s="6" cm="1">
        <f t="array" aca="1" ref="BJ29" ca="1">IFERROR( INDIRECT(ADDRESS(ROW()+1, COLUMN(), 4, TRUE, "Export-dataset")) / INDIRECT(ADDRESS(ROW(), COLUMN(), 4, TRUE, "Export-dataset")), "" )</f>
        <v>0.97685034235409196</v>
      </c>
      <c r="BK29" s="6" cm="1">
        <f t="array" aca="1" ref="BK29" ca="1">IFERROR( INDIRECT(ADDRESS(ROW()+1, COLUMN(), 4, TRUE, "Export-dataset")) / INDIRECT(ADDRESS(ROW(), COLUMN(), 4, TRUE, "Export-dataset")), "" )</f>
        <v>1.2906032482598608</v>
      </c>
      <c r="BL29" s="6" cm="1">
        <f t="array" aca="1" ref="BL29" ca="1">IFERROR( INDIRECT(ADDRESS(ROW()+1, COLUMN(), 4, TRUE, "Export-dataset")) / INDIRECT(ADDRESS(ROW(), COLUMN(), 4, TRUE, "Export-dataset")), "" )</f>
        <v>1.0698828667857851</v>
      </c>
      <c r="BM29" s="6" cm="1">
        <f t="array" aca="1" ref="BM29" ca="1">IFERROR( INDIRECT(ADDRESS(ROW()+1, COLUMN(), 4, TRUE, "Export-dataset")) / INDIRECT(ADDRESS(ROW(), COLUMN(), 4, TRUE, "Export-dataset")), "" )</f>
        <v>0.87425149700598803</v>
      </c>
      <c r="BN29" s="6" cm="1">
        <f t="array" aca="1" ref="BN29" ca="1">IFERROR( INDIRECT(ADDRESS(ROW()+1, COLUMN(), 4, TRUE, "Export-dataset")) / INDIRECT(ADDRESS(ROW(), COLUMN(), 4, TRUE, "Export-dataset")), "" )</f>
        <v>1.1627906976744187</v>
      </c>
      <c r="BO29" s="6" cm="1">
        <f t="array" aca="1" ref="BO29" ca="1">IFERROR( INDIRECT(ADDRESS(ROW()+1, COLUMN(), 4, TRUE, "Export-dataset")) / INDIRECT(ADDRESS(ROW(), COLUMN(), 4, TRUE, "Export-dataset")), "" )</f>
        <v>1.1282051282051282</v>
      </c>
      <c r="BP29" s="6" cm="1">
        <f t="array" aca="1" ref="BP29" ca="1">IFERROR( INDIRECT(ADDRESS(ROW()+1, COLUMN(), 4, TRUE, "Export-dataset")) / INDIRECT(ADDRESS(ROW(), COLUMN(), 4, TRUE, "Export-dataset")), "" )</f>
        <v>1.0378151260504203</v>
      </c>
      <c r="BQ29" s="6" cm="1">
        <f t="array" aca="1" ref="BQ29" ca="1">IFERROR( INDIRECT(ADDRESS(ROW()+1, COLUMN(), 4, TRUE, "Export-dataset")) / INDIRECT(ADDRESS(ROW(), COLUMN(), 4, TRUE, "Export-dataset")), "" )</f>
        <v>1.1929824561403508</v>
      </c>
      <c r="BR29" s="6" cm="1">
        <f t="array" aca="1" ref="BR29" ca="1">IFERROR( INDIRECT(ADDRESS(ROW()+1, COLUMN(), 4, TRUE, "Export-dataset")) / INDIRECT(ADDRESS(ROW(), COLUMN(), 4, TRUE, "Export-dataset")), "" )</f>
        <v>1.1356113187399892</v>
      </c>
      <c r="BS29" s="6" cm="1">
        <f t="array" aca="1" ref="BS29" ca="1">IFERROR( INDIRECT(ADDRESS(ROW()+1, COLUMN(), 4, TRUE, "Export-dataset")) / INDIRECT(ADDRESS(ROW(), COLUMN(), 4, TRUE, "Export-dataset")), "" )</f>
        <v>1.1626016260162602</v>
      </c>
      <c r="BT29" s="6" cm="1">
        <f t="array" aca="1" ref="BT29" ca="1">IFERROR( INDIRECT(ADDRESS(ROW()+1, COLUMN(), 4, TRUE, "Export-dataset")) / INDIRECT(ADDRESS(ROW(), COLUMN(), 4, TRUE, "Export-dataset")), "" )</f>
        <v>1.0175890175890177</v>
      </c>
      <c r="BU29" s="6" cm="1">
        <f t="array" aca="1" ref="BU29" ca="1">IFERROR( INDIRECT(ADDRESS(ROW()+1, COLUMN(), 4, TRUE, "Export-dataset")) / INDIRECT(ADDRESS(ROW(), COLUMN(), 4, TRUE, "Export-dataset")), "" )</f>
        <v>0.97092386342888437</v>
      </c>
      <c r="BV29" s="6" cm="1">
        <f t="array" aca="1" ref="BV29" ca="1">IFERROR( INDIRECT(ADDRESS(ROW()+1, COLUMN(), 4, TRUE, "Export-dataset")) / INDIRECT(ADDRESS(ROW(), COLUMN(), 4, TRUE, "Export-dataset")), "" )</f>
        <v>1.1283842794759826</v>
      </c>
      <c r="BW29" s="6" cm="1">
        <f t="array" aca="1" ref="BW29" ca="1">IFERROR( INDIRECT(ADDRESS(ROW()+1, COLUMN(), 4, TRUE, "Export-dataset")) / INDIRECT(ADDRESS(ROW(), COLUMN(), 4, TRUE, "Export-dataset")), "" )</f>
        <v>0.68138195777351251</v>
      </c>
      <c r="BX29" s="6" t="str" cm="1">
        <f t="array" aca="1" ref="BX29" ca="1">IFERROR( INDIRECT(ADDRESS(ROW()+1, COLUMN(), 4, TRUE, "Export-dataset")) / INDIRECT(ADDRESS(ROW(), COLUMN(), 4, TRUE, "Export-dataset")), "" )</f>
        <v/>
      </c>
      <c r="BY29" s="6" cm="1">
        <f t="array" aca="1" ref="BY29" ca="1">IFERROR( INDIRECT(ADDRESS(ROW()+1, COLUMN(), 4, TRUE, "Export-dataset")) / INDIRECT(ADDRESS(ROW(), COLUMN(), 4, TRUE, "Export-dataset")), "" )</f>
        <v>0.96841272125485678</v>
      </c>
      <c r="BZ29" s="6" cm="1">
        <f t="array" aca="1" ref="BZ29" ca="1">IFERROR( INDIRECT(ADDRESS(ROW()+1, COLUMN(), 4, TRUE, "Export-dataset")) / INDIRECT(ADDRESS(ROW(), COLUMN(), 4, TRUE, "Export-dataset")), "" )</f>
        <v>0.99742356578495361</v>
      </c>
      <c r="CA29" s="6" cm="1">
        <f t="array" aca="1" ref="CA29" ca="1">IFERROR( INDIRECT(ADDRESS(ROW()+1, COLUMN(), 4, TRUE, "Export-dataset")) / INDIRECT(ADDRESS(ROW(), COLUMN(), 4, TRUE, "Export-dataset")), "" )</f>
        <v>1.0151360141702106</v>
      </c>
    </row>
    <row r="30" spans="1:79">
      <c r="A30" s="6" t="s">
        <v>187</v>
      </c>
      <c r="B30" s="6" cm="1">
        <f t="array" aca="1" ref="B30" ca="1">IFERROR( INDIRECT(ADDRESS(ROW()+1, COLUMN(), 4, TRUE, "Export-dataset")) / INDIRECT(ADDRESS(ROW(), COLUMN(), 4, TRUE, "Export-dataset")), "" )</f>
        <v>1.1461916856894834</v>
      </c>
      <c r="C30" s="6" cm="1">
        <f t="array" aca="1" ref="C30" ca="1">IFERROR( INDIRECT(ADDRESS(ROW()+1, COLUMN(), 4, TRUE, "Export-dataset")) / INDIRECT(ADDRESS(ROW(), COLUMN(), 4, TRUE, "Export-dataset")), "" )</f>
        <v>1.1731601731601731</v>
      </c>
      <c r="D30" s="6" cm="1">
        <f t="array" aca="1" ref="D30" ca="1">IFERROR( INDIRECT(ADDRESS(ROW()+1, COLUMN(), 4, TRUE, "Export-dataset")) / INDIRECT(ADDRESS(ROW(), COLUMN(), 4, TRUE, "Export-dataset")), "" )</f>
        <v>1.1351304648349749</v>
      </c>
      <c r="E30" s="6" cm="1">
        <f t="array" aca="1" ref="E30" ca="1">IFERROR( INDIRECT(ADDRESS(ROW()+1, COLUMN(), 4, TRUE, "Export-dataset")) / INDIRECT(ADDRESS(ROW(), COLUMN(), 4, TRUE, "Export-dataset")), "" )</f>
        <v>0.93281250000000004</v>
      </c>
      <c r="F30" s="6" cm="1">
        <f t="array" aca="1" ref="F30" ca="1">IFERROR( INDIRECT(ADDRESS(ROW()+1, COLUMN(), 4, TRUE, "Export-dataset")) / INDIRECT(ADDRESS(ROW(), COLUMN(), 4, TRUE, "Export-dataset")), "" )</f>
        <v>1.1537190082644628</v>
      </c>
      <c r="G30" s="6" cm="1">
        <f t="array" aca="1" ref="G30" ca="1">IFERROR( INDIRECT(ADDRESS(ROW()+1, COLUMN(), 4, TRUE, "Export-dataset")) / INDIRECT(ADDRESS(ROW(), COLUMN(), 4, TRUE, "Export-dataset")), "" )</f>
        <v>1.0405571030640668</v>
      </c>
      <c r="H30" s="6" cm="1">
        <f t="array" aca="1" ref="H30" ca="1">IFERROR( INDIRECT(ADDRESS(ROW()+1, COLUMN(), 4, TRUE, "Export-dataset")) / INDIRECT(ADDRESS(ROW(), COLUMN(), 4, TRUE, "Export-dataset")), "" )</f>
        <v>1.6479052052475667</v>
      </c>
      <c r="I30" s="6" cm="1">
        <f t="array" aca="1" ref="I30" ca="1">IFERROR( INDIRECT(ADDRESS(ROW()+1, COLUMN(), 4, TRUE, "Export-dataset")) / INDIRECT(ADDRESS(ROW(), COLUMN(), 4, TRUE, "Export-dataset")), "" )</f>
        <v>1.151639344262295</v>
      </c>
      <c r="J30" s="6" cm="1">
        <f t="array" aca="1" ref="J30" ca="1">IFERROR( INDIRECT(ADDRESS(ROW()+1, COLUMN(), 4, TRUE, "Export-dataset")) / INDIRECT(ADDRESS(ROW(), COLUMN(), 4, TRUE, "Export-dataset")), "" )</f>
        <v>1.1081081081081081</v>
      </c>
      <c r="K30" s="6" cm="1">
        <f t="array" aca="1" ref="K30" ca="1">IFERROR( INDIRECT(ADDRESS(ROW()+1, COLUMN(), 4, TRUE, "Export-dataset")) / INDIRECT(ADDRESS(ROW(), COLUMN(), 4, TRUE, "Export-dataset")), "" )</f>
        <v>1.0395869191049913</v>
      </c>
      <c r="L30" s="6" cm="1">
        <f t="array" aca="1" ref="L30" ca="1">IFERROR( INDIRECT(ADDRESS(ROW()+1, COLUMN(), 4, TRUE, "Export-dataset")) / INDIRECT(ADDRESS(ROW(), COLUMN(), 4, TRUE, "Export-dataset")), "" )</f>
        <v>1.6099547511312218</v>
      </c>
      <c r="M30" s="6" cm="1">
        <f t="array" aca="1" ref="M30" ca="1">IFERROR( INDIRECT(ADDRESS(ROW()+1, COLUMN(), 4, TRUE, "Export-dataset")) / INDIRECT(ADDRESS(ROW(), COLUMN(), 4, TRUE, "Export-dataset")), "" )</f>
        <v>1.1724779172477917</v>
      </c>
      <c r="N30" s="6" cm="1">
        <f t="array" aca="1" ref="N30" ca="1">IFERROR( INDIRECT(ADDRESS(ROW()+1, COLUMN(), 4, TRUE, "Export-dataset")) / INDIRECT(ADDRESS(ROW(), COLUMN(), 4, TRUE, "Export-dataset")), "" )</f>
        <v>1.1768935762224353</v>
      </c>
      <c r="O30" s="6" cm="1">
        <f t="array" aca="1" ref="O30" ca="1">IFERROR( INDIRECT(ADDRESS(ROW()+1, COLUMN(), 4, TRUE, "Export-dataset")) / INDIRECT(ADDRESS(ROW(), COLUMN(), 4, TRUE, "Export-dataset")), "" )</f>
        <v>1.03125</v>
      </c>
      <c r="P30" s="6" cm="1">
        <f t="array" aca="1" ref="P30" ca="1">IFERROR( INDIRECT(ADDRESS(ROW()+1, COLUMN(), 4, TRUE, "Export-dataset")) / INDIRECT(ADDRESS(ROW(), COLUMN(), 4, TRUE, "Export-dataset")), "" )</f>
        <v>0.83684675068763081</v>
      </c>
      <c r="Q30" s="6" cm="1">
        <f t="array" aca="1" ref="Q30" ca="1">IFERROR( INDIRECT(ADDRESS(ROW()+1, COLUMN(), 4, TRUE, "Export-dataset")) / INDIRECT(ADDRESS(ROW(), COLUMN(), 4, TRUE, "Export-dataset")), "" )</f>
        <v>0.99610516066212274</v>
      </c>
      <c r="R30" s="6" cm="1">
        <f t="array" aca="1" ref="R30" ca="1">IFERROR( INDIRECT(ADDRESS(ROW()+1, COLUMN(), 4, TRUE, "Export-dataset")) / INDIRECT(ADDRESS(ROW(), COLUMN(), 4, TRUE, "Export-dataset")), "" )</f>
        <v>0.98709280885064532</v>
      </c>
      <c r="S30" s="6" cm="1">
        <f t="array" aca="1" ref="S30" ca="1">IFERROR( INDIRECT(ADDRESS(ROW()+1, COLUMN(), 4, TRUE, "Export-dataset")) / INDIRECT(ADDRESS(ROW(), COLUMN(), 4, TRUE, "Export-dataset")), "" )</f>
        <v>0.7857142857142857</v>
      </c>
      <c r="T30" s="6" cm="1">
        <f t="array" aca="1" ref="T30" ca="1">IFERROR( INDIRECT(ADDRESS(ROW()+1, COLUMN(), 4, TRUE, "Export-dataset")) / INDIRECT(ADDRESS(ROW(), COLUMN(), 4, TRUE, "Export-dataset")), "" )</f>
        <v>1.2325396825396826</v>
      </c>
      <c r="U30" s="6" cm="1">
        <f t="array" aca="1" ref="U30" ca="1">IFERROR( INDIRECT(ADDRESS(ROW()+1, COLUMN(), 4, TRUE, "Export-dataset")) / INDIRECT(ADDRESS(ROW(), COLUMN(), 4, TRUE, "Export-dataset")), "" )</f>
        <v>1.0808510638297872</v>
      </c>
      <c r="V30" s="6" cm="1">
        <f t="array" aca="1" ref="V30" ca="1">IFERROR( INDIRECT(ADDRESS(ROW()+1, COLUMN(), 4, TRUE, "Export-dataset")) / INDIRECT(ADDRESS(ROW(), COLUMN(), 4, TRUE, "Export-dataset")), "" )</f>
        <v>0.90466666666666662</v>
      </c>
      <c r="W30" s="6" cm="1">
        <f t="array" aca="1" ref="W30" ca="1">IFERROR( INDIRECT(ADDRESS(ROW()+1, COLUMN(), 4, TRUE, "Export-dataset")) / INDIRECT(ADDRESS(ROW(), COLUMN(), 4, TRUE, "Export-dataset")), "" )</f>
        <v>1.3592677345537758</v>
      </c>
      <c r="X30" s="6" cm="1">
        <f t="array" aca="1" ref="X30" ca="1">IFERROR( INDIRECT(ADDRESS(ROW()+1, COLUMN(), 4, TRUE, "Export-dataset")) / INDIRECT(ADDRESS(ROW(), COLUMN(), 4, TRUE, "Export-dataset")), "" )</f>
        <v>0.81752073627996824</v>
      </c>
      <c r="Y30" s="6" cm="1">
        <f t="array" aca="1" ref="Y30" ca="1">IFERROR( INDIRECT(ADDRESS(ROW()+1, COLUMN(), 4, TRUE, "Export-dataset")) / INDIRECT(ADDRESS(ROW(), COLUMN(), 4, TRUE, "Export-dataset")), "" )</f>
        <v>1.4709480122324159</v>
      </c>
      <c r="Z30" s="6" cm="1">
        <f t="array" aca="1" ref="Z30" ca="1">IFERROR( INDIRECT(ADDRESS(ROW()+1, COLUMN(), 4, TRUE, "Export-dataset")) / INDIRECT(ADDRESS(ROW(), COLUMN(), 4, TRUE, "Export-dataset")), "" )</f>
        <v>0.88281261079831519</v>
      </c>
      <c r="AA30" s="6" cm="1">
        <f t="array" aca="1" ref="AA30" ca="1">IFERROR( INDIRECT(ADDRESS(ROW()+1, COLUMN(), 4, TRUE, "Export-dataset")) / INDIRECT(ADDRESS(ROW(), COLUMN(), 4, TRUE, "Export-dataset")), "" )</f>
        <v>0.97164401853742832</v>
      </c>
      <c r="AB30" s="6" cm="1">
        <f t="array" aca="1" ref="AB30" ca="1">IFERROR( INDIRECT(ADDRESS(ROW()+1, COLUMN(), 4, TRUE, "Export-dataset")) / INDIRECT(ADDRESS(ROW(), COLUMN(), 4, TRUE, "Export-dataset")), "" )</f>
        <v>0.60331318558316549</v>
      </c>
      <c r="AC30" s="6" cm="1">
        <f t="array" aca="1" ref="AC30" ca="1">IFERROR( INDIRECT(ADDRESS(ROW()+1, COLUMN(), 4, TRUE, "Export-dataset")) / INDIRECT(ADDRESS(ROW(), COLUMN(), 4, TRUE, "Export-dataset")), "" )</f>
        <v>0.901517153882751</v>
      </c>
      <c r="AD30" s="6" cm="1">
        <f t="array" aca="1" ref="AD30" ca="1">IFERROR( INDIRECT(ADDRESS(ROW()+1, COLUMN(), 4, TRUE, "Export-dataset")) / INDIRECT(ADDRESS(ROW(), COLUMN(), 4, TRUE, "Export-dataset")), "" )</f>
        <v>1.0108024691358024</v>
      </c>
      <c r="AE30" s="6" cm="1">
        <f t="array" aca="1" ref="AE30" ca="1">IFERROR( INDIRECT(ADDRESS(ROW()+1, COLUMN(), 4, TRUE, "Export-dataset")) / INDIRECT(ADDRESS(ROW(), COLUMN(), 4, TRUE, "Export-dataset")), "" )</f>
        <v>0.93127962085308058</v>
      </c>
      <c r="AF30" s="6" cm="1">
        <f t="array" aca="1" ref="AF30" ca="1">IFERROR( INDIRECT(ADDRESS(ROW()+1, COLUMN(), 4, TRUE, "Export-dataset")) / INDIRECT(ADDRESS(ROW(), COLUMN(), 4, TRUE, "Export-dataset")), "" )</f>
        <v>1.1291866028708133</v>
      </c>
      <c r="AG30" s="6" cm="1">
        <f t="array" aca="1" ref="AG30" ca="1">IFERROR( INDIRECT(ADDRESS(ROW()+1, COLUMN(), 4, TRUE, "Export-dataset")) / INDIRECT(ADDRESS(ROW(), COLUMN(), 4, TRUE, "Export-dataset")), "" )</f>
        <v>1.3157894736842106</v>
      </c>
      <c r="AH30" s="6" cm="1">
        <f t="array" aca="1" ref="AH30" ca="1">IFERROR( INDIRECT(ADDRESS(ROW()+1, COLUMN(), 4, TRUE, "Export-dataset")) / INDIRECT(ADDRESS(ROW(), COLUMN(), 4, TRUE, "Export-dataset")), "" )</f>
        <v>0.99891037864342136</v>
      </c>
      <c r="AI30" s="6" cm="1">
        <f t="array" aca="1" ref="AI30" ca="1">IFERROR( INDIRECT(ADDRESS(ROW()+1, COLUMN(), 4, TRUE, "Export-dataset")) / INDIRECT(ADDRESS(ROW(), COLUMN(), 4, TRUE, "Export-dataset")), "" )</f>
        <v>1.2321428571428572</v>
      </c>
      <c r="AJ30" s="6" cm="1">
        <f t="array" aca="1" ref="AJ30" ca="1">IFERROR( INDIRECT(ADDRESS(ROW()+1, COLUMN(), 4, TRUE, "Export-dataset")) / INDIRECT(ADDRESS(ROW(), COLUMN(), 4, TRUE, "Export-dataset")), "" )</f>
        <v>1.04</v>
      </c>
      <c r="AK30" s="6" cm="1">
        <f t="array" aca="1" ref="AK30" ca="1">IFERROR( INDIRECT(ADDRESS(ROW()+1, COLUMN(), 4, TRUE, "Export-dataset")) / INDIRECT(ADDRESS(ROW(), COLUMN(), 4, TRUE, "Export-dataset")), "" )</f>
        <v>1.0847240051347882</v>
      </c>
      <c r="AL30" s="6" cm="1">
        <f t="array" aca="1" ref="AL30" ca="1">IFERROR( INDIRECT(ADDRESS(ROW()+1, COLUMN(), 4, TRUE, "Export-dataset")) / INDIRECT(ADDRESS(ROW(), COLUMN(), 4, TRUE, "Export-dataset")), "" )</f>
        <v>0.84604858022579543</v>
      </c>
      <c r="AM30" s="6" cm="1">
        <f t="array" aca="1" ref="AM30" ca="1">IFERROR( INDIRECT(ADDRESS(ROW()+1, COLUMN(), 4, TRUE, "Export-dataset")) / INDIRECT(ADDRESS(ROW(), COLUMN(), 4, TRUE, "Export-dataset")), "" )</f>
        <v>1.1446453407510431</v>
      </c>
      <c r="AN30" s="6" cm="1">
        <f t="array" aca="1" ref="AN30" ca="1">IFERROR( INDIRECT(ADDRESS(ROW()+1, COLUMN(), 4, TRUE, "Export-dataset")) / INDIRECT(ADDRESS(ROW(), COLUMN(), 4, TRUE, "Export-dataset")), "" )</f>
        <v>1.5</v>
      </c>
      <c r="AO30" s="6" cm="1">
        <f t="array" aca="1" ref="AO30" ca="1">IFERROR( INDIRECT(ADDRESS(ROW()+1, COLUMN(), 4, TRUE, "Export-dataset")) / INDIRECT(ADDRESS(ROW(), COLUMN(), 4, TRUE, "Export-dataset")), "" )</f>
        <v>1.0996978851963746</v>
      </c>
      <c r="AP30" s="6" cm="1">
        <f t="array" aca="1" ref="AP30" ca="1">IFERROR( INDIRECT(ADDRESS(ROW()+1, COLUMN(), 4, TRUE, "Export-dataset")) / INDIRECT(ADDRESS(ROW(), COLUMN(), 4, TRUE, "Export-dataset")), "" )</f>
        <v>1.0898550724637681</v>
      </c>
      <c r="AQ30" s="6" cm="1">
        <f t="array" aca="1" ref="AQ30" ca="1">IFERROR( INDIRECT(ADDRESS(ROW()+1, COLUMN(), 4, TRUE, "Export-dataset")) / INDIRECT(ADDRESS(ROW(), COLUMN(), 4, TRUE, "Export-dataset")), "" )</f>
        <v>1.0194363459669582</v>
      </c>
      <c r="AR30" s="6" cm="1">
        <f t="array" aca="1" ref="AR30" ca="1">IFERROR( INDIRECT(ADDRESS(ROW()+1, COLUMN(), 4, TRUE, "Export-dataset")) / INDIRECT(ADDRESS(ROW(), COLUMN(), 4, TRUE, "Export-dataset")), "" )</f>
        <v>0.95756865807627234</v>
      </c>
      <c r="AS30" s="6" cm="1">
        <f t="array" aca="1" ref="AS30" ca="1">IFERROR( INDIRECT(ADDRESS(ROW()+1, COLUMN(), 4, TRUE, "Export-dataset")) / INDIRECT(ADDRESS(ROW(), COLUMN(), 4, TRUE, "Export-dataset")), "" )</f>
        <v>1.045643153526971</v>
      </c>
      <c r="AT30" s="6" cm="1">
        <f t="array" aca="1" ref="AT30" ca="1">IFERROR( INDIRECT(ADDRESS(ROW()+1, COLUMN(), 4, TRUE, "Export-dataset")) / INDIRECT(ADDRESS(ROW(), COLUMN(), 4, TRUE, "Export-dataset")), "" )</f>
        <v>1.1634615384615385</v>
      </c>
      <c r="AU30" s="6" cm="1">
        <f t="array" aca="1" ref="AU30" ca="1">IFERROR( INDIRECT(ADDRESS(ROW()+1, COLUMN(), 4, TRUE, "Export-dataset")) / INDIRECT(ADDRESS(ROW(), COLUMN(), 4, TRUE, "Export-dataset")), "" )</f>
        <v>1.0198019801980198</v>
      </c>
      <c r="AV30" s="6" cm="1">
        <f t="array" aca="1" ref="AV30" ca="1">IFERROR( INDIRECT(ADDRESS(ROW()+1, COLUMN(), 4, TRUE, "Export-dataset")) / INDIRECT(ADDRESS(ROW(), COLUMN(), 4, TRUE, "Export-dataset")), "" )</f>
        <v>1.0182741116751268</v>
      </c>
      <c r="AW30" s="6" cm="1">
        <f t="array" aca="1" ref="AW30" ca="1">IFERROR( INDIRECT(ADDRESS(ROW()+1, COLUMN(), 4, TRUE, "Export-dataset")) / INDIRECT(ADDRESS(ROW(), COLUMN(), 4, TRUE, "Export-dataset")), "" )</f>
        <v>1.1848739495798319</v>
      </c>
      <c r="AX30" s="6" cm="1">
        <f t="array" aca="1" ref="AX30" ca="1">IFERROR( INDIRECT(ADDRESS(ROW()+1, COLUMN(), 4, TRUE, "Export-dataset")) / INDIRECT(ADDRESS(ROW(), COLUMN(), 4, TRUE, "Export-dataset")), "" )</f>
        <v>1.1612903225806452</v>
      </c>
      <c r="AY30" s="6" cm="1">
        <f t="array" aca="1" ref="AY30" ca="1">IFERROR( INDIRECT(ADDRESS(ROW()+1, COLUMN(), 4, TRUE, "Export-dataset")) / INDIRECT(ADDRESS(ROW(), COLUMN(), 4, TRUE, "Export-dataset")), "" )</f>
        <v>1.0059171597633136</v>
      </c>
      <c r="AZ30" s="6" cm="1">
        <f t="array" aca="1" ref="AZ30" ca="1">IFERROR( INDIRECT(ADDRESS(ROW()+1, COLUMN(), 4, TRUE, "Export-dataset")) / INDIRECT(ADDRESS(ROW(), COLUMN(), 4, TRUE, "Export-dataset")), "" )</f>
        <v>0.91685764048033735</v>
      </c>
      <c r="BA30" s="6" cm="1">
        <f t="array" aca="1" ref="BA30" ca="1">IFERROR( INDIRECT(ADDRESS(ROW()+1, COLUMN(), 4, TRUE, "Export-dataset")) / INDIRECT(ADDRESS(ROW(), COLUMN(), 4, TRUE, "Export-dataset")), "" )</f>
        <v>0.99443413729128016</v>
      </c>
      <c r="BB30" s="6" cm="1">
        <f t="array" aca="1" ref="BB30" ca="1">IFERROR( INDIRECT(ADDRESS(ROW()+1, COLUMN(), 4, TRUE, "Export-dataset")) / INDIRECT(ADDRESS(ROW(), COLUMN(), 4, TRUE, "Export-dataset")), "" )</f>
        <v>1.0903528451968183</v>
      </c>
      <c r="BC30" s="6" cm="1">
        <f t="array" aca="1" ref="BC30" ca="1">IFERROR( INDIRECT(ADDRESS(ROW()+1, COLUMN(), 4, TRUE, "Export-dataset")) / INDIRECT(ADDRESS(ROW(), COLUMN(), 4, TRUE, "Export-dataset")), "" )</f>
        <v>1.0907103825136613</v>
      </c>
      <c r="BD30" s="6" cm="1">
        <f t="array" aca="1" ref="BD30" ca="1">IFERROR( INDIRECT(ADDRESS(ROW()+1, COLUMN(), 4, TRUE, "Export-dataset")) / INDIRECT(ADDRESS(ROW(), COLUMN(), 4, TRUE, "Export-dataset")), "" )</f>
        <v>0.97484909456740443</v>
      </c>
      <c r="BE30" s="6" cm="1">
        <f t="array" aca="1" ref="BE30" ca="1">IFERROR( INDIRECT(ADDRESS(ROW()+1, COLUMN(), 4, TRUE, "Export-dataset")) / INDIRECT(ADDRESS(ROW(), COLUMN(), 4, TRUE, "Export-dataset")), "" )</f>
        <v>0.84656084656084651</v>
      </c>
      <c r="BF30" s="6" cm="1">
        <f t="array" aca="1" ref="BF30" ca="1">IFERROR( INDIRECT(ADDRESS(ROW()+1, COLUMN(), 4, TRUE, "Export-dataset")) / INDIRECT(ADDRESS(ROW(), COLUMN(), 4, TRUE, "Export-dataset")), "" )</f>
        <v>1.0935288169868553</v>
      </c>
      <c r="BG30" s="6" cm="1">
        <f t="array" aca="1" ref="BG30" ca="1">IFERROR( INDIRECT(ADDRESS(ROW()+1, COLUMN(), 4, TRUE, "Export-dataset")) / INDIRECT(ADDRESS(ROW(), COLUMN(), 4, TRUE, "Export-dataset")), "" )</f>
        <v>1.1469627694317439</v>
      </c>
      <c r="BH30" s="6" cm="1">
        <f t="array" aca="1" ref="BH30" ca="1">IFERROR( INDIRECT(ADDRESS(ROW()+1, COLUMN(), 4, TRUE, "Export-dataset")) / INDIRECT(ADDRESS(ROW(), COLUMN(), 4, TRUE, "Export-dataset")), "" )</f>
        <v>1.265033407572383</v>
      </c>
      <c r="BI30" s="6" cm="1">
        <f t="array" aca="1" ref="BI30" ca="1">IFERROR( INDIRECT(ADDRESS(ROW()+1, COLUMN(), 4, TRUE, "Export-dataset")) / INDIRECT(ADDRESS(ROW(), COLUMN(), 4, TRUE, "Export-dataset")), "" )</f>
        <v>1.0660621761658031</v>
      </c>
      <c r="BJ30" s="6" cm="1">
        <f t="array" aca="1" ref="BJ30" ca="1">IFERROR( INDIRECT(ADDRESS(ROW()+1, COLUMN(), 4, TRUE, "Export-dataset")) / INDIRECT(ADDRESS(ROW(), COLUMN(), 4, TRUE, "Export-dataset")), "" )</f>
        <v>1.1144859813084111</v>
      </c>
      <c r="BK30" s="6" cm="1">
        <f t="array" aca="1" ref="BK30" ca="1">IFERROR( INDIRECT(ADDRESS(ROW()+1, COLUMN(), 4, TRUE, "Export-dataset")) / INDIRECT(ADDRESS(ROW(), COLUMN(), 4, TRUE, "Export-dataset")), "" )</f>
        <v>1.0476404494382023</v>
      </c>
      <c r="BL30" s="6" cm="1">
        <f t="array" aca="1" ref="BL30" ca="1">IFERROR( INDIRECT(ADDRESS(ROW()+1, COLUMN(), 4, TRUE, "Export-dataset")) / INDIRECT(ADDRESS(ROW(), COLUMN(), 4, TRUE, "Export-dataset")), "" )</f>
        <v>1.1694191872332529</v>
      </c>
      <c r="BM30" s="6" cm="1">
        <f t="array" aca="1" ref="BM30" ca="1">IFERROR( INDIRECT(ADDRESS(ROW()+1, COLUMN(), 4, TRUE, "Export-dataset")) / INDIRECT(ADDRESS(ROW(), COLUMN(), 4, TRUE, "Export-dataset")), "" )</f>
        <v>1.2602739726027397</v>
      </c>
      <c r="BN30" s="6" cm="1">
        <f t="array" aca="1" ref="BN30" ca="1">IFERROR( INDIRECT(ADDRESS(ROW()+1, COLUMN(), 4, TRUE, "Export-dataset")) / INDIRECT(ADDRESS(ROW(), COLUMN(), 4, TRUE, "Export-dataset")), "" )</f>
        <v>1.28</v>
      </c>
      <c r="BO30" s="6" cm="1">
        <f t="array" aca="1" ref="BO30" ca="1">IFERROR( INDIRECT(ADDRESS(ROW()+1, COLUMN(), 4, TRUE, "Export-dataset")) / INDIRECT(ADDRESS(ROW(), COLUMN(), 4, TRUE, "Export-dataset")), "" )</f>
        <v>1.0227272727272727</v>
      </c>
      <c r="BP30" s="6" cm="1">
        <f t="array" aca="1" ref="BP30" ca="1">IFERROR( INDIRECT(ADDRESS(ROW()+1, COLUMN(), 4, TRUE, "Export-dataset")) / INDIRECT(ADDRESS(ROW(), COLUMN(), 4, TRUE, "Export-dataset")), "" )</f>
        <v>1.2267206477732793</v>
      </c>
      <c r="BQ30" s="6" cm="1">
        <f t="array" aca="1" ref="BQ30" ca="1">IFERROR( INDIRECT(ADDRESS(ROW()+1, COLUMN(), 4, TRUE, "Export-dataset")) / INDIRECT(ADDRESS(ROW(), COLUMN(), 4, TRUE, "Export-dataset")), "" )</f>
        <v>1.2058823529411764</v>
      </c>
      <c r="BR30" s="6" cm="1">
        <f t="array" aca="1" ref="BR30" ca="1">IFERROR( INDIRECT(ADDRESS(ROW()+1, COLUMN(), 4, TRUE, "Export-dataset")) / INDIRECT(ADDRESS(ROW(), COLUMN(), 4, TRUE, "Export-dataset")), "" )</f>
        <v>1.1438645980253879</v>
      </c>
      <c r="BS30" s="6" cm="1">
        <f t="array" aca="1" ref="BS30" ca="1">IFERROR( INDIRECT(ADDRESS(ROW()+1, COLUMN(), 4, TRUE, "Export-dataset")) / INDIRECT(ADDRESS(ROW(), COLUMN(), 4, TRUE, "Export-dataset")), "" )</f>
        <v>1.3636363636363635</v>
      </c>
      <c r="BT30" s="6" cm="1">
        <f t="array" aca="1" ref="BT30" ca="1">IFERROR( INDIRECT(ADDRESS(ROW()+1, COLUMN(), 4, TRUE, "Export-dataset")) / INDIRECT(ADDRESS(ROW(), COLUMN(), 4, TRUE, "Export-dataset")), "" )</f>
        <v>1.1534569983136593</v>
      </c>
      <c r="BU30" s="6" cm="1">
        <f t="array" aca="1" ref="BU30" ca="1">IFERROR( INDIRECT(ADDRESS(ROW()+1, COLUMN(), 4, TRUE, "Export-dataset")) / INDIRECT(ADDRESS(ROW(), COLUMN(), 4, TRUE, "Export-dataset")), "" )</f>
        <v>1.0630905928259131</v>
      </c>
      <c r="BV30" s="6" cm="1">
        <f t="array" aca="1" ref="BV30" ca="1">IFERROR( INDIRECT(ADDRESS(ROW()+1, COLUMN(), 4, TRUE, "Export-dataset")) / INDIRECT(ADDRESS(ROW(), COLUMN(), 4, TRUE, "Export-dataset")), "" )</f>
        <v>1.0077399380804954</v>
      </c>
      <c r="BW30" s="6" cm="1">
        <f t="array" aca="1" ref="BW30" ca="1">IFERROR( INDIRECT(ADDRESS(ROW()+1, COLUMN(), 4, TRUE, "Export-dataset")) / INDIRECT(ADDRESS(ROW(), COLUMN(), 4, TRUE, "Export-dataset")), "" )</f>
        <v>1.1802816901408451</v>
      </c>
      <c r="BX30" s="6" cm="1">
        <f t="array" aca="1" ref="BX30" ca="1">IFERROR( INDIRECT(ADDRESS(ROW()+1, COLUMN(), 4, TRUE, "Export-dataset")) / INDIRECT(ADDRESS(ROW(), COLUMN(), 4, TRUE, "Export-dataset")), "" )</f>
        <v>5</v>
      </c>
      <c r="BY30" s="6" cm="1">
        <f t="array" aca="1" ref="BY30" ca="1">IFERROR( INDIRECT(ADDRESS(ROW()+1, COLUMN(), 4, TRUE, "Export-dataset")) / INDIRECT(ADDRESS(ROW(), COLUMN(), 4, TRUE, "Export-dataset")), "" )</f>
        <v>1.077643212720113</v>
      </c>
      <c r="BZ30" s="6" cm="1">
        <f t="array" aca="1" ref="BZ30" ca="1">IFERROR( INDIRECT(ADDRESS(ROW()+1, COLUMN(), 4, TRUE, "Export-dataset")) / INDIRECT(ADDRESS(ROW(), COLUMN(), 4, TRUE, "Export-dataset")), "" )</f>
        <v>1.0268641294988807</v>
      </c>
      <c r="CA30" s="6" cm="1">
        <f t="array" aca="1" ref="CA30" ca="1">IFERROR( INDIRECT(ADDRESS(ROW()+1, COLUMN(), 4, TRUE, "Export-dataset")) / INDIRECT(ADDRESS(ROW(), COLUMN(), 4, TRUE, "Export-dataset")), "" )</f>
        <v>0.93866645607939136</v>
      </c>
    </row>
    <row r="31" spans="1:79">
      <c r="A31" s="6" t="s">
        <v>188</v>
      </c>
      <c r="B31" s="6" cm="1">
        <f t="array" aca="1" ref="B31" ca="1">IFERROR( INDIRECT(ADDRESS(ROW()+1, COLUMN(), 4, TRUE, "Export-dataset")) / INDIRECT(ADDRESS(ROW(), COLUMN(), 4, TRUE, "Export-dataset")), "" )</f>
        <v>0.9150350631136045</v>
      </c>
      <c r="C31" s="6" cm="1">
        <f t="array" aca="1" ref="C31" ca="1">IFERROR( INDIRECT(ADDRESS(ROW()+1, COLUMN(), 4, TRUE, "Export-dataset")) / INDIRECT(ADDRESS(ROW(), COLUMN(), 4, TRUE, "Export-dataset")), "" )</f>
        <v>0.98787559304164474</v>
      </c>
      <c r="D31" s="6" cm="1">
        <f t="array" aca="1" ref="D31" ca="1">IFERROR( INDIRECT(ADDRESS(ROW()+1, COLUMN(), 4, TRUE, "Export-dataset")) / INDIRECT(ADDRESS(ROW(), COLUMN(), 4, TRUE, "Export-dataset")), "" )</f>
        <v>0.84396407367940329</v>
      </c>
      <c r="E31" s="6" cm="1">
        <f t="array" aca="1" ref="E31" ca="1">IFERROR( INDIRECT(ADDRESS(ROW()+1, COLUMN(), 4, TRUE, "Export-dataset")) / INDIRECT(ADDRESS(ROW(), COLUMN(), 4, TRUE, "Export-dataset")), "" )</f>
        <v>0.92462311557788945</v>
      </c>
      <c r="F31" s="6" cm="1">
        <f t="array" aca="1" ref="F31" ca="1">IFERROR( INDIRECT(ADDRESS(ROW()+1, COLUMN(), 4, TRUE, "Export-dataset")) / INDIRECT(ADDRESS(ROW(), COLUMN(), 4, TRUE, "Export-dataset")), "" )</f>
        <v>0.98782234957020054</v>
      </c>
      <c r="G31" s="6" cm="1">
        <f t="array" aca="1" ref="G31" ca="1">IFERROR( INDIRECT(ADDRESS(ROW()+1, COLUMN(), 4, TRUE, "Export-dataset")) / INDIRECT(ADDRESS(ROW(), COLUMN(), 4, TRUE, "Export-dataset")), "" )</f>
        <v>0.8116500696005996</v>
      </c>
      <c r="H31" s="6" cm="1">
        <f t="array" aca="1" ref="H31" ca="1">IFERROR( INDIRECT(ADDRESS(ROW()+1, COLUMN(), 4, TRUE, "Export-dataset")) / INDIRECT(ADDRESS(ROW(), COLUMN(), 4, TRUE, "Export-dataset")), "" )</f>
        <v>1.0665125834617359</v>
      </c>
      <c r="I31" s="6" cm="1">
        <f t="array" aca="1" ref="I31" ca="1">IFERROR( INDIRECT(ADDRESS(ROW()+1, COLUMN(), 4, TRUE, "Export-dataset")) / INDIRECT(ADDRESS(ROW(), COLUMN(), 4, TRUE, "Export-dataset")), "" )</f>
        <v>1.1352313167259787</v>
      </c>
      <c r="J31" s="6" cm="1">
        <f t="array" aca="1" ref="J31" ca="1">IFERROR( INDIRECT(ADDRESS(ROW()+1, COLUMN(), 4, TRUE, "Export-dataset")) / INDIRECT(ADDRESS(ROW(), COLUMN(), 4, TRUE, "Export-dataset")), "" )</f>
        <v>1.1067073170731707</v>
      </c>
      <c r="K31" s="6" cm="1">
        <f t="array" aca="1" ref="K31" ca="1">IFERROR( INDIRECT(ADDRESS(ROW()+1, COLUMN(), 4, TRUE, "Export-dataset")) / INDIRECT(ADDRESS(ROW(), COLUMN(), 4, TRUE, "Export-dataset")), "" )</f>
        <v>0.97185430463576161</v>
      </c>
      <c r="L31" s="6" cm="1">
        <f t="array" aca="1" ref="L31" ca="1">IFERROR( INDIRECT(ADDRESS(ROW()+1, COLUMN(), 4, TRUE, "Export-dataset")) / INDIRECT(ADDRESS(ROW(), COLUMN(), 4, TRUE, "Export-dataset")), "" )</f>
        <v>1.3929173693086003</v>
      </c>
      <c r="M31" s="6" cm="1">
        <f t="array" aca="1" ref="M31" ca="1">IFERROR( INDIRECT(ADDRESS(ROW()+1, COLUMN(), 4, TRUE, "Export-dataset")) / INDIRECT(ADDRESS(ROW(), COLUMN(), 4, TRUE, "Export-dataset")), "" )</f>
        <v>1.0622521808088818</v>
      </c>
      <c r="N31" s="6" cm="1">
        <f t="array" aca="1" ref="N31" ca="1">IFERROR( INDIRECT(ADDRESS(ROW()+1, COLUMN(), 4, TRUE, "Export-dataset")) / INDIRECT(ADDRESS(ROW(), COLUMN(), 4, TRUE, "Export-dataset")), "" )</f>
        <v>1.0631364562118126</v>
      </c>
      <c r="O31" s="6" cm="1">
        <f t="array" aca="1" ref="O31" ca="1">IFERROR( INDIRECT(ADDRESS(ROW()+1, COLUMN(), 4, TRUE, "Export-dataset")) / INDIRECT(ADDRESS(ROW(), COLUMN(), 4, TRUE, "Export-dataset")), "" )</f>
        <v>1.0303030303030303</v>
      </c>
      <c r="P31" s="6" cm="1">
        <f t="array" aca="1" ref="P31" ca="1">IFERROR( INDIRECT(ADDRESS(ROW()+1, COLUMN(), 4, TRUE, "Export-dataset")) / INDIRECT(ADDRESS(ROW(), COLUMN(), 4, TRUE, "Export-dataset")), "" )</f>
        <v>1.0255337936447591</v>
      </c>
      <c r="Q31" s="6" cm="1">
        <f t="array" aca="1" ref="Q31" ca="1">IFERROR( INDIRECT(ADDRESS(ROW()+1, COLUMN(), 4, TRUE, "Export-dataset")) / INDIRECT(ADDRESS(ROW(), COLUMN(), 4, TRUE, "Export-dataset")), "" )</f>
        <v>0.80840664711632448</v>
      </c>
      <c r="R31" s="6" cm="1">
        <f t="array" aca="1" ref="R31" ca="1">IFERROR( INDIRECT(ADDRESS(ROW()+1, COLUMN(), 4, TRUE, "Export-dataset")) / INDIRECT(ADDRESS(ROW(), COLUMN(), 4, TRUE, "Export-dataset")), "" )</f>
        <v>0.88107098381070981</v>
      </c>
      <c r="S31" s="6" cm="1">
        <f t="array" aca="1" ref="S31" ca="1">IFERROR( INDIRECT(ADDRESS(ROW()+1, COLUMN(), 4, TRUE, "Export-dataset")) / INDIRECT(ADDRESS(ROW(), COLUMN(), 4, TRUE, "Export-dataset")), "" )</f>
        <v>0.63636363636363635</v>
      </c>
      <c r="T31" s="6" cm="1">
        <f t="array" aca="1" ref="T31" ca="1">IFERROR( INDIRECT(ADDRESS(ROW()+1, COLUMN(), 4, TRUE, "Export-dataset")) / INDIRECT(ADDRESS(ROW(), COLUMN(), 4, TRUE, "Export-dataset")), "" )</f>
        <v>1.1390856406954282</v>
      </c>
      <c r="U31" s="6" cm="1">
        <f t="array" aca="1" ref="U31" ca="1">IFERROR( INDIRECT(ADDRESS(ROW()+1, COLUMN(), 4, TRUE, "Export-dataset")) / INDIRECT(ADDRESS(ROW(), COLUMN(), 4, TRUE, "Export-dataset")), "" )</f>
        <v>0.952755905511811</v>
      </c>
      <c r="V31" s="6" cm="1">
        <f t="array" aca="1" ref="V31" ca="1">IFERROR( INDIRECT(ADDRESS(ROW()+1, COLUMN(), 4, TRUE, "Export-dataset")) / INDIRECT(ADDRESS(ROW(), COLUMN(), 4, TRUE, "Export-dataset")), "" )</f>
        <v>1.1599115696389093</v>
      </c>
      <c r="W31" s="6" cm="1">
        <f t="array" aca="1" ref="W31" ca="1">IFERROR( INDIRECT(ADDRESS(ROW()+1, COLUMN(), 4, TRUE, "Export-dataset")) / INDIRECT(ADDRESS(ROW(), COLUMN(), 4, TRUE, "Export-dataset")), "" )</f>
        <v>1.1195286195286196</v>
      </c>
      <c r="X31" s="6" cm="1">
        <f t="array" aca="1" ref="X31" ca="1">IFERROR( INDIRECT(ADDRESS(ROW()+1, COLUMN(), 4, TRUE, "Export-dataset")) / INDIRECT(ADDRESS(ROW(), COLUMN(), 4, TRUE, "Export-dataset")), "" )</f>
        <v>1.0214593467685893</v>
      </c>
      <c r="Y31" s="6" cm="1">
        <f t="array" aca="1" ref="Y31" ca="1">IFERROR( INDIRECT(ADDRESS(ROW()+1, COLUMN(), 4, TRUE, "Export-dataset")) / INDIRECT(ADDRESS(ROW(), COLUMN(), 4, TRUE, "Export-dataset")), "" )</f>
        <v>0.98960498960498966</v>
      </c>
      <c r="Z31" s="6" cm="1">
        <f t="array" aca="1" ref="Z31" ca="1">IFERROR( INDIRECT(ADDRESS(ROW()+1, COLUMN(), 4, TRUE, "Export-dataset")) / INDIRECT(ADDRESS(ROW(), COLUMN(), 4, TRUE, "Export-dataset")), "" )</f>
        <v>1.0876172728441074</v>
      </c>
      <c r="AA31" s="6" cm="1">
        <f t="array" aca="1" ref="AA31" ca="1">IFERROR( INDIRECT(ADDRESS(ROW()+1, COLUMN(), 4, TRUE, "Export-dataset")) / INDIRECT(ADDRESS(ROW(), COLUMN(), 4, TRUE, "Export-dataset")), "" )</f>
        <v>1.1391269199676637</v>
      </c>
      <c r="AB31" s="6" cm="1">
        <f t="array" aca="1" ref="AB31" ca="1">IFERROR( INDIRECT(ADDRESS(ROW()+1, COLUMN(), 4, TRUE, "Export-dataset")) / INDIRECT(ADDRESS(ROW(), COLUMN(), 4, TRUE, "Export-dataset")), "" )</f>
        <v>0.85912183055040203</v>
      </c>
      <c r="AC31" s="6" cm="1">
        <f t="array" aca="1" ref="AC31" ca="1">IFERROR( INDIRECT(ADDRESS(ROW()+1, COLUMN(), 4, TRUE, "Export-dataset")) / INDIRECT(ADDRESS(ROW(), COLUMN(), 4, TRUE, "Export-dataset")), "" )</f>
        <v>1.0836167468042688</v>
      </c>
      <c r="AD31" s="6" cm="1">
        <f t="array" aca="1" ref="AD31" ca="1">IFERROR( INDIRECT(ADDRESS(ROW()+1, COLUMN(), 4, TRUE, "Export-dataset")) / INDIRECT(ADDRESS(ROW(), COLUMN(), 4, TRUE, "Export-dataset")), "" )</f>
        <v>1.0305343511450382</v>
      </c>
      <c r="AE31" s="6" cm="1">
        <f t="array" aca="1" ref="AE31" ca="1">IFERROR( INDIRECT(ADDRESS(ROW()+1, COLUMN(), 4, TRUE, "Export-dataset")) / INDIRECT(ADDRESS(ROW(), COLUMN(), 4, TRUE, "Export-dataset")), "" )</f>
        <v>1.0737913486005088</v>
      </c>
      <c r="AF31" s="6" cm="1">
        <f t="array" aca="1" ref="AF31" ca="1">IFERROR( INDIRECT(ADDRESS(ROW()+1, COLUMN(), 4, TRUE, "Export-dataset")) / INDIRECT(ADDRESS(ROW(), COLUMN(), 4, TRUE, "Export-dataset")), "" )</f>
        <v>0.91949152542372881</v>
      </c>
      <c r="AG31" s="6" cm="1">
        <f t="array" aca="1" ref="AG31" ca="1">IFERROR( INDIRECT(ADDRESS(ROW()+1, COLUMN(), 4, TRUE, "Export-dataset")) / INDIRECT(ADDRESS(ROW(), COLUMN(), 4, TRUE, "Export-dataset")), "" )</f>
        <v>1.48</v>
      </c>
      <c r="AH31" s="6" cm="1">
        <f t="array" aca="1" ref="AH31" ca="1">IFERROR( INDIRECT(ADDRESS(ROW()+1, COLUMN(), 4, TRUE, "Export-dataset")) / INDIRECT(ADDRESS(ROW(), COLUMN(), 4, TRUE, "Export-dataset")), "" )</f>
        <v>1.140850831742569</v>
      </c>
      <c r="AI31" s="6" cm="1">
        <f t="array" aca="1" ref="AI31" ca="1">IFERROR( INDIRECT(ADDRESS(ROW()+1, COLUMN(), 4, TRUE, "Export-dataset")) / INDIRECT(ADDRESS(ROW(), COLUMN(), 4, TRUE, "Export-dataset")), "" )</f>
        <v>1.0966183574879227</v>
      </c>
      <c r="AJ31" s="6" cm="1">
        <f t="array" aca="1" ref="AJ31" ca="1">IFERROR( INDIRECT(ADDRESS(ROW()+1, COLUMN(), 4, TRUE, "Export-dataset")) / INDIRECT(ADDRESS(ROW(), COLUMN(), 4, TRUE, "Export-dataset")), "" )</f>
        <v>0.78966346153846156</v>
      </c>
      <c r="AK31" s="6" cm="1">
        <f t="array" aca="1" ref="AK31" ca="1">IFERROR( INDIRECT(ADDRESS(ROW()+1, COLUMN(), 4, TRUE, "Export-dataset")) / INDIRECT(ADDRESS(ROW(), COLUMN(), 4, TRUE, "Export-dataset")), "" )</f>
        <v>1.0023668639053254</v>
      </c>
      <c r="AL31" s="6" cm="1">
        <f t="array" aca="1" ref="AL31" ca="1">IFERROR( INDIRECT(ADDRESS(ROW()+1, COLUMN(), 4, TRUE, "Export-dataset")) / INDIRECT(ADDRESS(ROW(), COLUMN(), 4, TRUE, "Export-dataset")), "" )</f>
        <v>1.4096239385361908</v>
      </c>
      <c r="AM31" s="6" cm="1">
        <f t="array" aca="1" ref="AM31" ca="1">IFERROR( INDIRECT(ADDRESS(ROW()+1, COLUMN(), 4, TRUE, "Export-dataset")) / INDIRECT(ADDRESS(ROW(), COLUMN(), 4, TRUE, "Export-dataset")), "" )</f>
        <v>1.1968408262454435</v>
      </c>
      <c r="AN31" s="6" cm="1">
        <f t="array" aca="1" ref="AN31" ca="1">IFERROR( INDIRECT(ADDRESS(ROW()+1, COLUMN(), 4, TRUE, "Export-dataset")) / INDIRECT(ADDRESS(ROW(), COLUMN(), 4, TRUE, "Export-dataset")), "" )</f>
        <v>1.0165289256198347</v>
      </c>
      <c r="AO31" s="6" cm="1">
        <f t="array" aca="1" ref="AO31" ca="1">IFERROR( INDIRECT(ADDRESS(ROW()+1, COLUMN(), 4, TRUE, "Export-dataset")) / INDIRECT(ADDRESS(ROW(), COLUMN(), 4, TRUE, "Export-dataset")), "" )</f>
        <v>0.86538461538461542</v>
      </c>
      <c r="AP31" s="6" cm="1">
        <f t="array" aca="1" ref="AP31" ca="1">IFERROR( INDIRECT(ADDRESS(ROW()+1, COLUMN(), 4, TRUE, "Export-dataset")) / INDIRECT(ADDRESS(ROW(), COLUMN(), 4, TRUE, "Export-dataset")), "" )</f>
        <v>1.1117021276595744</v>
      </c>
      <c r="AQ31" s="6" cm="1">
        <f t="array" aca="1" ref="AQ31" ca="1">IFERROR( INDIRECT(ADDRESS(ROW()+1, COLUMN(), 4, TRUE, "Export-dataset")) / INDIRECT(ADDRESS(ROW(), COLUMN(), 4, TRUE, "Export-dataset")), "" )</f>
        <v>1.0152526215443278</v>
      </c>
      <c r="AR31" s="6" cm="1">
        <f t="array" aca="1" ref="AR31" ca="1">IFERROR( INDIRECT(ADDRESS(ROW()+1, COLUMN(), 4, TRUE, "Export-dataset")) / INDIRECT(ADDRESS(ROW(), COLUMN(), 4, TRUE, "Export-dataset")), "" )</f>
        <v>0.91110507000135921</v>
      </c>
      <c r="AS31" s="6" cm="1">
        <f t="array" aca="1" ref="AS31" ca="1">IFERROR( INDIRECT(ADDRESS(ROW()+1, COLUMN(), 4, TRUE, "Export-dataset")) / INDIRECT(ADDRESS(ROW(), COLUMN(), 4, TRUE, "Export-dataset")), "" )</f>
        <v>0.73015873015873012</v>
      </c>
      <c r="AT31" s="6" cm="1">
        <f t="array" aca="1" ref="AT31" ca="1">IFERROR( INDIRECT(ADDRESS(ROW()+1, COLUMN(), 4, TRUE, "Export-dataset")) / INDIRECT(ADDRESS(ROW(), COLUMN(), 4, TRUE, "Export-dataset")), "" )</f>
        <v>1.0165289256198347</v>
      </c>
      <c r="AU31" s="6" cm="1">
        <f t="array" aca="1" ref="AU31" ca="1">IFERROR( INDIRECT(ADDRESS(ROW()+1, COLUMN(), 4, TRUE, "Export-dataset")) / INDIRECT(ADDRESS(ROW(), COLUMN(), 4, TRUE, "Export-dataset")), "" )</f>
        <v>1.0776699029126213</v>
      </c>
      <c r="AV31" s="6" cm="1">
        <f t="array" aca="1" ref="AV31" ca="1">IFERROR( INDIRECT(ADDRESS(ROW()+1, COLUMN(), 4, TRUE, "Export-dataset")) / INDIRECT(ADDRESS(ROW(), COLUMN(), 4, TRUE, "Export-dataset")), "" )</f>
        <v>0.98105682951146556</v>
      </c>
      <c r="AW31" s="6" cm="1">
        <f t="array" aca="1" ref="AW31" ca="1">IFERROR( INDIRECT(ADDRESS(ROW()+1, COLUMN(), 4, TRUE, "Export-dataset")) / INDIRECT(ADDRESS(ROW(), COLUMN(), 4, TRUE, "Export-dataset")), "" )</f>
        <v>0.95035460992907805</v>
      </c>
      <c r="AX31" s="6" cm="1">
        <f t="array" aca="1" ref="AX31" ca="1">IFERROR( INDIRECT(ADDRESS(ROW()+1, COLUMN(), 4, TRUE, "Export-dataset")) / INDIRECT(ADDRESS(ROW(), COLUMN(), 4, TRUE, "Export-dataset")), "" )</f>
        <v>0.98148148148148151</v>
      </c>
      <c r="AY31" s="6" cm="1">
        <f t="array" aca="1" ref="AY31" ca="1">IFERROR( INDIRECT(ADDRESS(ROW()+1, COLUMN(), 4, TRUE, "Export-dataset")) / INDIRECT(ADDRESS(ROW(), COLUMN(), 4, TRUE, "Export-dataset")), "" )</f>
        <v>0.88529411764705879</v>
      </c>
      <c r="AZ31" s="6" cm="1">
        <f t="array" aca="1" ref="AZ31" ca="1">IFERROR( INDIRECT(ADDRESS(ROW()+1, COLUMN(), 4, TRUE, "Export-dataset")) / INDIRECT(ADDRESS(ROW(), COLUMN(), 4, TRUE, "Export-dataset")), "" )</f>
        <v>0.88402319536092777</v>
      </c>
      <c r="BA31" s="6" cm="1">
        <f t="array" aca="1" ref="BA31" ca="1">IFERROR( INDIRECT(ADDRESS(ROW()+1, COLUMN(), 4, TRUE, "Export-dataset")) / INDIRECT(ADDRESS(ROW(), COLUMN(), 4, TRUE, "Export-dataset")), "" )</f>
        <v>1.0326492537313432</v>
      </c>
      <c r="BB31" s="6" cm="1">
        <f t="array" aca="1" ref="BB31" ca="1">IFERROR( INDIRECT(ADDRESS(ROW()+1, COLUMN(), 4, TRUE, "Export-dataset")) / INDIRECT(ADDRESS(ROW(), COLUMN(), 4, TRUE, "Export-dataset")), "" )</f>
        <v>0.95940890385334832</v>
      </c>
      <c r="BC31" s="6" cm="1">
        <f t="array" aca="1" ref="BC31" ca="1">IFERROR( INDIRECT(ADDRESS(ROW()+1, COLUMN(), 4, TRUE, "Export-dataset")) / INDIRECT(ADDRESS(ROW(), COLUMN(), 4, TRUE, "Export-dataset")), "" )</f>
        <v>0.87374749498997994</v>
      </c>
      <c r="BD31" s="6" cm="1">
        <f t="array" aca="1" ref="BD31" ca="1">IFERROR( INDIRECT(ADDRESS(ROW()+1, COLUMN(), 4, TRUE, "Export-dataset")) / INDIRECT(ADDRESS(ROW(), COLUMN(), 4, TRUE, "Export-dataset")), "" )</f>
        <v>0.96594427244582048</v>
      </c>
      <c r="BE31" s="6" cm="1">
        <f t="array" aca="1" ref="BE31" ca="1">IFERROR( INDIRECT(ADDRESS(ROW()+1, COLUMN(), 4, TRUE, "Export-dataset")) / INDIRECT(ADDRESS(ROW(), COLUMN(), 4, TRUE, "Export-dataset")), "" )</f>
        <v>1.0062500000000001</v>
      </c>
      <c r="BF31" s="6" cm="1">
        <f t="array" aca="1" ref="BF31" ca="1">IFERROR( INDIRECT(ADDRESS(ROW()+1, COLUMN(), 4, TRUE, "Export-dataset")) / INDIRECT(ADDRESS(ROW(), COLUMN(), 4, TRUE, "Export-dataset")), "" )</f>
        <v>1.0490060101710588</v>
      </c>
      <c r="BG31" s="6" cm="1">
        <f t="array" aca="1" ref="BG31" ca="1">IFERROR( INDIRECT(ADDRESS(ROW()+1, COLUMN(), 4, TRUE, "Export-dataset")) / INDIRECT(ADDRESS(ROW(), COLUMN(), 4, TRUE, "Export-dataset")), "" )</f>
        <v>0.87813211845102501</v>
      </c>
      <c r="BH31" s="6" cm="1">
        <f t="array" aca="1" ref="BH31" ca="1">IFERROR( INDIRECT(ADDRESS(ROW()+1, COLUMN(), 4, TRUE, "Export-dataset")) / INDIRECT(ADDRESS(ROW(), COLUMN(), 4, TRUE, "Export-dataset")), "" )</f>
        <v>1.028169014084507</v>
      </c>
      <c r="BI31" s="6" cm="1">
        <f t="array" aca="1" ref="BI31" ca="1">IFERROR( INDIRECT(ADDRESS(ROW()+1, COLUMN(), 4, TRUE, "Export-dataset")) / INDIRECT(ADDRESS(ROW(), COLUMN(), 4, TRUE, "Export-dataset")), "" )</f>
        <v>1.0273390036452006</v>
      </c>
      <c r="BJ31" s="6" cm="1">
        <f t="array" aca="1" ref="BJ31" ca="1">IFERROR( INDIRECT(ADDRESS(ROW()+1, COLUMN(), 4, TRUE, "Export-dataset")) / INDIRECT(ADDRESS(ROW(), COLUMN(), 4, TRUE, "Export-dataset")), "" )</f>
        <v>0.88050314465408808</v>
      </c>
      <c r="BK31" s="6" cm="1">
        <f t="array" aca="1" ref="BK31" ca="1">IFERROR( INDIRECT(ADDRESS(ROW()+1, COLUMN(), 4, TRUE, "Export-dataset")) / INDIRECT(ADDRESS(ROW(), COLUMN(), 4, TRUE, "Export-dataset")), "" )</f>
        <v>0.98241098241098246</v>
      </c>
      <c r="BL31" s="6" cm="1">
        <f t="array" aca="1" ref="BL31" ca="1">IFERROR( INDIRECT(ADDRESS(ROW()+1, COLUMN(), 4, TRUE, "Export-dataset")) / INDIRECT(ADDRESS(ROW(), COLUMN(), 4, TRUE, "Export-dataset")), "" )</f>
        <v>1.0406220247540463</v>
      </c>
      <c r="BM31" s="6" cm="1">
        <f t="array" aca="1" ref="BM31" ca="1">IFERROR( INDIRECT(ADDRESS(ROW()+1, COLUMN(), 4, TRUE, "Export-dataset")) / INDIRECT(ADDRESS(ROW(), COLUMN(), 4, TRUE, "Export-dataset")), "" )</f>
        <v>0.73913043478260865</v>
      </c>
      <c r="BN31" s="6" cm="1">
        <f t="array" aca="1" ref="BN31" ca="1">IFERROR( INDIRECT(ADDRESS(ROW()+1, COLUMN(), 4, TRUE, "Export-dataset")) / INDIRECT(ADDRESS(ROW(), COLUMN(), 4, TRUE, "Export-dataset")), "" )</f>
        <v>1.0390625</v>
      </c>
      <c r="BO31" s="6" cm="1">
        <f t="array" aca="1" ref="BO31" ca="1">IFERROR( INDIRECT(ADDRESS(ROW()+1, COLUMN(), 4, TRUE, "Export-dataset")) / INDIRECT(ADDRESS(ROW(), COLUMN(), 4, TRUE, "Export-dataset")), "" )</f>
        <v>1.4222222222222223</v>
      </c>
      <c r="BP31" s="6" cm="1">
        <f t="array" aca="1" ref="BP31" ca="1">IFERROR( INDIRECT(ADDRESS(ROW()+1, COLUMN(), 4, TRUE, "Export-dataset")) / INDIRECT(ADDRESS(ROW(), COLUMN(), 4, TRUE, "Export-dataset")), "" )</f>
        <v>1.0825082508250825</v>
      </c>
      <c r="BQ31" s="6" cm="1">
        <f t="array" aca="1" ref="BQ31" ca="1">IFERROR( INDIRECT(ADDRESS(ROW()+1, COLUMN(), 4, TRUE, "Export-dataset")) / INDIRECT(ADDRESS(ROW(), COLUMN(), 4, TRUE, "Export-dataset")), "" )</f>
        <v>1.1219512195121952</v>
      </c>
      <c r="BR31" s="6" cm="1">
        <f t="array" aca="1" ref="BR31" ca="1">IFERROR( INDIRECT(ADDRESS(ROW()+1, COLUMN(), 4, TRUE, "Export-dataset")) / INDIRECT(ADDRESS(ROW(), COLUMN(), 4, TRUE, "Export-dataset")), "" )</f>
        <v>1.0406905055487052</v>
      </c>
      <c r="BS31" s="6" cm="1">
        <f t="array" aca="1" ref="BS31" ca="1">IFERROR( INDIRECT(ADDRESS(ROW()+1, COLUMN(), 4, TRUE, "Export-dataset")) / INDIRECT(ADDRESS(ROW(), COLUMN(), 4, TRUE, "Export-dataset")), "" )</f>
        <v>1.0487179487179488</v>
      </c>
      <c r="BT31" s="6" cm="1">
        <f t="array" aca="1" ref="BT31" ca="1">IFERROR( INDIRECT(ADDRESS(ROW()+1, COLUMN(), 4, TRUE, "Export-dataset")) / INDIRECT(ADDRESS(ROW(), COLUMN(), 4, TRUE, "Export-dataset")), "" )</f>
        <v>1.0460526315789473</v>
      </c>
      <c r="BU31" s="6" cm="1">
        <f t="array" aca="1" ref="BU31" ca="1">IFERROR( INDIRECT(ADDRESS(ROW()+1, COLUMN(), 4, TRUE, "Export-dataset")) / INDIRECT(ADDRESS(ROW(), COLUMN(), 4, TRUE, "Export-dataset")), "" )</f>
        <v>1.2139919515323043</v>
      </c>
      <c r="BV31" s="6" cm="1">
        <f t="array" aca="1" ref="BV31" ca="1">IFERROR( INDIRECT(ADDRESS(ROW()+1, COLUMN(), 4, TRUE, "Export-dataset")) / INDIRECT(ADDRESS(ROW(), COLUMN(), 4, TRUE, "Export-dataset")), "" )</f>
        <v>1.2004608294930876</v>
      </c>
      <c r="BW31" s="6" cm="1">
        <f t="array" aca="1" ref="BW31" ca="1">IFERROR( INDIRECT(ADDRESS(ROW()+1, COLUMN(), 4, TRUE, "Export-dataset")) / INDIRECT(ADDRESS(ROW(), COLUMN(), 4, TRUE, "Export-dataset")), "" )</f>
        <v>1.1801909307875895</v>
      </c>
      <c r="BX31" s="6" cm="1">
        <f t="array" aca="1" ref="BX31" ca="1">IFERROR( INDIRECT(ADDRESS(ROW()+1, COLUMN(), 4, TRUE, "Export-dataset")) / INDIRECT(ADDRESS(ROW(), COLUMN(), 4, TRUE, "Export-dataset")), "" )</f>
        <v>0.2</v>
      </c>
      <c r="BY31" s="6" cm="1">
        <f t="array" aca="1" ref="BY31" ca="1">IFERROR( INDIRECT(ADDRESS(ROW()+1, COLUMN(), 4, TRUE, "Export-dataset")) / INDIRECT(ADDRESS(ROW(), COLUMN(), 4, TRUE, "Export-dataset")), "" )</f>
        <v>1.3001241036955322</v>
      </c>
      <c r="BZ31" s="6" cm="1">
        <f t="array" aca="1" ref="BZ31" ca="1">IFERROR( INDIRECT(ADDRESS(ROW()+1, COLUMN(), 4, TRUE, "Export-dataset")) / INDIRECT(ADDRESS(ROW(), COLUMN(), 4, TRUE, "Export-dataset")), "" )</f>
        <v>1.0134160657387221</v>
      </c>
      <c r="CA31" s="6" cm="1">
        <f t="array" aca="1" ref="CA31" ca="1">IFERROR( INDIRECT(ADDRESS(ROW()+1, COLUMN(), 4, TRUE, "Export-dataset")) / INDIRECT(ADDRESS(ROW(), COLUMN(), 4, TRUE, "Export-dataset")), "" )</f>
        <v>1.0354789213702813</v>
      </c>
    </row>
    <row r="32" spans="1:79">
      <c r="A32" s="6" t="s">
        <v>189</v>
      </c>
      <c r="B32" s="6" cm="1">
        <f t="array" aca="1" ref="B32" ca="1">IFERROR( INDIRECT(ADDRESS(ROW()+1, COLUMN(), 4, TRUE, "Export-dataset")) / INDIRECT(ADDRESS(ROW(), COLUMN(), 4, TRUE, "Export-dataset")), "" )</f>
        <v>1.1218540204162963</v>
      </c>
      <c r="C32" s="6" cm="1">
        <f t="array" aca="1" ref="C32" ca="1">IFERROR( INDIRECT(ADDRESS(ROW()+1, COLUMN(), 4, TRUE, "Export-dataset")) / INDIRECT(ADDRESS(ROW(), COLUMN(), 4, TRUE, "Export-dataset")), "" )</f>
        <v>0.86339381003201709</v>
      </c>
      <c r="D32" s="6" cm="1">
        <f t="array" aca="1" ref="D32" ca="1">IFERROR( INDIRECT(ADDRESS(ROW()+1, COLUMN(), 4, TRUE, "Export-dataset")) / INDIRECT(ADDRESS(ROW(), COLUMN(), 4, TRUE, "Export-dataset")), "" )</f>
        <v>1.0672799422799424</v>
      </c>
      <c r="E32" s="6" cm="1">
        <f t="array" aca="1" ref="E32" ca="1">IFERROR( INDIRECT(ADDRESS(ROW()+1, COLUMN(), 4, TRUE, "Export-dataset")) / INDIRECT(ADDRESS(ROW(), COLUMN(), 4, TRUE, "Export-dataset")), "" )</f>
        <v>1.0620471014492754</v>
      </c>
      <c r="F32" s="6" cm="1">
        <f t="array" aca="1" ref="F32" ca="1">IFERROR( INDIRECT(ADDRESS(ROW()+1, COLUMN(), 4, TRUE, "Export-dataset")) / INDIRECT(ADDRESS(ROW(), COLUMN(), 4, TRUE, "Export-dataset")), "" )</f>
        <v>1.0326323422770123</v>
      </c>
      <c r="G32" s="6" cm="1">
        <f t="array" aca="1" ref="G32" ca="1">IFERROR( INDIRECT(ADDRESS(ROW()+1, COLUMN(), 4, TRUE, "Export-dataset")) / INDIRECT(ADDRESS(ROW(), COLUMN(), 4, TRUE, "Export-dataset")), "" )</f>
        <v>1.2316622691292876</v>
      </c>
      <c r="H32" s="6" cm="1">
        <f t="array" aca="1" ref="H32" ca="1">IFERROR( INDIRECT(ADDRESS(ROW()+1, COLUMN(), 4, TRUE, "Export-dataset")) / INDIRECT(ADDRESS(ROW(), COLUMN(), 4, TRUE, "Export-dataset")), "" )</f>
        <v>1.2277871418251867</v>
      </c>
      <c r="I32" s="6" cm="1">
        <f t="array" aca="1" ref="I32" ca="1">IFERROR( INDIRECT(ADDRESS(ROW()+1, COLUMN(), 4, TRUE, "Export-dataset")) / INDIRECT(ADDRESS(ROW(), COLUMN(), 4, TRUE, "Export-dataset")), "" )</f>
        <v>1.0344827586206897</v>
      </c>
      <c r="J32" s="6" cm="1">
        <f t="array" aca="1" ref="J32" ca="1">IFERROR( INDIRECT(ADDRESS(ROW()+1, COLUMN(), 4, TRUE, "Export-dataset")) / INDIRECT(ADDRESS(ROW(), COLUMN(), 4, TRUE, "Export-dataset")), "" )</f>
        <v>1.0165289256198347</v>
      </c>
      <c r="K32" s="6" cm="1">
        <f t="array" aca="1" ref="K32" ca="1">IFERROR( INDIRECT(ADDRESS(ROW()+1, COLUMN(), 4, TRUE, "Export-dataset")) / INDIRECT(ADDRESS(ROW(), COLUMN(), 4, TRUE, "Export-dataset")), "" )</f>
        <v>1.0477001703577513</v>
      </c>
      <c r="L32" s="6" cm="1">
        <f t="array" aca="1" ref="L32" ca="1">IFERROR( INDIRECT(ADDRESS(ROW()+1, COLUMN(), 4, TRUE, "Export-dataset")) / INDIRECT(ADDRESS(ROW(), COLUMN(), 4, TRUE, "Export-dataset")), "" )</f>
        <v>1.215092816787732</v>
      </c>
      <c r="M32" s="6" cm="1">
        <f t="array" aca="1" ref="M32" ca="1">IFERROR( INDIRECT(ADDRESS(ROW()+1, COLUMN(), 4, TRUE, "Export-dataset")) / INDIRECT(ADDRESS(ROW(), COLUMN(), 4, TRUE, "Export-dataset")), "" )</f>
        <v>1.1313923105636432</v>
      </c>
      <c r="N32" s="6" cm="1">
        <f t="array" aca="1" ref="N32" ca="1">IFERROR( INDIRECT(ADDRESS(ROW()+1, COLUMN(), 4, TRUE, "Export-dataset")) / INDIRECT(ADDRESS(ROW(), COLUMN(), 4, TRUE, "Export-dataset")), "" )</f>
        <v>1.1348659003831418</v>
      </c>
      <c r="O32" s="6" cm="1">
        <f t="array" aca="1" ref="O32" ca="1">IFERROR( INDIRECT(ADDRESS(ROW()+1, COLUMN(), 4, TRUE, "Export-dataset")) / INDIRECT(ADDRESS(ROW(), COLUMN(), 4, TRUE, "Export-dataset")), "" )</f>
        <v>0.98529411764705888</v>
      </c>
      <c r="P32" s="6" cm="1">
        <f t="array" aca="1" ref="P32" ca="1">IFERROR( INDIRECT(ADDRESS(ROW()+1, COLUMN(), 4, TRUE, "Export-dataset")) / INDIRECT(ADDRESS(ROW(), COLUMN(), 4, TRUE, "Export-dataset")), "" )</f>
        <v>1.189569605721051</v>
      </c>
      <c r="Q32" s="6" cm="1">
        <f t="array" aca="1" ref="Q32" ca="1">IFERROR( INDIRECT(ADDRESS(ROW()+1, COLUMN(), 4, TRUE, "Export-dataset")) / INDIRECT(ADDRESS(ROW(), COLUMN(), 4, TRUE, "Export-dataset")), "" )</f>
        <v>0.97702539298669888</v>
      </c>
      <c r="R32" s="6" cm="1">
        <f t="array" aca="1" ref="R32" ca="1">IFERROR( INDIRECT(ADDRESS(ROW()+1, COLUMN(), 4, TRUE, "Export-dataset")) / INDIRECT(ADDRESS(ROW(), COLUMN(), 4, TRUE, "Export-dataset")), "" )</f>
        <v>1.3469964664310954</v>
      </c>
      <c r="S32" s="6" cm="1">
        <f t="array" aca="1" ref="S32" ca="1">IFERROR( INDIRECT(ADDRESS(ROW()+1, COLUMN(), 4, TRUE, "Export-dataset")) / INDIRECT(ADDRESS(ROW(), COLUMN(), 4, TRUE, "Export-dataset")), "" )</f>
        <v>0</v>
      </c>
      <c r="T32" s="6" cm="1">
        <f t="array" aca="1" ref="T32" ca="1">IFERROR( INDIRECT(ADDRESS(ROW()+1, COLUMN(), 4, TRUE, "Export-dataset")) / INDIRECT(ADDRESS(ROW(), COLUMN(), 4, TRUE, "Export-dataset")), "" )</f>
        <v>1.1164499717354437</v>
      </c>
      <c r="U32" s="6" cm="1">
        <f t="array" aca="1" ref="U32" ca="1">IFERROR( INDIRECT(ADDRESS(ROW()+1, COLUMN(), 4, TRUE, "Export-dataset")) / INDIRECT(ADDRESS(ROW(), COLUMN(), 4, TRUE, "Export-dataset")), "" )</f>
        <v>1.1446280991735538</v>
      </c>
      <c r="V32" s="6" cm="1">
        <f t="array" aca="1" ref="V32" ca="1">IFERROR( INDIRECT(ADDRESS(ROW()+1, COLUMN(), 4, TRUE, "Export-dataset")) / INDIRECT(ADDRESS(ROW(), COLUMN(), 4, TRUE, "Export-dataset")), "" )</f>
        <v>1.2393053790766624</v>
      </c>
      <c r="W32" s="6" cm="1">
        <f t="array" aca="1" ref="W32" ca="1">IFERROR( INDIRECT(ADDRESS(ROW()+1, COLUMN(), 4, TRUE, "Export-dataset")) / INDIRECT(ADDRESS(ROW(), COLUMN(), 4, TRUE, "Export-dataset")), "" )</f>
        <v>2.3684210526315788</v>
      </c>
      <c r="X32" s="6" cm="1">
        <f t="array" aca="1" ref="X32" ca="1">IFERROR( INDIRECT(ADDRESS(ROW()+1, COLUMN(), 4, TRUE, "Export-dataset")) / INDIRECT(ADDRESS(ROW(), COLUMN(), 4, TRUE, "Export-dataset")), "" )</f>
        <v>1.1780961711160094</v>
      </c>
      <c r="Y32" s="6" cm="1">
        <f t="array" aca="1" ref="Y32" ca="1">IFERROR( INDIRECT(ADDRESS(ROW()+1, COLUMN(), 4, TRUE, "Export-dataset")) / INDIRECT(ADDRESS(ROW(), COLUMN(), 4, TRUE, "Export-dataset")), "" )</f>
        <v>1.0420168067226891</v>
      </c>
      <c r="Z32" s="6" cm="1">
        <f t="array" aca="1" ref="Z32" ca="1">IFERROR( INDIRECT(ADDRESS(ROW()+1, COLUMN(), 4, TRUE, "Export-dataset")) / INDIRECT(ADDRESS(ROW(), COLUMN(), 4, TRUE, "Export-dataset")), "" )</f>
        <v>1.346326548698709</v>
      </c>
      <c r="AA32" s="6" cm="1">
        <f t="array" aca="1" ref="AA32" ca="1">IFERROR( INDIRECT(ADDRESS(ROW()+1, COLUMN(), 4, TRUE, "Export-dataset")) / INDIRECT(ADDRESS(ROW(), COLUMN(), 4, TRUE, "Export-dataset")), "" )</f>
        <v>1.3515246138196957</v>
      </c>
      <c r="AB32" s="6" cm="1">
        <f t="array" aca="1" ref="AB32" ca="1">IFERROR( INDIRECT(ADDRESS(ROW()+1, COLUMN(), 4, TRUE, "Export-dataset")) / INDIRECT(ADDRESS(ROW(), COLUMN(), 4, TRUE, "Export-dataset")), "" )</f>
        <v>1.1030809098761878</v>
      </c>
      <c r="AC32" s="6" cm="1">
        <f t="array" aca="1" ref="AC32" ca="1">IFERROR( INDIRECT(ADDRESS(ROW()+1, COLUMN(), 4, TRUE, "Export-dataset")) / INDIRECT(ADDRESS(ROW(), COLUMN(), 4, TRUE, "Export-dataset")), "" )</f>
        <v>1.4261363636363635</v>
      </c>
      <c r="AD32" s="6" cm="1">
        <f t="array" aca="1" ref="AD32" ca="1">IFERROR( INDIRECT(ADDRESS(ROW()+1, COLUMN(), 4, TRUE, "Export-dataset")) / INDIRECT(ADDRESS(ROW(), COLUMN(), 4, TRUE, "Export-dataset")), "" )</f>
        <v>1.0074074074074073</v>
      </c>
      <c r="AE32" s="6" cm="1">
        <f t="array" aca="1" ref="AE32" ca="1">IFERROR( INDIRECT(ADDRESS(ROW()+1, COLUMN(), 4, TRUE, "Export-dataset")) / INDIRECT(ADDRESS(ROW(), COLUMN(), 4, TRUE, "Export-dataset")), "" )</f>
        <v>0.92417061611374407</v>
      </c>
      <c r="AF32" s="6" cm="1">
        <f t="array" aca="1" ref="AF32" ca="1">IFERROR( INDIRECT(ADDRESS(ROW()+1, COLUMN(), 4, TRUE, "Export-dataset")) / INDIRECT(ADDRESS(ROW(), COLUMN(), 4, TRUE, "Export-dataset")), "" )</f>
        <v>1.1105990783410138</v>
      </c>
      <c r="AG32" s="6" cm="1">
        <f t="array" aca="1" ref="AG32" ca="1">IFERROR( INDIRECT(ADDRESS(ROW()+1, COLUMN(), 4, TRUE, "Export-dataset")) / INDIRECT(ADDRESS(ROW(), COLUMN(), 4, TRUE, "Export-dataset")), "" )</f>
        <v>1.3243243243243243</v>
      </c>
      <c r="AH32" s="6" cm="1">
        <f t="array" aca="1" ref="AH32" ca="1">IFERROR( INDIRECT(ADDRESS(ROW()+1, COLUMN(), 4, TRUE, "Export-dataset")) / INDIRECT(ADDRESS(ROW(), COLUMN(), 4, TRUE, "Export-dataset")), "" )</f>
        <v>1.032986733596271</v>
      </c>
      <c r="AI32" s="6" cm="1">
        <f t="array" aca="1" ref="AI32" ca="1">IFERROR( INDIRECT(ADDRESS(ROW()+1, COLUMN(), 4, TRUE, "Export-dataset")) / INDIRECT(ADDRESS(ROW(), COLUMN(), 4, TRUE, "Export-dataset")), "" )</f>
        <v>0.87665198237885467</v>
      </c>
      <c r="AJ32" s="6" cm="1">
        <f t="array" aca="1" ref="AJ32" ca="1">IFERROR( INDIRECT(ADDRESS(ROW()+1, COLUMN(), 4, TRUE, "Export-dataset")) / INDIRECT(ADDRESS(ROW(), COLUMN(), 4, TRUE, "Export-dataset")), "" )</f>
        <v>1.0684931506849316</v>
      </c>
      <c r="AK32" s="6" cm="1">
        <f t="array" aca="1" ref="AK32" ca="1">IFERROR( INDIRECT(ADDRESS(ROW()+1, COLUMN(), 4, TRUE, "Export-dataset")) / INDIRECT(ADDRESS(ROW(), COLUMN(), 4, TRUE, "Export-dataset")), "" )</f>
        <v>1.1322314049586777</v>
      </c>
      <c r="AL32" s="6" cm="1">
        <f t="array" aca="1" ref="AL32" ca="1">IFERROR( INDIRECT(ADDRESS(ROW()+1, COLUMN(), 4, TRUE, "Export-dataset")) / INDIRECT(ADDRESS(ROW(), COLUMN(), 4, TRUE, "Export-dataset")), "" )</f>
        <v>0.99770510613884111</v>
      </c>
      <c r="AM32" s="6" cm="1">
        <f t="array" aca="1" ref="AM32" ca="1">IFERROR( INDIRECT(ADDRESS(ROW()+1, COLUMN(), 4, TRUE, "Export-dataset")) / INDIRECT(ADDRESS(ROW(), COLUMN(), 4, TRUE, "Export-dataset")), "" )</f>
        <v>1.1979695431472082</v>
      </c>
      <c r="AN32" s="6" cm="1">
        <f t="array" aca="1" ref="AN32" ca="1">IFERROR( INDIRECT(ADDRESS(ROW()+1, COLUMN(), 4, TRUE, "Export-dataset")) / INDIRECT(ADDRESS(ROW(), COLUMN(), 4, TRUE, "Export-dataset")), "" )</f>
        <v>0.71815718157181574</v>
      </c>
      <c r="AO32" s="6" cm="1">
        <f t="array" aca="1" ref="AO32" ca="1">IFERROR( INDIRECT(ADDRESS(ROW()+1, COLUMN(), 4, TRUE, "Export-dataset")) / INDIRECT(ADDRESS(ROW(), COLUMN(), 4, TRUE, "Export-dataset")), "" )</f>
        <v>1.0761904761904761</v>
      </c>
      <c r="AP32" s="6" cm="1">
        <f t="array" aca="1" ref="AP32" ca="1">IFERROR( INDIRECT(ADDRESS(ROW()+1, COLUMN(), 4, TRUE, "Export-dataset")) / INDIRECT(ADDRESS(ROW(), COLUMN(), 4, TRUE, "Export-dataset")), "" )</f>
        <v>1.0598086124401913</v>
      </c>
      <c r="AQ32" s="6" cm="1">
        <f t="array" aca="1" ref="AQ32" ca="1">IFERROR( INDIRECT(ADDRESS(ROW()+1, COLUMN(), 4, TRUE, "Export-dataset")) / INDIRECT(ADDRESS(ROW(), COLUMN(), 4, TRUE, "Export-dataset")), "" )</f>
        <v>1.0065727699530516</v>
      </c>
      <c r="AR32" s="6" cm="1">
        <f t="array" aca="1" ref="AR32" ca="1">IFERROR( INDIRECT(ADDRESS(ROW()+1, COLUMN(), 4, TRUE, "Export-dataset")) / INDIRECT(ADDRESS(ROW(), COLUMN(), 4, TRUE, "Export-dataset")), "" )</f>
        <v>1.1001790243174698</v>
      </c>
      <c r="AS32" s="6" cm="1">
        <f t="array" aca="1" ref="AS32" ca="1">IFERROR( INDIRECT(ADDRESS(ROW()+1, COLUMN(), 4, TRUE, "Export-dataset")) / INDIRECT(ADDRESS(ROW(), COLUMN(), 4, TRUE, "Export-dataset")), "" )</f>
        <v>0.90217391304347827</v>
      </c>
      <c r="AT32" s="6" cm="1">
        <f t="array" aca="1" ref="AT32" ca="1">IFERROR( INDIRECT(ADDRESS(ROW()+1, COLUMN(), 4, TRUE, "Export-dataset")) / INDIRECT(ADDRESS(ROW(), COLUMN(), 4, TRUE, "Export-dataset")), "" )</f>
        <v>1.1951219512195121</v>
      </c>
      <c r="AU32" s="6" cm="1">
        <f t="array" aca="1" ref="AU32" ca="1">IFERROR( INDIRECT(ADDRESS(ROW()+1, COLUMN(), 4, TRUE, "Export-dataset")) / INDIRECT(ADDRESS(ROW(), COLUMN(), 4, TRUE, "Export-dataset")), "" )</f>
        <v>1.0360360360360361</v>
      </c>
      <c r="AV32" s="6" cm="1">
        <f t="array" aca="1" ref="AV32" ca="1">IFERROR( INDIRECT(ADDRESS(ROW()+1, COLUMN(), 4, TRUE, "Export-dataset")) / INDIRECT(ADDRESS(ROW(), COLUMN(), 4, TRUE, "Export-dataset")), "" )</f>
        <v>1.0294715447154472</v>
      </c>
      <c r="AW32" s="6" cm="1">
        <f t="array" aca="1" ref="AW32" ca="1">IFERROR( INDIRECT(ADDRESS(ROW()+1, COLUMN(), 4, TRUE, "Export-dataset")) / INDIRECT(ADDRESS(ROW(), COLUMN(), 4, TRUE, "Export-dataset")), "" )</f>
        <v>1.0223880597014925</v>
      </c>
      <c r="AX32" s="6" cm="1">
        <f t="array" aca="1" ref="AX32" ca="1">IFERROR( INDIRECT(ADDRESS(ROW()+1, COLUMN(), 4, TRUE, "Export-dataset")) / INDIRECT(ADDRESS(ROW(), COLUMN(), 4, TRUE, "Export-dataset")), "" )</f>
        <v>0.85094339622641513</v>
      </c>
      <c r="AY32" s="6" cm="1">
        <f t="array" aca="1" ref="AY32" ca="1">IFERROR( INDIRECT(ADDRESS(ROW()+1, COLUMN(), 4, TRUE, "Export-dataset")) / INDIRECT(ADDRESS(ROW(), COLUMN(), 4, TRUE, "Export-dataset")), "" )</f>
        <v>1.5232558139534884</v>
      </c>
      <c r="AZ32" s="6" cm="1">
        <f t="array" aca="1" ref="AZ32" ca="1">IFERROR( INDIRECT(ADDRESS(ROW()+1, COLUMN(), 4, TRUE, "Export-dataset")) / INDIRECT(ADDRESS(ROW(), COLUMN(), 4, TRUE, "Export-dataset")), "" )</f>
        <v>1.1261026916987107</v>
      </c>
      <c r="BA32" s="6" cm="1">
        <f t="array" aca="1" ref="BA32" ca="1">IFERROR( INDIRECT(ADDRESS(ROW()+1, COLUMN(), 4, TRUE, "Export-dataset")) / INDIRECT(ADDRESS(ROW(), COLUMN(), 4, TRUE, "Export-dataset")), "" )</f>
        <v>1.0063233965672991</v>
      </c>
      <c r="BB32" s="6" cm="1">
        <f t="array" aca="1" ref="BB32" ca="1">IFERROR( INDIRECT(ADDRESS(ROW()+1, COLUMN(), 4, TRUE, "Export-dataset")) / INDIRECT(ADDRESS(ROW(), COLUMN(), 4, TRUE, "Export-dataset")), "" )</f>
        <v>0.95132254500552416</v>
      </c>
      <c r="BC32" s="6" cm="1">
        <f t="array" aca="1" ref="BC32" ca="1">IFERROR( INDIRECT(ADDRESS(ROW()+1, COLUMN(), 4, TRUE, "Export-dataset")) / INDIRECT(ADDRESS(ROW(), COLUMN(), 4, TRUE, "Export-dataset")), "" )</f>
        <v>0.8509174311926605</v>
      </c>
      <c r="BD32" s="6" cm="1">
        <f t="array" aca="1" ref="BD32" ca="1">IFERROR( INDIRECT(ADDRESS(ROW()+1, COLUMN(), 4, TRUE, "Export-dataset")) / INDIRECT(ADDRESS(ROW(), COLUMN(), 4, TRUE, "Export-dataset")), "" )</f>
        <v>1.0074786324786325</v>
      </c>
      <c r="BE32" s="6" cm="1">
        <f t="array" aca="1" ref="BE32" ca="1">IFERROR( INDIRECT(ADDRESS(ROW()+1, COLUMN(), 4, TRUE, "Export-dataset")) / INDIRECT(ADDRESS(ROW(), COLUMN(), 4, TRUE, "Export-dataset")), "" )</f>
        <v>1.1677018633540373</v>
      </c>
      <c r="BF32" s="6" cm="1">
        <f t="array" aca="1" ref="BF32" ca="1">IFERROR( INDIRECT(ADDRESS(ROW()+1, COLUMN(), 4, TRUE, "Export-dataset")) / INDIRECT(ADDRESS(ROW(), COLUMN(), 4, TRUE, "Export-dataset")), "" )</f>
        <v>0.96562362274129576</v>
      </c>
      <c r="BG32" s="6" cm="1">
        <f t="array" aca="1" ref="BG32" ca="1">IFERROR( INDIRECT(ADDRESS(ROW()+1, COLUMN(), 4, TRUE, "Export-dataset")) / INDIRECT(ADDRESS(ROW(), COLUMN(), 4, TRUE, "Export-dataset")), "" )</f>
        <v>0.79507133592736701</v>
      </c>
      <c r="BH32" s="6" cm="1">
        <f t="array" aca="1" ref="BH32" ca="1">IFERROR( INDIRECT(ADDRESS(ROW()+1, COLUMN(), 4, TRUE, "Export-dataset")) / INDIRECT(ADDRESS(ROW(), COLUMN(), 4, TRUE, "Export-dataset")), "" )</f>
        <v>1.1484018264840183</v>
      </c>
      <c r="BI32" s="6" cm="1">
        <f t="array" aca="1" ref="BI32" ca="1">IFERROR( INDIRECT(ADDRESS(ROW()+1, COLUMN(), 4, TRUE, "Export-dataset")) / INDIRECT(ADDRESS(ROW(), COLUMN(), 4, TRUE, "Export-dataset")), "" )</f>
        <v>1.0922531046717918</v>
      </c>
      <c r="BJ32" s="6" cm="1">
        <f t="array" aca="1" ref="BJ32" ca="1">IFERROR( INDIRECT(ADDRESS(ROW()+1, COLUMN(), 4, TRUE, "Export-dataset")) / INDIRECT(ADDRESS(ROW(), COLUMN(), 4, TRUE, "Export-dataset")), "" )</f>
        <v>0.7700680272108843</v>
      </c>
      <c r="BK32" s="6" cm="1">
        <f t="array" aca="1" ref="BK32" ca="1">IFERROR( INDIRECT(ADDRESS(ROW()+1, COLUMN(), 4, TRUE, "Export-dataset")) / INDIRECT(ADDRESS(ROW(), COLUMN(), 4, TRUE, "Export-dataset")), "" )</f>
        <v>0.99694323144104802</v>
      </c>
      <c r="BL32" s="6" cm="1">
        <f t="array" aca="1" ref="BL32" ca="1">IFERROR( INDIRECT(ADDRESS(ROW()+1, COLUMN(), 4, TRUE, "Export-dataset")) / INDIRECT(ADDRESS(ROW(), COLUMN(), 4, TRUE, "Export-dataset")), "" )</f>
        <v>1.0455931686489783</v>
      </c>
      <c r="BM32" s="6" cm="1">
        <f t="array" aca="1" ref="BM32" ca="1">IFERROR( INDIRECT(ADDRESS(ROW()+1, COLUMN(), 4, TRUE, "Export-dataset")) / INDIRECT(ADDRESS(ROW(), COLUMN(), 4, TRUE, "Export-dataset")), "" )</f>
        <v>1.0588235294117647</v>
      </c>
      <c r="BN32" s="6" cm="1">
        <f t="array" aca="1" ref="BN32" ca="1">IFERROR( INDIRECT(ADDRESS(ROW()+1, COLUMN(), 4, TRUE, "Export-dataset")) / INDIRECT(ADDRESS(ROW(), COLUMN(), 4, TRUE, "Export-dataset")), "" )</f>
        <v>1.0601503759398496</v>
      </c>
      <c r="BO32" s="6" cm="1">
        <f t="array" aca="1" ref="BO32" ca="1">IFERROR( INDIRECT(ADDRESS(ROW()+1, COLUMN(), 4, TRUE, "Export-dataset")) / INDIRECT(ADDRESS(ROW(), COLUMN(), 4, TRUE, "Export-dataset")), "" )</f>
        <v>1.09375</v>
      </c>
      <c r="BP32" s="6" cm="1">
        <f t="array" aca="1" ref="BP32" ca="1">IFERROR( INDIRECT(ADDRESS(ROW()+1, COLUMN(), 4, TRUE, "Export-dataset")) / INDIRECT(ADDRESS(ROW(), COLUMN(), 4, TRUE, "Export-dataset")), "" )</f>
        <v>1</v>
      </c>
      <c r="BQ32" s="6" cm="1">
        <f t="array" aca="1" ref="BQ32" ca="1">IFERROR( INDIRECT(ADDRESS(ROW()+1, COLUMN(), 4, TRUE, "Export-dataset")) / INDIRECT(ADDRESS(ROW(), COLUMN(), 4, TRUE, "Export-dataset")), "" )</f>
        <v>1.25</v>
      </c>
      <c r="BR32" s="6" cm="1">
        <f t="array" aca="1" ref="BR32" ca="1">IFERROR( INDIRECT(ADDRESS(ROW()+1, COLUMN(), 4, TRUE, "Export-dataset")) / INDIRECT(ADDRESS(ROW(), COLUMN(), 4, TRUE, "Export-dataset")), "" )</f>
        <v>1.0343601895734598</v>
      </c>
      <c r="BS32" s="6" cm="1">
        <f t="array" aca="1" ref="BS32" ca="1">IFERROR( INDIRECT(ADDRESS(ROW()+1, COLUMN(), 4, TRUE, "Export-dataset")) / INDIRECT(ADDRESS(ROW(), COLUMN(), 4, TRUE, "Export-dataset")), "" )</f>
        <v>1.0440097799511003</v>
      </c>
      <c r="BT32" s="6" cm="1">
        <f t="array" aca="1" ref="BT32" ca="1">IFERROR( INDIRECT(ADDRESS(ROW()+1, COLUMN(), 4, TRUE, "Export-dataset")) / INDIRECT(ADDRESS(ROW(), COLUMN(), 4, TRUE, "Export-dataset")), "" )</f>
        <v>1.054157931516422</v>
      </c>
      <c r="BU32" s="6" cm="1">
        <f t="array" aca="1" ref="BU32" ca="1">IFERROR( INDIRECT(ADDRESS(ROW()+1, COLUMN(), 4, TRUE, "Export-dataset")) / INDIRECT(ADDRESS(ROW(), COLUMN(), 4, TRUE, "Export-dataset")), "" )</f>
        <v>0.92973189567244641</v>
      </c>
      <c r="BV32" s="6" cm="1">
        <f t="array" aca="1" ref="BV32" ca="1">IFERROR( INDIRECT(ADDRESS(ROW()+1, COLUMN(), 4, TRUE, "Export-dataset")) / INDIRECT(ADDRESS(ROW(), COLUMN(), 4, TRUE, "Export-dataset")), "" )</f>
        <v>0.94305822136916184</v>
      </c>
      <c r="BW32" s="6" cm="1">
        <f t="array" aca="1" ref="BW32" ca="1">IFERROR( INDIRECT(ADDRESS(ROW()+1, COLUMN(), 4, TRUE, "Export-dataset")) / INDIRECT(ADDRESS(ROW(), COLUMN(), 4, TRUE, "Export-dataset")), "" )</f>
        <v>0.68452982810920127</v>
      </c>
      <c r="BX32" s="6" cm="1">
        <f t="array" aca="1" ref="BX32" ca="1">IFERROR( INDIRECT(ADDRESS(ROW()+1, COLUMN(), 4, TRUE, "Export-dataset")) / INDIRECT(ADDRESS(ROW(), COLUMN(), 4, TRUE, "Export-dataset")), "" )</f>
        <v>1</v>
      </c>
      <c r="BY32" s="6" cm="1">
        <f t="array" aca="1" ref="BY32" ca="1">IFERROR( INDIRECT(ADDRESS(ROW()+1, COLUMN(), 4, TRUE, "Export-dataset")) / INDIRECT(ADDRESS(ROW(), COLUMN(), 4, TRUE, "Export-dataset")), "" )</f>
        <v>0.9344010181895317</v>
      </c>
      <c r="BZ32" s="6" cm="1">
        <f t="array" aca="1" ref="BZ32" ca="1">IFERROR( INDIRECT(ADDRESS(ROW()+1, COLUMN(), 4, TRUE, "Export-dataset")) / INDIRECT(ADDRESS(ROW(), COLUMN(), 4, TRUE, "Export-dataset")), "" )</f>
        <v>0.95134866788019201</v>
      </c>
      <c r="CA32" s="6" cm="1">
        <f t="array" aca="1" ref="CA32" ca="1">IFERROR( INDIRECT(ADDRESS(ROW()+1, COLUMN(), 4, TRUE, "Export-dataset")) / INDIRECT(ADDRESS(ROW(), COLUMN(), 4, TRUE, "Export-dataset")), "" )</f>
        <v>1.1658419384916567</v>
      </c>
    </row>
    <row r="33" spans="1:79">
      <c r="A33" s="6" t="s">
        <v>190</v>
      </c>
      <c r="B33" s="6" cm="1">
        <f t="array" aca="1" ref="B33" ca="1">IFERROR( INDIRECT(ADDRESS(ROW()+1, COLUMN(), 4, TRUE, "Export-dataset")) / INDIRECT(ADDRESS(ROW(), COLUMN(), 4, TRUE, "Export-dataset")), "" )</f>
        <v>0.96379385725215871</v>
      </c>
      <c r="C33" s="6" cm="1">
        <f t="array" aca="1" ref="C33" ca="1">IFERROR( INDIRECT(ADDRESS(ROW()+1, COLUMN(), 4, TRUE, "Export-dataset")) / INDIRECT(ADDRESS(ROW(), COLUMN(), 4, TRUE, "Export-dataset")), "" )</f>
        <v>1.1279357231149567</v>
      </c>
      <c r="D33" s="6" cm="1">
        <f t="array" aca="1" ref="D33" ca="1">IFERROR( INDIRECT(ADDRESS(ROW()+1, COLUMN(), 4, TRUE, "Export-dataset")) / INDIRECT(ADDRESS(ROW(), COLUMN(), 4, TRUE, "Export-dataset")), "" )</f>
        <v>1.1496535406455974</v>
      </c>
      <c r="E33" s="6" cm="1">
        <f t="array" aca="1" ref="E33" ca="1">IFERROR( INDIRECT(ADDRESS(ROW()+1, COLUMN(), 4, TRUE, "Export-dataset")) / INDIRECT(ADDRESS(ROW(), COLUMN(), 4, TRUE, "Export-dataset")), "" )</f>
        <v>1.0579957356076759</v>
      </c>
      <c r="F33" s="6" cm="1">
        <f t="array" aca="1" ref="F33" ca="1">IFERROR( INDIRECT(ADDRESS(ROW()+1, COLUMN(), 4, TRUE, "Export-dataset")) / INDIRECT(ADDRESS(ROW(), COLUMN(), 4, TRUE, "Export-dataset")), "" )</f>
        <v>1.0316011235955056</v>
      </c>
      <c r="G33" s="6" cm="1">
        <f t="array" aca="1" ref="G33" ca="1">IFERROR( INDIRECT(ADDRESS(ROW()+1, COLUMN(), 4, TRUE, "Export-dataset")) / INDIRECT(ADDRESS(ROW(), COLUMN(), 4, TRUE, "Export-dataset")), "" )</f>
        <v>0.78470437017994854</v>
      </c>
      <c r="H33" s="6" cm="1">
        <f t="array" aca="1" ref="H33" ca="1">IFERROR( INDIRECT(ADDRESS(ROW()+1, COLUMN(), 4, TRUE, "Export-dataset")) / INDIRECT(ADDRESS(ROW(), COLUMN(), 4, TRUE, "Export-dataset")), "" )</f>
        <v>0.69954893116297312</v>
      </c>
      <c r="I33" s="6" cm="1">
        <f t="array" aca="1" ref="I33" ca="1">IFERROR( INDIRECT(ADDRESS(ROW()+1, COLUMN(), 4, TRUE, "Export-dataset")) / INDIRECT(ADDRESS(ROW(), COLUMN(), 4, TRUE, "Export-dataset")), "" )</f>
        <v>0.90909090909090906</v>
      </c>
      <c r="J33" s="6" cm="1">
        <f t="array" aca="1" ref="J33" ca="1">IFERROR( INDIRECT(ADDRESS(ROW()+1, COLUMN(), 4, TRUE, "Export-dataset")) / INDIRECT(ADDRESS(ROW(), COLUMN(), 4, TRUE, "Export-dataset")), "" )</f>
        <v>1.065040650406504</v>
      </c>
      <c r="K33" s="6" cm="1">
        <f t="array" aca="1" ref="K33" ca="1">IFERROR( INDIRECT(ADDRESS(ROW()+1, COLUMN(), 4, TRUE, "Export-dataset")) / INDIRECT(ADDRESS(ROW(), COLUMN(), 4, TRUE, "Export-dataset")), "" )</f>
        <v>1.1048780487804879</v>
      </c>
      <c r="L33" s="6" cm="1">
        <f t="array" aca="1" ref="L33" ca="1">IFERROR( INDIRECT(ADDRESS(ROW()+1, COLUMN(), 4, TRUE, "Export-dataset")) / INDIRECT(ADDRESS(ROW(), COLUMN(), 4, TRUE, "Export-dataset")), "" )</f>
        <v>0.9784124875456659</v>
      </c>
      <c r="M33" s="6" cm="1">
        <f t="array" aca="1" ref="M33" ca="1">IFERROR( INDIRECT(ADDRESS(ROW()+1, COLUMN(), 4, TRUE, "Export-dataset")) / INDIRECT(ADDRESS(ROW(), COLUMN(), 4, TRUE, "Export-dataset")), "" )</f>
        <v>1.1141537446387331</v>
      </c>
      <c r="N33" s="6" cm="1">
        <f t="array" aca="1" ref="N33" ca="1">IFERROR( INDIRECT(ADDRESS(ROW()+1, COLUMN(), 4, TRUE, "Export-dataset")) / INDIRECT(ADDRESS(ROW(), COLUMN(), 4, TRUE, "Export-dataset")), "" )</f>
        <v>1.1201890614449697</v>
      </c>
      <c r="O33" s="6" cm="1">
        <f t="array" aca="1" ref="O33" ca="1">IFERROR( INDIRECT(ADDRESS(ROW()+1, COLUMN(), 4, TRUE, "Export-dataset")) / INDIRECT(ADDRESS(ROW(), COLUMN(), 4, TRUE, "Export-dataset")), "" )</f>
        <v>0.88059701492537312</v>
      </c>
      <c r="P33" s="6" cm="1">
        <f t="array" aca="1" ref="P33" ca="1">IFERROR( INDIRECT(ADDRESS(ROW()+1, COLUMN(), 4, TRUE, "Export-dataset")) / INDIRECT(ADDRESS(ROW(), COLUMN(), 4, TRUE, "Export-dataset")), "" )</f>
        <v>1.074452363958059</v>
      </c>
      <c r="Q33" s="6" cm="1">
        <f t="array" aca="1" ref="Q33" ca="1">IFERROR( INDIRECT(ADDRESS(ROW()+1, COLUMN(), 4, TRUE, "Export-dataset")) / INDIRECT(ADDRESS(ROW(), COLUMN(), 4, TRUE, "Export-dataset")), "" )</f>
        <v>0.90470297029702973</v>
      </c>
      <c r="R33" s="6" cm="1">
        <f t="array" aca="1" ref="R33" ca="1">IFERROR( INDIRECT(ADDRESS(ROW()+1, COLUMN(), 4, TRUE, "Export-dataset")) / INDIRECT(ADDRESS(ROW(), COLUMN(), 4, TRUE, "Export-dataset")), "" )</f>
        <v>0.73347324239244494</v>
      </c>
      <c r="S33" s="6" t="str" cm="1">
        <f t="array" aca="1" ref="S33" ca="1">IFERROR( INDIRECT(ADDRESS(ROW()+1, COLUMN(), 4, TRUE, "Export-dataset")) / INDIRECT(ADDRESS(ROW(), COLUMN(), 4, TRUE, "Export-dataset")), "" )</f>
        <v/>
      </c>
      <c r="T33" s="6" cm="1">
        <f t="array" aca="1" ref="T33" ca="1">IFERROR( INDIRECT(ADDRESS(ROW()+1, COLUMN(), 4, TRUE, "Export-dataset")) / INDIRECT(ADDRESS(ROW(), COLUMN(), 4, TRUE, "Export-dataset")), "" )</f>
        <v>1.1230379746835444</v>
      </c>
      <c r="U33" s="6" cm="1">
        <f t="array" aca="1" ref="U33" ca="1">IFERROR( INDIRECT(ADDRESS(ROW()+1, COLUMN(), 4, TRUE, "Export-dataset")) / INDIRECT(ADDRESS(ROW(), COLUMN(), 4, TRUE, "Export-dataset")), "" )</f>
        <v>0.8592057761732852</v>
      </c>
      <c r="V33" s="6" cm="1">
        <f t="array" aca="1" ref="V33" ca="1">IFERROR( INDIRECT(ADDRESS(ROW()+1, COLUMN(), 4, TRUE, "Export-dataset")) / INDIRECT(ADDRESS(ROW(), COLUMN(), 4, TRUE, "Export-dataset")), "" )</f>
        <v>1.1062884483937117</v>
      </c>
      <c r="W33" s="6" cm="1">
        <f t="array" aca="1" ref="W33" ca="1">IFERROR( INDIRECT(ADDRESS(ROW()+1, COLUMN(), 4, TRUE, "Export-dataset")) / INDIRECT(ADDRESS(ROW(), COLUMN(), 4, TRUE, "Export-dataset")), "" )</f>
        <v>1.3396825396825396</v>
      </c>
      <c r="X33" s="6" cm="1">
        <f t="array" aca="1" ref="X33" ca="1">IFERROR( INDIRECT(ADDRESS(ROW()+1, COLUMN(), 4, TRUE, "Export-dataset")) / INDIRECT(ADDRESS(ROW(), COLUMN(), 4, TRUE, "Export-dataset")), "" )</f>
        <v>1.0754074125405679</v>
      </c>
      <c r="Y33" s="6" cm="1">
        <f t="array" aca="1" ref="Y33" ca="1">IFERROR( INDIRECT(ADDRESS(ROW()+1, COLUMN(), 4, TRUE, "Export-dataset")) / INDIRECT(ADDRESS(ROW(), COLUMN(), 4, TRUE, "Export-dataset")), "" )</f>
        <v>1.1774193548387097</v>
      </c>
      <c r="Z33" s="6" cm="1">
        <f t="array" aca="1" ref="Z33" ca="1">IFERROR( INDIRECT(ADDRESS(ROW()+1, COLUMN(), 4, TRUE, "Export-dataset")) / INDIRECT(ADDRESS(ROW(), COLUMN(), 4, TRUE, "Export-dataset")), "" )</f>
        <v>1.3414189952714786</v>
      </c>
      <c r="AA33" s="6" cm="1">
        <f t="array" aca="1" ref="AA33" ca="1">IFERROR( INDIRECT(ADDRESS(ROW()+1, COLUMN(), 4, TRUE, "Export-dataset")) / INDIRECT(ADDRESS(ROW(), COLUMN(), 4, TRUE, "Export-dataset")), "" )</f>
        <v>1.1700418322160573</v>
      </c>
      <c r="AB33" s="6" cm="1">
        <f t="array" aca="1" ref="AB33" ca="1">IFERROR( INDIRECT(ADDRESS(ROW()+1, COLUMN(), 4, TRUE, "Export-dataset")) / INDIRECT(ADDRESS(ROW(), COLUMN(), 4, TRUE, "Export-dataset")), "" )</f>
        <v>1.4605847037327069</v>
      </c>
      <c r="AC33" s="6" cm="1">
        <f t="array" aca="1" ref="AC33" ca="1">IFERROR( INDIRECT(ADDRESS(ROW()+1, COLUMN(), 4, TRUE, "Export-dataset")) / INDIRECT(ADDRESS(ROW(), COLUMN(), 4, TRUE, "Export-dataset")), "" )</f>
        <v>1.6782014797951053</v>
      </c>
      <c r="AD33" s="6" cm="1">
        <f t="array" aca="1" ref="AD33" ca="1">IFERROR( INDIRECT(ADDRESS(ROW()+1, COLUMN(), 4, TRUE, "Export-dataset")) / INDIRECT(ADDRESS(ROW(), COLUMN(), 4, TRUE, "Export-dataset")), "" )</f>
        <v>0.97499999999999998</v>
      </c>
      <c r="AE33" s="6" cm="1">
        <f t="array" aca="1" ref="AE33" ca="1">IFERROR( INDIRECT(ADDRESS(ROW()+1, COLUMN(), 4, TRUE, "Export-dataset")) / INDIRECT(ADDRESS(ROW(), COLUMN(), 4, TRUE, "Export-dataset")), "" )</f>
        <v>0.94358974358974357</v>
      </c>
      <c r="AF33" s="6" cm="1">
        <f t="array" aca="1" ref="AF33" ca="1">IFERROR( INDIRECT(ADDRESS(ROW()+1, COLUMN(), 4, TRUE, "Export-dataset")) / INDIRECT(ADDRESS(ROW(), COLUMN(), 4, TRUE, "Export-dataset")), "" )</f>
        <v>0.99585062240663902</v>
      </c>
      <c r="AG33" s="6" cm="1">
        <f t="array" aca="1" ref="AG33" ca="1">IFERROR( INDIRECT(ADDRESS(ROW()+1, COLUMN(), 4, TRUE, "Export-dataset")) / INDIRECT(ADDRESS(ROW(), COLUMN(), 4, TRUE, "Export-dataset")), "" )</f>
        <v>1.1224489795918366</v>
      </c>
      <c r="AH33" s="6" cm="1">
        <f t="array" aca="1" ref="AH33" ca="1">IFERROR( INDIRECT(ADDRESS(ROW()+1, COLUMN(), 4, TRUE, "Export-dataset")) / INDIRECT(ADDRESS(ROW(), COLUMN(), 4, TRUE, "Export-dataset")), "" )</f>
        <v>1.2160129584634964</v>
      </c>
      <c r="AI33" s="6" cm="1">
        <f t="array" aca="1" ref="AI33" ca="1">IFERROR( INDIRECT(ADDRESS(ROW()+1, COLUMN(), 4, TRUE, "Export-dataset")) / INDIRECT(ADDRESS(ROW(), COLUMN(), 4, TRUE, "Export-dataset")), "" )</f>
        <v>1.0100502512562815</v>
      </c>
      <c r="AJ33" s="6" cm="1">
        <f t="array" aca="1" ref="AJ33" ca="1">IFERROR( INDIRECT(ADDRESS(ROW()+1, COLUMN(), 4, TRUE, "Export-dataset")) / INDIRECT(ADDRESS(ROW(), COLUMN(), 4, TRUE, "Export-dataset")), "" )</f>
        <v>1.3347578347578348</v>
      </c>
      <c r="AK33" s="6" cm="1">
        <f t="array" aca="1" ref="AK33" ca="1">IFERROR( INDIRECT(ADDRESS(ROW()+1, COLUMN(), 4, TRUE, "Export-dataset")) / INDIRECT(ADDRESS(ROW(), COLUMN(), 4, TRUE, "Export-dataset")), "" )</f>
        <v>1.0729927007299269</v>
      </c>
      <c r="AL33" s="6" cm="1">
        <f t="array" aca="1" ref="AL33" ca="1">IFERROR( INDIRECT(ADDRESS(ROW()+1, COLUMN(), 4, TRUE, "Export-dataset")) / INDIRECT(ADDRESS(ROW(), COLUMN(), 4, TRUE, "Export-dataset")), "" )</f>
        <v>1.3657274295572168</v>
      </c>
      <c r="AM33" s="6" cm="1">
        <f t="array" aca="1" ref="AM33" ca="1">IFERROR( INDIRECT(ADDRESS(ROW()+1, COLUMN(), 4, TRUE, "Export-dataset")) / INDIRECT(ADDRESS(ROW(), COLUMN(), 4, TRUE, "Export-dataset")), "" )</f>
        <v>1.1406779661016948</v>
      </c>
      <c r="AN33" s="6" cm="1">
        <f t="array" aca="1" ref="AN33" ca="1">IFERROR( INDIRECT(ADDRESS(ROW()+1, COLUMN(), 4, TRUE, "Export-dataset")) / INDIRECT(ADDRESS(ROW(), COLUMN(), 4, TRUE, "Export-dataset")), "" )</f>
        <v>1.2075471698113207</v>
      </c>
      <c r="AO33" s="6" cm="1">
        <f t="array" aca="1" ref="AO33" ca="1">IFERROR( INDIRECT(ADDRESS(ROW()+1, COLUMN(), 4, TRUE, "Export-dataset")) / INDIRECT(ADDRESS(ROW(), COLUMN(), 4, TRUE, "Export-dataset")), "" )</f>
        <v>0.87905604719764008</v>
      </c>
      <c r="AP33" s="6" cm="1">
        <f t="array" aca="1" ref="AP33" ca="1">IFERROR( INDIRECT(ADDRESS(ROW()+1, COLUMN(), 4, TRUE, "Export-dataset")) / INDIRECT(ADDRESS(ROW(), COLUMN(), 4, TRUE, "Export-dataset")), "" )</f>
        <v>1</v>
      </c>
      <c r="AQ33" s="6" cm="1">
        <f t="array" aca="1" ref="AQ33" ca="1">IFERROR( INDIRECT(ADDRESS(ROW()+1, COLUMN(), 4, TRUE, "Export-dataset")) / INDIRECT(ADDRESS(ROW(), COLUMN(), 4, TRUE, "Export-dataset")), "" )</f>
        <v>1.1054104477611941</v>
      </c>
      <c r="AR33" s="6" cm="1">
        <f t="array" aca="1" ref="AR33" ca="1">IFERROR( INDIRECT(ADDRESS(ROW()+1, COLUMN(), 4, TRUE, "Export-dataset")) / INDIRECT(ADDRESS(ROW(), COLUMN(), 4, TRUE, "Export-dataset")), "" )</f>
        <v>1.1547223540579021</v>
      </c>
      <c r="AS33" s="6" cm="1">
        <f t="array" aca="1" ref="AS33" ca="1">IFERROR( INDIRECT(ADDRESS(ROW()+1, COLUMN(), 4, TRUE, "Export-dataset")) / INDIRECT(ADDRESS(ROW(), COLUMN(), 4, TRUE, "Export-dataset")), "" )</f>
        <v>1</v>
      </c>
      <c r="AT33" s="6" cm="1">
        <f t="array" aca="1" ref="AT33" ca="1">IFERROR( INDIRECT(ADDRESS(ROW()+1, COLUMN(), 4, TRUE, "Export-dataset")) / INDIRECT(ADDRESS(ROW(), COLUMN(), 4, TRUE, "Export-dataset")), "" )</f>
        <v>1.0442176870748299</v>
      </c>
      <c r="AU33" s="6" cm="1">
        <f t="array" aca="1" ref="AU33" ca="1">IFERROR( INDIRECT(ADDRESS(ROW()+1, COLUMN(), 4, TRUE, "Export-dataset")) / INDIRECT(ADDRESS(ROW(), COLUMN(), 4, TRUE, "Export-dataset")), "" )</f>
        <v>0.84347826086956523</v>
      </c>
      <c r="AV33" s="6" cm="1">
        <f t="array" aca="1" ref="AV33" ca="1">IFERROR( INDIRECT(ADDRESS(ROW()+1, COLUMN(), 4, TRUE, "Export-dataset")) / INDIRECT(ADDRESS(ROW(), COLUMN(), 4, TRUE, "Export-dataset")), "" )</f>
        <v>1.1303060217176704</v>
      </c>
      <c r="AW33" s="6" cm="1">
        <f t="array" aca="1" ref="AW33" ca="1">IFERROR( INDIRECT(ADDRESS(ROW()+1, COLUMN(), 4, TRUE, "Export-dataset")) / INDIRECT(ADDRESS(ROW(), COLUMN(), 4, TRUE, "Export-dataset")), "" )</f>
        <v>0.9963503649635036</v>
      </c>
      <c r="AX33" s="6" cm="1">
        <f t="array" aca="1" ref="AX33" ca="1">IFERROR( INDIRECT(ADDRESS(ROW()+1, COLUMN(), 4, TRUE, "Export-dataset")) / INDIRECT(ADDRESS(ROW(), COLUMN(), 4, TRUE, "Export-dataset")), "" )</f>
        <v>1.0277161862527717</v>
      </c>
      <c r="AY33" s="6" cm="1">
        <f t="array" aca="1" ref="AY33" ca="1">IFERROR( INDIRECT(ADDRESS(ROW()+1, COLUMN(), 4, TRUE, "Export-dataset")) / INDIRECT(ADDRESS(ROW(), COLUMN(), 4, TRUE, "Export-dataset")), "" )</f>
        <v>1.1221374045801527</v>
      </c>
      <c r="AZ33" s="6" cm="1">
        <f t="array" aca="1" ref="AZ33" ca="1">IFERROR( INDIRECT(ADDRESS(ROW()+1, COLUMN(), 4, TRUE, "Export-dataset")) / INDIRECT(ADDRESS(ROW(), COLUMN(), 4, TRUE, "Export-dataset")), "" )</f>
        <v>1.1874058451340765</v>
      </c>
      <c r="BA33" s="6" cm="1">
        <f t="array" aca="1" ref="BA33" ca="1">IFERROR( INDIRECT(ADDRESS(ROW()+1, COLUMN(), 4, TRUE, "Export-dataset")) / INDIRECT(ADDRESS(ROW(), COLUMN(), 4, TRUE, "Export-dataset")), "" )</f>
        <v>1.1355475763016158</v>
      </c>
      <c r="BB33" s="6" cm="1">
        <f t="array" aca="1" ref="BB33" ca="1">IFERROR( INDIRECT(ADDRESS(ROW()+1, COLUMN(), 4, TRUE, "Export-dataset")) / INDIRECT(ADDRESS(ROW(), COLUMN(), 4, TRUE, "Export-dataset")), "" )</f>
        <v>1.0487771553490914</v>
      </c>
      <c r="BC33" s="6" cm="1">
        <f t="array" aca="1" ref="BC33" ca="1">IFERROR( INDIRECT(ADDRESS(ROW()+1, COLUMN(), 4, TRUE, "Export-dataset")) / INDIRECT(ADDRESS(ROW(), COLUMN(), 4, TRUE, "Export-dataset")), "" )</f>
        <v>1.2654986522911051</v>
      </c>
      <c r="BD33" s="6" cm="1">
        <f t="array" aca="1" ref="BD33" ca="1">IFERROR( INDIRECT(ADDRESS(ROW()+1, COLUMN(), 4, TRUE, "Export-dataset")) / INDIRECT(ADDRESS(ROW(), COLUMN(), 4, TRUE, "Export-dataset")), "" )</f>
        <v>0.97189819724284199</v>
      </c>
      <c r="BE33" s="6" cm="1">
        <f t="array" aca="1" ref="BE33" ca="1">IFERROR( INDIRECT(ADDRESS(ROW()+1, COLUMN(), 4, TRUE, "Export-dataset")) / INDIRECT(ADDRESS(ROW(), COLUMN(), 4, TRUE, "Export-dataset")), "" )</f>
        <v>1.4627659574468086</v>
      </c>
      <c r="BF33" s="6" cm="1">
        <f t="array" aca="1" ref="BF33" ca="1">IFERROR( INDIRECT(ADDRESS(ROW()+1, COLUMN(), 4, TRUE, "Export-dataset")) / INDIRECT(ADDRESS(ROW(), COLUMN(), 4, TRUE, "Export-dataset")), "" )</f>
        <v>1.0479233226837061</v>
      </c>
      <c r="BG33" s="6" cm="1">
        <f t="array" aca="1" ref="BG33" ca="1">IFERROR( INDIRECT(ADDRESS(ROW()+1, COLUMN(), 4, TRUE, "Export-dataset")) / INDIRECT(ADDRESS(ROW(), COLUMN(), 4, TRUE, "Export-dataset")), "" )</f>
        <v>1.0473083197389885</v>
      </c>
      <c r="BH33" s="6" cm="1">
        <f t="array" aca="1" ref="BH33" ca="1">IFERROR( INDIRECT(ADDRESS(ROW()+1, COLUMN(), 4, TRUE, "Export-dataset")) / INDIRECT(ADDRESS(ROW(), COLUMN(), 4, TRUE, "Export-dataset")), "" )</f>
        <v>0.99801192842942343</v>
      </c>
      <c r="BI33" s="6" cm="1">
        <f t="array" aca="1" ref="BI33" ca="1">IFERROR( INDIRECT(ADDRESS(ROW()+1, COLUMN(), 4, TRUE, "Export-dataset")) / INDIRECT(ADDRESS(ROW(), COLUMN(), 4, TRUE, "Export-dataset")), "" )</f>
        <v>1.1250676773145643</v>
      </c>
      <c r="BJ33" s="6" cm="1">
        <f t="array" aca="1" ref="BJ33" ca="1">IFERROR( INDIRECT(ADDRESS(ROW()+1, COLUMN(), 4, TRUE, "Export-dataset")) / INDIRECT(ADDRESS(ROW(), COLUMN(), 4, TRUE, "Export-dataset")), "" )</f>
        <v>0.74779151943462896</v>
      </c>
      <c r="BK33" s="6" cm="1">
        <f t="array" aca="1" ref="BK33" ca="1">IFERROR( INDIRECT(ADDRESS(ROW()+1, COLUMN(), 4, TRUE, "Export-dataset")) / INDIRECT(ADDRESS(ROW(), COLUMN(), 4, TRUE, "Export-dataset")), "" )</f>
        <v>1.2899693385895752</v>
      </c>
      <c r="BL33" s="6" cm="1">
        <f t="array" aca="1" ref="BL33" ca="1">IFERROR( INDIRECT(ADDRESS(ROW()+1, COLUMN(), 4, TRUE, "Export-dataset")) / INDIRECT(ADDRESS(ROW(), COLUMN(), 4, TRUE, "Export-dataset")), "" )</f>
        <v>1.0628554761557532</v>
      </c>
      <c r="BM33" s="6" cm="1">
        <f t="array" aca="1" ref="BM33" ca="1">IFERROR( INDIRECT(ADDRESS(ROW()+1, COLUMN(), 4, TRUE, "Export-dataset")) / INDIRECT(ADDRESS(ROW(), COLUMN(), 4, TRUE, "Export-dataset")), "" )</f>
        <v>1.125</v>
      </c>
      <c r="BN33" s="6" cm="1">
        <f t="array" aca="1" ref="BN33" ca="1">IFERROR( INDIRECT(ADDRESS(ROW()+1, COLUMN(), 4, TRUE, "Export-dataset")) / INDIRECT(ADDRESS(ROW(), COLUMN(), 4, TRUE, "Export-dataset")), "" )</f>
        <v>1.0780141843971631</v>
      </c>
      <c r="BO33" s="6" cm="1">
        <f t="array" aca="1" ref="BO33" ca="1">IFERROR( INDIRECT(ADDRESS(ROW()+1, COLUMN(), 4, TRUE, "Export-dataset")) / INDIRECT(ADDRESS(ROW(), COLUMN(), 4, TRUE, "Export-dataset")), "" )</f>
        <v>1.1428571428571428</v>
      </c>
      <c r="BP33" s="6" cm="1">
        <f t="array" aca="1" ref="BP33" ca="1">IFERROR( INDIRECT(ADDRESS(ROW()+1, COLUMN(), 4, TRUE, "Export-dataset")) / INDIRECT(ADDRESS(ROW(), COLUMN(), 4, TRUE, "Export-dataset")), "" )</f>
        <v>1.024390243902439</v>
      </c>
      <c r="BQ33" s="6" cm="1">
        <f t="array" aca="1" ref="BQ33" ca="1">IFERROR( INDIRECT(ADDRESS(ROW()+1, COLUMN(), 4, TRUE, "Export-dataset")) / INDIRECT(ADDRESS(ROW(), COLUMN(), 4, TRUE, "Export-dataset")), "" )</f>
        <v>1.0782608695652174</v>
      </c>
      <c r="BR33" s="6" cm="1">
        <f t="array" aca="1" ref="BR33" ca="1">IFERROR( INDIRECT(ADDRESS(ROW()+1, COLUMN(), 4, TRUE, "Export-dataset")) / INDIRECT(ADDRESS(ROW(), COLUMN(), 4, TRUE, "Export-dataset")), "" )</f>
        <v>1.0557464681176021</v>
      </c>
      <c r="BS33" s="6" cm="1">
        <f t="array" aca="1" ref="BS33" ca="1">IFERROR( INDIRECT(ADDRESS(ROW()+1, COLUMN(), 4, TRUE, "Export-dataset")) / INDIRECT(ADDRESS(ROW(), COLUMN(), 4, TRUE, "Export-dataset")), "" )</f>
        <v>1.0304449648711944</v>
      </c>
      <c r="BT33" s="6" cm="1">
        <f t="array" aca="1" ref="BT33" ca="1">IFERROR( INDIRECT(ADDRESS(ROW()+1, COLUMN(), 4, TRUE, "Export-dataset")) / INDIRECT(ADDRESS(ROW(), COLUMN(), 4, TRUE, "Export-dataset")), "" )</f>
        <v>1.0709313887968179</v>
      </c>
      <c r="BU33" s="6" cm="1">
        <f t="array" aca="1" ref="BU33" ca="1">IFERROR( INDIRECT(ADDRESS(ROW()+1, COLUMN(), 4, TRUE, "Export-dataset")) / INDIRECT(ADDRESS(ROW(), COLUMN(), 4, TRUE, "Export-dataset")), "" )</f>
        <v>1.0177095169063197</v>
      </c>
      <c r="BV33" s="6" cm="1">
        <f t="array" aca="1" ref="BV33" ca="1">IFERROR( INDIRECT(ADDRESS(ROW()+1, COLUMN(), 4, TRUE, "Export-dataset")) / INDIRECT(ADDRESS(ROW(), COLUMN(), 4, TRUE, "Export-dataset")), "" )</f>
        <v>0.93012211668928091</v>
      </c>
      <c r="BW33" s="6" cm="1">
        <f t="array" aca="1" ref="BW33" ca="1">IFERROR( INDIRECT(ADDRESS(ROW()+1, COLUMN(), 4, TRUE, "Export-dataset")) / INDIRECT(ADDRESS(ROW(), COLUMN(), 4, TRUE, "Export-dataset")), "" )</f>
        <v>1.2023633677991137</v>
      </c>
      <c r="BX33" s="6" cm="1">
        <f t="array" aca="1" ref="BX33" ca="1">IFERROR( INDIRECT(ADDRESS(ROW()+1, COLUMN(), 4, TRUE, "Export-dataset")) / INDIRECT(ADDRESS(ROW(), COLUMN(), 4, TRUE, "Export-dataset")), "" )</f>
        <v>0</v>
      </c>
      <c r="BY33" s="6" cm="1">
        <f t="array" aca="1" ref="BY33" ca="1">IFERROR( INDIRECT(ADDRESS(ROW()+1, COLUMN(), 4, TRUE, "Export-dataset")) / INDIRECT(ADDRESS(ROW(), COLUMN(), 4, TRUE, "Export-dataset")), "" )</f>
        <v>1.086038592508513</v>
      </c>
      <c r="BZ33" s="6" cm="1">
        <f t="array" aca="1" ref="BZ33" ca="1">IFERROR( INDIRECT(ADDRESS(ROW()+1, COLUMN(), 4, TRUE, "Export-dataset")) / INDIRECT(ADDRESS(ROW(), COLUMN(), 4, TRUE, "Export-dataset")), "" )</f>
        <v>0.8090102626543747</v>
      </c>
      <c r="CA33" s="6" cm="1">
        <f t="array" aca="1" ref="CA33" ca="1">IFERROR( INDIRECT(ADDRESS(ROW()+1, COLUMN(), 4, TRUE, "Export-dataset")) / INDIRECT(ADDRESS(ROW(), COLUMN(), 4, TRUE, "Export-dataset")), "" )</f>
        <v>1.1436313193997358</v>
      </c>
    </row>
    <row r="34" spans="1:79">
      <c r="A34" s="6" t="s">
        <v>191</v>
      </c>
      <c r="B34" s="6" cm="1">
        <f t="array" aca="1" ref="B34" ca="1">IFERROR( INDIRECT(ADDRESS(ROW()+1, COLUMN(), 4, TRUE, "Export-dataset")) / INDIRECT(ADDRESS(ROW(), COLUMN(), 4, TRUE, "Export-dataset")), "" )</f>
        <v>1.0674208273085537</v>
      </c>
      <c r="C34" s="6" cm="1">
        <f t="array" aca="1" ref="C34" ca="1">IFERROR( INDIRECT(ADDRESS(ROW()+1, COLUMN(), 4, TRUE, "Export-dataset")) / INDIRECT(ADDRESS(ROW(), COLUMN(), 4, TRUE, "Export-dataset")), "" )</f>
        <v>1.1649315068493151</v>
      </c>
      <c r="D34" s="6" cm="1">
        <f t="array" aca="1" ref="D34" ca="1">IFERROR( INDIRECT(ADDRESS(ROW()+1, COLUMN(), 4, TRUE, "Export-dataset")) / INDIRECT(ADDRESS(ROW(), COLUMN(), 4, TRUE, "Export-dataset")), "" )</f>
        <v>1.2099963248805585</v>
      </c>
      <c r="E34" s="6" cm="1">
        <f t="array" aca="1" ref="E34" ca="1">IFERROR( INDIRECT(ADDRESS(ROW()+1, COLUMN(), 4, TRUE, "Export-dataset")) / INDIRECT(ADDRESS(ROW(), COLUMN(), 4, TRUE, "Export-dataset")), "" )</f>
        <v>1.0028214429665459</v>
      </c>
      <c r="F34" s="6" cm="1">
        <f t="array" aca="1" ref="F34" ca="1">IFERROR( INDIRECT(ADDRESS(ROW()+1, COLUMN(), 4, TRUE, "Export-dataset")) / INDIRECT(ADDRESS(ROW(), COLUMN(), 4, TRUE, "Export-dataset")), "" )</f>
        <v>1.0408441116405718</v>
      </c>
      <c r="G34" s="6" cm="1">
        <f t="array" aca="1" ref="G34" ca="1">IFERROR( INDIRECT(ADDRESS(ROW()+1, COLUMN(), 4, TRUE, "Export-dataset")) / INDIRECT(ADDRESS(ROW(), COLUMN(), 4, TRUE, "Export-dataset")), "" )</f>
        <v>0.80412230412230412</v>
      </c>
      <c r="H34" s="6" cm="1">
        <f t="array" aca="1" ref="H34" ca="1">IFERROR( INDIRECT(ADDRESS(ROW()+1, COLUMN(), 4, TRUE, "Export-dataset")) / INDIRECT(ADDRESS(ROW(), COLUMN(), 4, TRUE, "Export-dataset")), "" )</f>
        <v>1.1527894589290721</v>
      </c>
      <c r="I34" s="6" cm="1">
        <f t="array" aca="1" ref="I34" ca="1">IFERROR( INDIRECT(ADDRESS(ROW()+1, COLUMN(), 4, TRUE, "Export-dataset")) / INDIRECT(ADDRESS(ROW(), COLUMN(), 4, TRUE, "Export-dataset")), "" )</f>
        <v>0.89333333333333331</v>
      </c>
      <c r="J34" s="6" cm="1">
        <f t="array" aca="1" ref="J34" ca="1">IFERROR( INDIRECT(ADDRESS(ROW()+1, COLUMN(), 4, TRUE, "Export-dataset")) / INDIRECT(ADDRESS(ROW(), COLUMN(), 4, TRUE, "Export-dataset")), "" )</f>
        <v>1.0814249363867685</v>
      </c>
      <c r="K34" s="6" cm="1">
        <f t="array" aca="1" ref="K34" ca="1">IFERROR( INDIRECT(ADDRESS(ROW()+1, COLUMN(), 4, TRUE, "Export-dataset")) / INDIRECT(ADDRESS(ROW(), COLUMN(), 4, TRUE, "Export-dataset")), "" )</f>
        <v>1.011037527593819</v>
      </c>
      <c r="L34" s="6" cm="1">
        <f t="array" aca="1" ref="L34" ca="1">IFERROR( INDIRECT(ADDRESS(ROW()+1, COLUMN(), 4, TRUE, "Export-dataset")) / INDIRECT(ADDRESS(ROW(), COLUMN(), 4, TRUE, "Export-dataset")), "" )</f>
        <v>1.0105227427019687</v>
      </c>
      <c r="M34" s="6" cm="1">
        <f t="array" aca="1" ref="M34" ca="1">IFERROR( INDIRECT(ADDRESS(ROW()+1, COLUMN(), 4, TRUE, "Export-dataset")) / INDIRECT(ADDRESS(ROW(), COLUMN(), 4, TRUE, "Export-dataset")), "" )</f>
        <v>1.0607047675451584</v>
      </c>
      <c r="N34" s="6" cm="1">
        <f t="array" aca="1" ref="N34" ca="1">IFERROR( INDIRECT(ADDRESS(ROW()+1, COLUMN(), 4, TRUE, "Export-dataset")) / INDIRECT(ADDRESS(ROW(), COLUMN(), 4, TRUE, "Export-dataset")), "" )</f>
        <v>1.0617842073538275</v>
      </c>
      <c r="O34" s="6" cm="1">
        <f t="array" aca="1" ref="O34" ca="1">IFERROR( INDIRECT(ADDRESS(ROW()+1, COLUMN(), 4, TRUE, "Export-dataset")) / INDIRECT(ADDRESS(ROW(), COLUMN(), 4, TRUE, "Export-dataset")), "" )</f>
        <v>1</v>
      </c>
      <c r="P34" s="6" cm="1">
        <f t="array" aca="1" ref="P34" ca="1">IFERROR( INDIRECT(ADDRESS(ROW()+1, COLUMN(), 4, TRUE, "Export-dataset")) / INDIRECT(ADDRESS(ROW(), COLUMN(), 4, TRUE, "Export-dataset")), "" )</f>
        <v>1.2763498909982316</v>
      </c>
      <c r="Q34" s="6" cm="1">
        <f t="array" aca="1" ref="Q34" ca="1">IFERROR( INDIRECT(ADDRESS(ROW()+1, COLUMN(), 4, TRUE, "Export-dataset")) / INDIRECT(ADDRESS(ROW(), COLUMN(), 4, TRUE, "Export-dataset")), "" )</f>
        <v>0.79206566347469221</v>
      </c>
      <c r="R34" s="6" cm="1">
        <f t="array" aca="1" ref="R34" ca="1">IFERROR( INDIRECT(ADDRESS(ROW()+1, COLUMN(), 4, TRUE, "Export-dataset")) / INDIRECT(ADDRESS(ROW(), COLUMN(), 4, TRUE, "Export-dataset")), "" )</f>
        <v>0.75178826895565098</v>
      </c>
      <c r="S34" s="6" cm="1">
        <f t="array" aca="1" ref="S34" ca="1">IFERROR( INDIRECT(ADDRESS(ROW()+1, COLUMN(), 4, TRUE, "Export-dataset")) / INDIRECT(ADDRESS(ROW(), COLUMN(), 4, TRUE, "Export-dataset")), "" )</f>
        <v>1.3333333333333333</v>
      </c>
      <c r="T34" s="6" cm="1">
        <f t="array" aca="1" ref="T34" ca="1">IFERROR( INDIRECT(ADDRESS(ROW()+1, COLUMN(), 4, TRUE, "Export-dataset")) / INDIRECT(ADDRESS(ROW(), COLUMN(), 4, TRUE, "Export-dataset")), "" )</f>
        <v>1.0031559963931469</v>
      </c>
      <c r="U34" s="6" cm="1">
        <f t="array" aca="1" ref="U34" ca="1">IFERROR( INDIRECT(ADDRESS(ROW()+1, COLUMN(), 4, TRUE, "Export-dataset")) / INDIRECT(ADDRESS(ROW(), COLUMN(), 4, TRUE, "Export-dataset")), "" )</f>
        <v>0.76890756302521013</v>
      </c>
      <c r="V34" s="6" cm="1">
        <f t="array" aca="1" ref="V34" ca="1">IFERROR( INDIRECT(ADDRESS(ROW()+1, COLUMN(), 4, TRUE, "Export-dataset")) / INDIRECT(ADDRESS(ROW(), COLUMN(), 4, TRUE, "Export-dataset")), "" )</f>
        <v>0.74822366388631445</v>
      </c>
      <c r="W34" s="6" cm="1">
        <f t="array" aca="1" ref="W34" ca="1">IFERROR( INDIRECT(ADDRESS(ROW()+1, COLUMN(), 4, TRUE, "Export-dataset")) / INDIRECT(ADDRESS(ROW(), COLUMN(), 4, TRUE, "Export-dataset")), "" )</f>
        <v>0.81374407582938391</v>
      </c>
      <c r="X34" s="6" cm="1">
        <f t="array" aca="1" ref="X34" ca="1">IFERROR( INDIRECT(ADDRESS(ROW()+1, COLUMN(), 4, TRUE, "Export-dataset")) / INDIRECT(ADDRESS(ROW(), COLUMN(), 4, TRUE, "Export-dataset")), "" )</f>
        <v>1.3447353724546782</v>
      </c>
      <c r="Y34" s="6" cm="1">
        <f t="array" aca="1" ref="Y34" ca="1">IFERROR( INDIRECT(ADDRESS(ROW()+1, COLUMN(), 4, TRUE, "Export-dataset")) / INDIRECT(ADDRESS(ROW(), COLUMN(), 4, TRUE, "Export-dataset")), "" )</f>
        <v>1</v>
      </c>
      <c r="Z34" s="6" cm="1">
        <f t="array" aca="1" ref="Z34" ca="1">IFERROR( INDIRECT(ADDRESS(ROW()+1, COLUMN(), 4, TRUE, "Export-dataset")) / INDIRECT(ADDRESS(ROW(), COLUMN(), 4, TRUE, "Export-dataset")), "" )</f>
        <v>1.0328701469710229</v>
      </c>
      <c r="AA34" s="6" cm="1">
        <f t="array" aca="1" ref="AA34" ca="1">IFERROR( INDIRECT(ADDRESS(ROW()+1, COLUMN(), 4, TRUE, "Export-dataset")) / INDIRECT(ADDRESS(ROW(), COLUMN(), 4, TRUE, "Export-dataset")), "" )</f>
        <v>0.95651328386787937</v>
      </c>
      <c r="AB34" s="6" cm="1">
        <f t="array" aca="1" ref="AB34" ca="1">IFERROR( INDIRECT(ADDRESS(ROW()+1, COLUMN(), 4, TRUE, "Export-dataset")) / INDIRECT(ADDRESS(ROW(), COLUMN(), 4, TRUE, "Export-dataset")), "" )</f>
        <v>1.0923063175766241</v>
      </c>
      <c r="AC34" s="6" cm="1">
        <f t="array" aca="1" ref="AC34" ca="1">IFERROR( INDIRECT(ADDRESS(ROW()+1, COLUMN(), 4, TRUE, "Export-dataset")) / INDIRECT(ADDRESS(ROW(), COLUMN(), 4, TRUE, "Export-dataset")), "" )</f>
        <v>1.1332835922132538</v>
      </c>
      <c r="AD34" s="6" cm="1">
        <f t="array" aca="1" ref="AD34" ca="1">IFERROR( INDIRECT(ADDRESS(ROW()+1, COLUMN(), 4, TRUE, "Export-dataset")) / INDIRECT(ADDRESS(ROW(), COLUMN(), 4, TRUE, "Export-dataset")), "" )</f>
        <v>0.97586726998491702</v>
      </c>
      <c r="AE34" s="6" cm="1">
        <f t="array" aca="1" ref="AE34" ca="1">IFERROR( INDIRECT(ADDRESS(ROW()+1, COLUMN(), 4, TRUE, "Export-dataset")) / INDIRECT(ADDRESS(ROW(), COLUMN(), 4, TRUE, "Export-dataset")), "" )</f>
        <v>0.97554347826086951</v>
      </c>
      <c r="AF34" s="6" cm="1">
        <f t="array" aca="1" ref="AF34" ca="1">IFERROR( INDIRECT(ADDRESS(ROW()+1, COLUMN(), 4, TRUE, "Export-dataset")) / INDIRECT(ADDRESS(ROW(), COLUMN(), 4, TRUE, "Export-dataset")), "" )</f>
        <v>1.0125</v>
      </c>
      <c r="AG34" s="6" cm="1">
        <f t="array" aca="1" ref="AG34" ca="1">IFERROR( INDIRECT(ADDRESS(ROW()+1, COLUMN(), 4, TRUE, "Export-dataset")) / INDIRECT(ADDRESS(ROW(), COLUMN(), 4, TRUE, "Export-dataset")), "" )</f>
        <v>0.8545454545454545</v>
      </c>
      <c r="AH34" s="6" cm="1">
        <f t="array" aca="1" ref="AH34" ca="1">IFERROR( INDIRECT(ADDRESS(ROW()+1, COLUMN(), 4, TRUE, "Export-dataset")) / INDIRECT(ADDRESS(ROW(), COLUMN(), 4, TRUE, "Export-dataset")), "" )</f>
        <v>1.139010466222645</v>
      </c>
      <c r="AI34" s="6" cm="1">
        <f t="array" aca="1" ref="AI34" ca="1">IFERROR( INDIRECT(ADDRESS(ROW()+1, COLUMN(), 4, TRUE, "Export-dataset")) / INDIRECT(ADDRESS(ROW(), COLUMN(), 4, TRUE, "Export-dataset")), "" )</f>
        <v>1.0547263681592041</v>
      </c>
      <c r="AJ34" s="6" cm="1">
        <f t="array" aca="1" ref="AJ34" ca="1">IFERROR( INDIRECT(ADDRESS(ROW()+1, COLUMN(), 4, TRUE, "Export-dataset")) / INDIRECT(ADDRESS(ROW(), COLUMN(), 4, TRUE, "Export-dataset")), "" )</f>
        <v>0.80469583778014941</v>
      </c>
      <c r="AK34" s="6" cm="1">
        <f t="array" aca="1" ref="AK34" ca="1">IFERROR( INDIRECT(ADDRESS(ROW()+1, COLUMN(), 4, TRUE, "Export-dataset")) / INDIRECT(ADDRESS(ROW(), COLUMN(), 4, TRUE, "Export-dataset")), "" )</f>
        <v>0.97959183673469385</v>
      </c>
      <c r="AL34" s="6" cm="1">
        <f t="array" aca="1" ref="AL34" ca="1">IFERROR( INDIRECT(ADDRESS(ROW()+1, COLUMN(), 4, TRUE, "Export-dataset")) / INDIRECT(ADDRESS(ROW(), COLUMN(), 4, TRUE, "Export-dataset")), "" )</f>
        <v>1.315578947368421</v>
      </c>
      <c r="AM34" s="6" cm="1">
        <f t="array" aca="1" ref="AM34" ca="1">IFERROR( INDIRECT(ADDRESS(ROW()+1, COLUMN(), 4, TRUE, "Export-dataset")) / INDIRECT(ADDRESS(ROW(), COLUMN(), 4, TRUE, "Export-dataset")), "" )</f>
        <v>1.138187221396731</v>
      </c>
      <c r="AN34" s="6" cm="1">
        <f t="array" aca="1" ref="AN34" ca="1">IFERROR( INDIRECT(ADDRESS(ROW()+1, COLUMN(), 4, TRUE, "Export-dataset")) / INDIRECT(ADDRESS(ROW(), COLUMN(), 4, TRUE, "Export-dataset")), "" )</f>
        <v>0.81874999999999998</v>
      </c>
      <c r="AO34" s="6" cm="1">
        <f t="array" aca="1" ref="AO34" ca="1">IFERROR( INDIRECT(ADDRESS(ROW()+1, COLUMN(), 4, TRUE, "Export-dataset")) / INDIRECT(ADDRESS(ROW(), COLUMN(), 4, TRUE, "Export-dataset")), "" )</f>
        <v>1.1006711409395973</v>
      </c>
      <c r="AP34" s="6" cm="1">
        <f t="array" aca="1" ref="AP34" ca="1">IFERROR( INDIRECT(ADDRESS(ROW()+1, COLUMN(), 4, TRUE, "Export-dataset")) / INDIRECT(ADDRESS(ROW(), COLUMN(), 4, TRUE, "Export-dataset")), "" )</f>
        <v>0.89616252821670428</v>
      </c>
      <c r="AQ34" s="6" cm="1">
        <f t="array" aca="1" ref="AQ34" ca="1">IFERROR( INDIRECT(ADDRESS(ROW()+1, COLUMN(), 4, TRUE, "Export-dataset")) / INDIRECT(ADDRESS(ROW(), COLUMN(), 4, TRUE, "Export-dataset")), "" )</f>
        <v>1.0337552742616034</v>
      </c>
      <c r="AR34" s="6" cm="1">
        <f t="array" aca="1" ref="AR34" ca="1">IFERROR( INDIRECT(ADDRESS(ROW()+1, COLUMN(), 4, TRUE, "Export-dataset")) / INDIRECT(ADDRESS(ROW(), COLUMN(), 4, TRUE, "Export-dataset")), "" )</f>
        <v>1.0314720216076567</v>
      </c>
      <c r="AS34" s="6" cm="1">
        <f t="array" aca="1" ref="AS34" ca="1">IFERROR( INDIRECT(ADDRESS(ROW()+1, COLUMN(), 4, TRUE, "Export-dataset")) / INDIRECT(ADDRESS(ROW(), COLUMN(), 4, TRUE, "Export-dataset")), "" )</f>
        <v>0.8493975903614458</v>
      </c>
      <c r="AT34" s="6" cm="1">
        <f t="array" aca="1" ref="AT34" ca="1">IFERROR( INDIRECT(ADDRESS(ROW()+1, COLUMN(), 4, TRUE, "Export-dataset")) / INDIRECT(ADDRESS(ROW(), COLUMN(), 4, TRUE, "Export-dataset")), "" )</f>
        <v>1.0586319218241043</v>
      </c>
      <c r="AU34" s="6" cm="1">
        <f t="array" aca="1" ref="AU34" ca="1">IFERROR( INDIRECT(ADDRESS(ROW()+1, COLUMN(), 4, TRUE, "Export-dataset")) / INDIRECT(ADDRESS(ROW(), COLUMN(), 4, TRUE, "Export-dataset")), "" )</f>
        <v>1.1134020618556701</v>
      </c>
      <c r="AV34" s="6" cm="1">
        <f t="array" aca="1" ref="AV34" ca="1">IFERROR( INDIRECT(ADDRESS(ROW()+1, COLUMN(), 4, TRUE, "Export-dataset")) / INDIRECT(ADDRESS(ROW(), COLUMN(), 4, TRUE, "Export-dataset")), "" )</f>
        <v>0.95545851528384285</v>
      </c>
      <c r="AW34" s="6" cm="1">
        <f t="array" aca="1" ref="AW34" ca="1">IFERROR( INDIRECT(ADDRESS(ROW()+1, COLUMN(), 4, TRUE, "Export-dataset")) / INDIRECT(ADDRESS(ROW(), COLUMN(), 4, TRUE, "Export-dataset")), "" )</f>
        <v>1.1172161172161172</v>
      </c>
      <c r="AX34" s="6" cm="1">
        <f t="array" aca="1" ref="AX34" ca="1">IFERROR( INDIRECT(ADDRESS(ROW()+1, COLUMN(), 4, TRUE, "Export-dataset")) / INDIRECT(ADDRESS(ROW(), COLUMN(), 4, TRUE, "Export-dataset")), "" )</f>
        <v>1.0841423948220066</v>
      </c>
      <c r="AY34" s="6" cm="1">
        <f t="array" aca="1" ref="AY34" ca="1">IFERROR( INDIRECT(ADDRESS(ROW()+1, COLUMN(), 4, TRUE, "Export-dataset")) / INDIRECT(ADDRESS(ROW(), COLUMN(), 4, TRUE, "Export-dataset")), "" )</f>
        <v>1.1827016520894071</v>
      </c>
      <c r="AZ34" s="6" cm="1">
        <f t="array" aca="1" ref="AZ34" ca="1">IFERROR( INDIRECT(ADDRESS(ROW()+1, COLUMN(), 4, TRUE, "Export-dataset")) / INDIRECT(ADDRESS(ROW(), COLUMN(), 4, TRUE, "Export-dataset")), "" )</f>
        <v>1.0148862386873043</v>
      </c>
      <c r="BA34" s="6" cm="1">
        <f t="array" aca="1" ref="BA34" ca="1">IFERROR( INDIRECT(ADDRESS(ROW()+1, COLUMN(), 4, TRUE, "Export-dataset")) / INDIRECT(ADDRESS(ROW(), COLUMN(), 4, TRUE, "Export-dataset")), "" )</f>
        <v>1.0845849802371541</v>
      </c>
      <c r="BB34" s="6" cm="1">
        <f t="array" aca="1" ref="BB34" ca="1">IFERROR( INDIRECT(ADDRESS(ROW()+1, COLUMN(), 4, TRUE, "Export-dataset")) / INDIRECT(ADDRESS(ROW(), COLUMN(), 4, TRUE, "Export-dataset")), "" )</f>
        <v>1.1068264721208962</v>
      </c>
      <c r="BC34" s="6" cm="1">
        <f t="array" aca="1" ref="BC34" ca="1">IFERROR( INDIRECT(ADDRESS(ROW()+1, COLUMN(), 4, TRUE, "Export-dataset")) / INDIRECT(ADDRESS(ROW(), COLUMN(), 4, TRUE, "Export-dataset")), "" )</f>
        <v>1.1331203407880723</v>
      </c>
      <c r="BD34" s="6" cm="1">
        <f t="array" aca="1" ref="BD34" ca="1">IFERROR( INDIRECT(ADDRESS(ROW()+1, COLUMN(), 4, TRUE, "Export-dataset")) / INDIRECT(ADDRESS(ROW(), COLUMN(), 4, TRUE, "Export-dataset")), "" )</f>
        <v>1.0698308783415167</v>
      </c>
      <c r="BE34" s="6" cm="1">
        <f t="array" aca="1" ref="BE34" ca="1">IFERROR( INDIRECT(ADDRESS(ROW()+1, COLUMN(), 4, TRUE, "Export-dataset")) / INDIRECT(ADDRESS(ROW(), COLUMN(), 4, TRUE, "Export-dataset")), "" )</f>
        <v>0.69818181818181824</v>
      </c>
      <c r="BF34" s="6" cm="1">
        <f t="array" aca="1" ref="BF34" ca="1">IFERROR( INDIRECT(ADDRESS(ROW()+1, COLUMN(), 4, TRUE, "Export-dataset")) / INDIRECT(ADDRESS(ROW(), COLUMN(), 4, TRUE, "Export-dataset")), "" )</f>
        <v>1.0696864111498259</v>
      </c>
      <c r="BG34" s="6" cm="1">
        <f t="array" aca="1" ref="BG34" ca="1">IFERROR( INDIRECT(ADDRESS(ROW()+1, COLUMN(), 4, TRUE, "Export-dataset")) / INDIRECT(ADDRESS(ROW(), COLUMN(), 4, TRUE, "Export-dataset")), "" )</f>
        <v>1.0981308411214954</v>
      </c>
      <c r="BH34" s="6" cm="1">
        <f t="array" aca="1" ref="BH34" ca="1">IFERROR( INDIRECT(ADDRESS(ROW()+1, COLUMN(), 4, TRUE, "Export-dataset")) / INDIRECT(ADDRESS(ROW(), COLUMN(), 4, TRUE, "Export-dataset")), "" )</f>
        <v>1.3232071713147411</v>
      </c>
      <c r="BI34" s="6" cm="1">
        <f t="array" aca="1" ref="BI34" ca="1">IFERROR( INDIRECT(ADDRESS(ROW()+1, COLUMN(), 4, TRUE, "Export-dataset")) / INDIRECT(ADDRESS(ROW(), COLUMN(), 4, TRUE, "Export-dataset")), "" )</f>
        <v>1.0255052935514919</v>
      </c>
      <c r="BJ34" s="6" cm="1">
        <f t="array" aca="1" ref="BJ34" ca="1">IFERROR( INDIRECT(ADDRESS(ROW()+1, COLUMN(), 4, TRUE, "Export-dataset")) / INDIRECT(ADDRESS(ROW(), COLUMN(), 4, TRUE, "Export-dataset")), "" )</f>
        <v>1.1334908446544596</v>
      </c>
      <c r="BK34" s="6" cm="1">
        <f t="array" aca="1" ref="BK34" ca="1">IFERROR( INDIRECT(ADDRESS(ROW()+1, COLUMN(), 4, TRUE, "Export-dataset")) / INDIRECT(ADDRESS(ROW(), COLUMN(), 4, TRUE, "Export-dataset")), "" )</f>
        <v>1.0893039049235993</v>
      </c>
      <c r="BL34" s="6" cm="1">
        <f t="array" aca="1" ref="BL34" ca="1">IFERROR( INDIRECT(ADDRESS(ROW()+1, COLUMN(), 4, TRUE, "Export-dataset")) / INDIRECT(ADDRESS(ROW(), COLUMN(), 4, TRUE, "Export-dataset")), "" )</f>
        <v>1.1262349066959385</v>
      </c>
      <c r="BM34" s="6" cm="1">
        <f t="array" aca="1" ref="BM34" ca="1">IFERROR( INDIRECT(ADDRESS(ROW()+1, COLUMN(), 4, TRUE, "Export-dataset")) / INDIRECT(ADDRESS(ROW(), COLUMN(), 4, TRUE, "Export-dataset")), "" )</f>
        <v>0.96913580246913578</v>
      </c>
      <c r="BN34" s="6" cm="1">
        <f t="array" aca="1" ref="BN34" ca="1">IFERROR( INDIRECT(ADDRESS(ROW()+1, COLUMN(), 4, TRUE, "Export-dataset")) / INDIRECT(ADDRESS(ROW(), COLUMN(), 4, TRUE, "Export-dataset")), "" )</f>
        <v>1.1973684210526316</v>
      </c>
      <c r="BO34" s="6" cm="1">
        <f t="array" aca="1" ref="BO34" ca="1">IFERROR( INDIRECT(ADDRESS(ROW()+1, COLUMN(), 4, TRUE, "Export-dataset")) / INDIRECT(ADDRESS(ROW(), COLUMN(), 4, TRUE, "Export-dataset")), "" )</f>
        <v>1.175</v>
      </c>
      <c r="BP34" s="6" cm="1">
        <f t="array" aca="1" ref="BP34" ca="1">IFERROR( INDIRECT(ADDRESS(ROW()+1, COLUMN(), 4, TRUE, "Export-dataset")) / INDIRECT(ADDRESS(ROW(), COLUMN(), 4, TRUE, "Export-dataset")), "" )</f>
        <v>1.1220238095238095</v>
      </c>
      <c r="BQ34" s="6" cm="1">
        <f t="array" aca="1" ref="BQ34" ca="1">IFERROR( INDIRECT(ADDRESS(ROW()+1, COLUMN(), 4, TRUE, "Export-dataset")) / INDIRECT(ADDRESS(ROW(), COLUMN(), 4, TRUE, "Export-dataset")), "" )</f>
        <v>0.9838709677419355</v>
      </c>
      <c r="BR34" s="6" cm="1">
        <f t="array" aca="1" ref="BR34" ca="1">IFERROR( INDIRECT(ADDRESS(ROW()+1, COLUMN(), 4, TRUE, "Export-dataset")) / INDIRECT(ADDRESS(ROW(), COLUMN(), 4, TRUE, "Export-dataset")), "" )</f>
        <v>1.4126582278481012</v>
      </c>
      <c r="BS34" s="6" cm="1">
        <f t="array" aca="1" ref="BS34" ca="1">IFERROR( INDIRECT(ADDRESS(ROW()+1, COLUMN(), 4, TRUE, "Export-dataset")) / INDIRECT(ADDRESS(ROW(), COLUMN(), 4, TRUE, "Export-dataset")), "" )</f>
        <v>1.0590909090909091</v>
      </c>
      <c r="BT34" s="6" cm="1">
        <f t="array" aca="1" ref="BT34" ca="1">IFERROR( INDIRECT(ADDRESS(ROW()+1, COLUMN(), 4, TRUE, "Export-dataset")) / INDIRECT(ADDRESS(ROW(), COLUMN(), 4, TRUE, "Export-dataset")), "" )</f>
        <v>0.89786443825441042</v>
      </c>
      <c r="BU34" s="6" cm="1">
        <f t="array" aca="1" ref="BU34" ca="1">IFERROR( INDIRECT(ADDRESS(ROW()+1, COLUMN(), 4, TRUE, "Export-dataset")) / INDIRECT(ADDRESS(ROW(), COLUMN(), 4, TRUE, "Export-dataset")), "" )</f>
        <v>1.1804042348411934</v>
      </c>
      <c r="BV34" s="6" cm="1">
        <f t="array" aca="1" ref="BV34" ca="1">IFERROR( INDIRECT(ADDRESS(ROW()+1, COLUMN(), 4, TRUE, "Export-dataset")) / INDIRECT(ADDRESS(ROW(), COLUMN(), 4, TRUE, "Export-dataset")), "" )</f>
        <v>0.90371991247264771</v>
      </c>
      <c r="BW34" s="6" cm="1">
        <f t="array" aca="1" ref="BW34" ca="1">IFERROR( INDIRECT(ADDRESS(ROW()+1, COLUMN(), 4, TRUE, "Export-dataset")) / INDIRECT(ADDRESS(ROW(), COLUMN(), 4, TRUE, "Export-dataset")), "" )</f>
        <v>1.0577395577395576</v>
      </c>
      <c r="BX34" s="6" t="str" cm="1">
        <f t="array" aca="1" ref="BX34" ca="1">IFERROR( INDIRECT(ADDRESS(ROW()+1, COLUMN(), 4, TRUE, "Export-dataset")) / INDIRECT(ADDRESS(ROW(), COLUMN(), 4, TRUE, "Export-dataset")), "" )</f>
        <v/>
      </c>
      <c r="BY34" s="6" cm="1">
        <f t="array" aca="1" ref="BY34" ca="1">IFERROR( INDIRECT(ADDRESS(ROW()+1, COLUMN(), 4, TRUE, "Export-dataset")) / INDIRECT(ADDRESS(ROW(), COLUMN(), 4, TRUE, "Export-dataset")), "" )</f>
        <v>1.2213628762541806</v>
      </c>
      <c r="BZ34" s="6" cm="1">
        <f t="array" aca="1" ref="BZ34" ca="1">IFERROR( INDIRECT(ADDRESS(ROW()+1, COLUMN(), 4, TRUE, "Export-dataset")) / INDIRECT(ADDRESS(ROW(), COLUMN(), 4, TRUE, "Export-dataset")), "" )</f>
        <v>1.1154590410664373</v>
      </c>
      <c r="CA34" s="6" cm="1">
        <f t="array" aca="1" ref="CA34" ca="1">IFERROR( INDIRECT(ADDRESS(ROW()+1, COLUMN(), 4, TRUE, "Export-dataset")) / INDIRECT(ADDRESS(ROW(), COLUMN(), 4, TRUE, "Export-dataset")), "" )</f>
        <v>1.131642557636783</v>
      </c>
    </row>
    <row r="35" spans="1:79">
      <c r="A35" s="6" t="s">
        <v>192</v>
      </c>
      <c r="B35" s="6" cm="1">
        <f t="array" aca="1" ref="B35" ca="1">IFERROR( INDIRECT(ADDRESS(ROW()+1, COLUMN(), 4, TRUE, "Export-dataset")) / INDIRECT(ADDRESS(ROW(), COLUMN(), 4, TRUE, "Export-dataset")), "" )</f>
        <v>0.94631995537730085</v>
      </c>
      <c r="C35" s="6" cm="1">
        <f t="array" aca="1" ref="C35" ca="1">IFERROR( INDIRECT(ADDRESS(ROW()+1, COLUMN(), 4, TRUE, "Export-dataset")) / INDIRECT(ADDRESS(ROW(), COLUMN(), 4, TRUE, "Export-dataset")), "" )</f>
        <v>0.91674506114769516</v>
      </c>
      <c r="D35" s="6" cm="1">
        <f t="array" aca="1" ref="D35" ca="1">IFERROR( INDIRECT(ADDRESS(ROW()+1, COLUMN(), 4, TRUE, "Export-dataset")) / INDIRECT(ADDRESS(ROW(), COLUMN(), 4, TRUE, "Export-dataset")), "" )</f>
        <v>0.89326934758838539</v>
      </c>
      <c r="E35" s="6" cm="1">
        <f t="array" aca="1" ref="E35" ca="1">IFERROR( INDIRECT(ADDRESS(ROW()+1, COLUMN(), 4, TRUE, "Export-dataset")) / INDIRECT(ADDRESS(ROW(), COLUMN(), 4, TRUE, "Export-dataset")), "" )</f>
        <v>1.022508038585209</v>
      </c>
      <c r="F35" s="6" cm="1">
        <f t="array" aca="1" ref="F35" ca="1">IFERROR( INDIRECT(ADDRESS(ROW()+1, COLUMN(), 4, TRUE, "Export-dataset")) / INDIRECT(ADDRESS(ROW(), COLUMN(), 4, TRUE, "Export-dataset")), "" )</f>
        <v>0.80379332897318512</v>
      </c>
      <c r="G35" s="6" cm="1">
        <f t="array" aca="1" ref="G35" ca="1">IFERROR( INDIRECT(ADDRESS(ROW()+1, COLUMN(), 4, TRUE, "Export-dataset")) / INDIRECT(ADDRESS(ROW(), COLUMN(), 4, TRUE, "Export-dataset")), "" )</f>
        <v>1.0931930062807673</v>
      </c>
      <c r="H35" s="6" cm="1">
        <f t="array" aca="1" ref="H35" ca="1">IFERROR( INDIRECT(ADDRESS(ROW()+1, COLUMN(), 4, TRUE, "Export-dataset")) / INDIRECT(ADDRESS(ROW(), COLUMN(), 4, TRUE, "Export-dataset")), "" )</f>
        <v>1.003647859922179</v>
      </c>
      <c r="I35" s="6" cm="1">
        <f t="array" aca="1" ref="I35" ca="1">IFERROR( INDIRECT(ADDRESS(ROW()+1, COLUMN(), 4, TRUE, "Export-dataset")) / INDIRECT(ADDRESS(ROW(), COLUMN(), 4, TRUE, "Export-dataset")), "" )</f>
        <v>1.0559701492537314</v>
      </c>
      <c r="J35" s="6" cm="1">
        <f t="array" aca="1" ref="J35" ca="1">IFERROR( INDIRECT(ADDRESS(ROW()+1, COLUMN(), 4, TRUE, "Export-dataset")) / INDIRECT(ADDRESS(ROW(), COLUMN(), 4, TRUE, "Export-dataset")), "" )</f>
        <v>1.0517647058823529</v>
      </c>
      <c r="K35" s="6" cm="1">
        <f t="array" aca="1" ref="K35" ca="1">IFERROR( INDIRECT(ADDRESS(ROW()+1, COLUMN(), 4, TRUE, "Export-dataset")) / INDIRECT(ADDRESS(ROW(), COLUMN(), 4, TRUE, "Export-dataset")), "" )</f>
        <v>0.95342066957787486</v>
      </c>
      <c r="L35" s="6" cm="1">
        <f t="array" aca="1" ref="L35" ca="1">IFERROR( INDIRECT(ADDRESS(ROW()+1, COLUMN(), 4, TRUE, "Export-dataset")) / INDIRECT(ADDRESS(ROW(), COLUMN(), 4, TRUE, "Export-dataset")), "" )</f>
        <v>0.87033926771918035</v>
      </c>
      <c r="M35" s="6" cm="1">
        <f t="array" aca="1" ref="M35" ca="1">IFERROR( INDIRECT(ADDRESS(ROW()+1, COLUMN(), 4, TRUE, "Export-dataset")) / INDIRECT(ADDRESS(ROW(), COLUMN(), 4, TRUE, "Export-dataset")), "" )</f>
        <v>0.91652707984366277</v>
      </c>
      <c r="N35" s="6" cm="1">
        <f t="array" aca="1" ref="N35" ca="1">IFERROR( INDIRECT(ADDRESS(ROW()+1, COLUMN(), 4, TRUE, "Export-dataset")) / INDIRECT(ADDRESS(ROW(), COLUMN(), 4, TRUE, "Export-dataset")), "" )</f>
        <v>0.92137382912290666</v>
      </c>
      <c r="O35" s="6" cm="1">
        <f t="array" aca="1" ref="O35" ca="1">IFERROR( INDIRECT(ADDRESS(ROW()+1, COLUMN(), 4, TRUE, "Export-dataset")) / INDIRECT(ADDRESS(ROW(), COLUMN(), 4, TRUE, "Export-dataset")), "" )</f>
        <v>0.6271186440677966</v>
      </c>
      <c r="P35" s="6" cm="1">
        <f t="array" aca="1" ref="P35" ca="1">IFERROR( INDIRECT(ADDRESS(ROW()+1, COLUMN(), 4, TRUE, "Export-dataset")) / INDIRECT(ADDRESS(ROW(), COLUMN(), 4, TRUE, "Export-dataset")), "" )</f>
        <v>1.1140123886669355</v>
      </c>
      <c r="Q35" s="6" cm="1">
        <f t="array" aca="1" ref="Q35" ca="1">IFERROR( INDIRECT(ADDRESS(ROW()+1, COLUMN(), 4, TRUE, "Export-dataset")) / INDIRECT(ADDRESS(ROW(), COLUMN(), 4, TRUE, "Export-dataset")), "" )</f>
        <v>0.71502590673575128</v>
      </c>
      <c r="R35" s="6" cm="1">
        <f t="array" aca="1" ref="R35" ca="1">IFERROR( INDIRECT(ADDRESS(ROW()+1, COLUMN(), 4, TRUE, "Export-dataset")) / INDIRECT(ADDRESS(ROW(), COLUMN(), 4, TRUE, "Export-dataset")), "" )</f>
        <v>1.1255946717411989</v>
      </c>
      <c r="S35" s="6" cm="1">
        <f t="array" aca="1" ref="S35" ca="1">IFERROR( INDIRECT(ADDRESS(ROW()+1, COLUMN(), 4, TRUE, "Export-dataset")) / INDIRECT(ADDRESS(ROW(), COLUMN(), 4, TRUE, "Export-dataset")), "" )</f>
        <v>0.5</v>
      </c>
      <c r="T35" s="6" cm="1">
        <f t="array" aca="1" ref="T35" ca="1">IFERROR( INDIRECT(ADDRESS(ROW()+1, COLUMN(), 4, TRUE, "Export-dataset")) / INDIRECT(ADDRESS(ROW(), COLUMN(), 4, TRUE, "Export-dataset")), "" )</f>
        <v>0.75011235955056177</v>
      </c>
      <c r="U35" s="6" cm="1">
        <f t="array" aca="1" ref="U35" ca="1">IFERROR( INDIRECT(ADDRESS(ROW()+1, COLUMN(), 4, TRUE, "Export-dataset")) / INDIRECT(ADDRESS(ROW(), COLUMN(), 4, TRUE, "Export-dataset")), "" )</f>
        <v>0.93989071038251371</v>
      </c>
      <c r="V35" s="6" cm="1">
        <f t="array" aca="1" ref="V35" ca="1">IFERROR( INDIRECT(ADDRESS(ROW()+1, COLUMN(), 4, TRUE, "Export-dataset")) / INDIRECT(ADDRESS(ROW(), COLUMN(), 4, TRUE, "Export-dataset")), "" )</f>
        <v>0.56544178364987618</v>
      </c>
      <c r="W35" s="6" cm="1">
        <f t="array" aca="1" ref="W35" ca="1">IFERROR( INDIRECT(ADDRESS(ROW()+1, COLUMN(), 4, TRUE, "Export-dataset")) / INDIRECT(ADDRESS(ROW(), COLUMN(), 4, TRUE, "Export-dataset")), "" )</f>
        <v>0.67734420500873616</v>
      </c>
      <c r="X35" s="6" cm="1">
        <f t="array" aca="1" ref="X35" ca="1">IFERROR( INDIRECT(ADDRESS(ROW()+1, COLUMN(), 4, TRUE, "Export-dataset")) / INDIRECT(ADDRESS(ROW(), COLUMN(), 4, TRUE, "Export-dataset")), "" )</f>
        <v>1.1506017841882901</v>
      </c>
      <c r="Y35" s="6" cm="1">
        <f t="array" aca="1" ref="Y35" ca="1">IFERROR( INDIRECT(ADDRESS(ROW()+1, COLUMN(), 4, TRUE, "Export-dataset")) / INDIRECT(ADDRESS(ROW(), COLUMN(), 4, TRUE, "Export-dataset")), "" )</f>
        <v>0.94349315068493156</v>
      </c>
      <c r="Z35" s="6" cm="1">
        <f t="array" aca="1" ref="Z35" ca="1">IFERROR( INDIRECT(ADDRESS(ROW()+1, COLUMN(), 4, TRUE, "Export-dataset")) / INDIRECT(ADDRESS(ROW(), COLUMN(), 4, TRUE, "Export-dataset")), "" )</f>
        <v>0.70332098061573545</v>
      </c>
      <c r="AA35" s="6" cm="1">
        <f t="array" aca="1" ref="AA35" ca="1">IFERROR( INDIRECT(ADDRESS(ROW()+1, COLUMN(), 4, TRUE, "Export-dataset")) / INDIRECT(ADDRESS(ROW(), COLUMN(), 4, TRUE, "Export-dataset")), "" )</f>
        <v>0.67823462254265654</v>
      </c>
      <c r="AB35" s="6" cm="1">
        <f t="array" aca="1" ref="AB35" ca="1">IFERROR( INDIRECT(ADDRESS(ROW()+1, COLUMN(), 4, TRUE, "Export-dataset")) / INDIRECT(ADDRESS(ROW(), COLUMN(), 4, TRUE, "Export-dataset")), "" )</f>
        <v>0.63440772251308897</v>
      </c>
      <c r="AC35" s="6" cm="1">
        <f t="array" aca="1" ref="AC35" ca="1">IFERROR( INDIRECT(ADDRESS(ROW()+1, COLUMN(), 4, TRUE, "Export-dataset")) / INDIRECT(ADDRESS(ROW(), COLUMN(), 4, TRUE, "Export-dataset")), "" )</f>
        <v>0.75211475540659167</v>
      </c>
      <c r="AD35" s="6" cm="1">
        <f t="array" aca="1" ref="AD35" ca="1">IFERROR( INDIRECT(ADDRESS(ROW()+1, COLUMN(), 4, TRUE, "Export-dataset")) / INDIRECT(ADDRESS(ROW(), COLUMN(), 4, TRUE, "Export-dataset")), "" )</f>
        <v>1.1761978361669243</v>
      </c>
      <c r="AE35" s="6" cm="1">
        <f t="array" aca="1" ref="AE35" ca="1">IFERROR( INDIRECT(ADDRESS(ROW()+1, COLUMN(), 4, TRUE, "Export-dataset")) / INDIRECT(ADDRESS(ROW(), COLUMN(), 4, TRUE, "Export-dataset")), "" )</f>
        <v>1.2367688022284122</v>
      </c>
      <c r="AF35" s="6" cm="1">
        <f t="array" aca="1" ref="AF35" ca="1">IFERROR( INDIRECT(ADDRESS(ROW()+1, COLUMN(), 4, TRUE, "Export-dataset")) / INDIRECT(ADDRESS(ROW(), COLUMN(), 4, TRUE, "Export-dataset")), "" )</f>
        <v>1.1604938271604939</v>
      </c>
      <c r="AG35" s="6" cm="1">
        <f t="array" aca="1" ref="AG35" ca="1">IFERROR( INDIRECT(ADDRESS(ROW()+1, COLUMN(), 4, TRUE, "Export-dataset")) / INDIRECT(ADDRESS(ROW(), COLUMN(), 4, TRUE, "Export-dataset")), "" )</f>
        <v>0.7021276595744681</v>
      </c>
      <c r="AH35" s="6" cm="1">
        <f t="array" aca="1" ref="AH35" ca="1">IFERROR( INDIRECT(ADDRESS(ROW()+1, COLUMN(), 4, TRUE, "Export-dataset")) / INDIRECT(ADDRESS(ROW(), COLUMN(), 4, TRUE, "Export-dataset")), "" )</f>
        <v>0.92657255032996411</v>
      </c>
      <c r="AI35" s="6" cm="1">
        <f t="array" aca="1" ref="AI35" ca="1">IFERROR( INDIRECT(ADDRESS(ROW()+1, COLUMN(), 4, TRUE, "Export-dataset")) / INDIRECT(ADDRESS(ROW(), COLUMN(), 4, TRUE, "Export-dataset")), "" )</f>
        <v>1.070754716981132</v>
      </c>
      <c r="AJ35" s="6" cm="1">
        <f t="array" aca="1" ref="AJ35" ca="1">IFERROR( INDIRECT(ADDRESS(ROW()+1, COLUMN(), 4, TRUE, "Export-dataset")) / INDIRECT(ADDRESS(ROW(), COLUMN(), 4, TRUE, "Export-dataset")), "" )</f>
        <v>0.85013262599469497</v>
      </c>
      <c r="AK35" s="6" cm="1">
        <f t="array" aca="1" ref="AK35" ca="1">IFERROR( INDIRECT(ADDRESS(ROW()+1, COLUMN(), 4, TRUE, "Export-dataset")) / INDIRECT(ADDRESS(ROW(), COLUMN(), 4, TRUE, "Export-dataset")), "" )</f>
        <v>0.88690476190476186</v>
      </c>
      <c r="AL35" s="6" cm="1">
        <f t="array" aca="1" ref="AL35" ca="1">IFERROR( INDIRECT(ADDRESS(ROW()+1, COLUMN(), 4, TRUE, "Export-dataset")) / INDIRECT(ADDRESS(ROW(), COLUMN(), 4, TRUE, "Export-dataset")), "" )</f>
        <v>0.88766202592414789</v>
      </c>
      <c r="AM35" s="6" cm="1">
        <f t="array" aca="1" ref="AM35" ca="1">IFERROR( INDIRECT(ADDRESS(ROW()+1, COLUMN(), 4, TRUE, "Export-dataset")) / INDIRECT(ADDRESS(ROW(), COLUMN(), 4, TRUE, "Export-dataset")), "" )</f>
        <v>1.0378590078328982</v>
      </c>
      <c r="AN35" s="6" cm="1">
        <f t="array" aca="1" ref="AN35" ca="1">IFERROR( INDIRECT(ADDRESS(ROW()+1, COLUMN(), 4, TRUE, "Export-dataset")) / INDIRECT(ADDRESS(ROW(), COLUMN(), 4, TRUE, "Export-dataset")), "" )</f>
        <v>1.2595419847328244</v>
      </c>
      <c r="AO35" s="6" cm="1">
        <f t="array" aca="1" ref="AO35" ca="1">IFERROR( INDIRECT(ADDRESS(ROW()+1, COLUMN(), 4, TRUE, "Export-dataset")) / INDIRECT(ADDRESS(ROW(), COLUMN(), 4, TRUE, "Export-dataset")), "" )</f>
        <v>0.70731707317073167</v>
      </c>
      <c r="AP35" s="6" cm="1">
        <f t="array" aca="1" ref="AP35" ca="1">IFERROR( INDIRECT(ADDRESS(ROW()+1, COLUMN(), 4, TRUE, "Export-dataset")) / INDIRECT(ADDRESS(ROW(), COLUMN(), 4, TRUE, "Export-dataset")), "" )</f>
        <v>0.78337531486146095</v>
      </c>
      <c r="AQ35" s="6" cm="1">
        <f t="array" aca="1" ref="AQ35" ca="1">IFERROR( INDIRECT(ADDRESS(ROW()+1, COLUMN(), 4, TRUE, "Export-dataset")) / INDIRECT(ADDRESS(ROW(), COLUMN(), 4, TRUE, "Export-dataset")), "" )</f>
        <v>1.0816326530612246</v>
      </c>
      <c r="AR35" s="6" cm="1">
        <f t="array" aca="1" ref="AR35" ca="1">IFERROR( INDIRECT(ADDRESS(ROW()+1, COLUMN(), 4, TRUE, "Export-dataset")) / INDIRECT(ADDRESS(ROW(), COLUMN(), 4, TRUE, "Export-dataset")), "" )</f>
        <v>0.837251665053794</v>
      </c>
      <c r="AS35" s="6" cm="1">
        <f t="array" aca="1" ref="AS35" ca="1">IFERROR( INDIRECT(ADDRESS(ROW()+1, COLUMN(), 4, TRUE, "Export-dataset")) / INDIRECT(ADDRESS(ROW(), COLUMN(), 4, TRUE, "Export-dataset")), "" )</f>
        <v>0.79432624113475181</v>
      </c>
      <c r="AT35" s="6" cm="1">
        <f t="array" aca="1" ref="AT35" ca="1">IFERROR( INDIRECT(ADDRESS(ROW()+1, COLUMN(), 4, TRUE, "Export-dataset")) / INDIRECT(ADDRESS(ROW(), COLUMN(), 4, TRUE, "Export-dataset")), "" )</f>
        <v>0.8</v>
      </c>
      <c r="AU35" s="6" cm="1">
        <f t="array" aca="1" ref="AU35" ca="1">IFERROR( INDIRECT(ADDRESS(ROW()+1, COLUMN(), 4, TRUE, "Export-dataset")) / INDIRECT(ADDRESS(ROW(), COLUMN(), 4, TRUE, "Export-dataset")), "" )</f>
        <v>0.95370370370370372</v>
      </c>
      <c r="AV35" s="6" cm="1">
        <f t="array" aca="1" ref="AV35" ca="1">IFERROR( INDIRECT(ADDRESS(ROW()+1, COLUMN(), 4, TRUE, "Export-dataset")) / INDIRECT(ADDRESS(ROW(), COLUMN(), 4, TRUE, "Export-dataset")), "" )</f>
        <v>0.8537477148080439</v>
      </c>
      <c r="AW35" s="6" cm="1">
        <f t="array" aca="1" ref="AW35" ca="1">IFERROR( INDIRECT(ADDRESS(ROW()+1, COLUMN(), 4, TRUE, "Export-dataset")) / INDIRECT(ADDRESS(ROW(), COLUMN(), 4, TRUE, "Export-dataset")), "" )</f>
        <v>0.90491803278688521</v>
      </c>
      <c r="AX35" s="6" cm="1">
        <f t="array" aca="1" ref="AX35" ca="1">IFERROR( INDIRECT(ADDRESS(ROW()+1, COLUMN(), 4, TRUE, "Export-dataset")) / INDIRECT(ADDRESS(ROW(), COLUMN(), 4, TRUE, "Export-dataset")), "" )</f>
        <v>0.73233830845771142</v>
      </c>
      <c r="AY35" s="6" cm="1">
        <f t="array" aca="1" ref="AY35" ca="1">IFERROR( INDIRECT(ADDRESS(ROW()+1, COLUMN(), 4, TRUE, "Export-dataset")) / INDIRECT(ADDRESS(ROW(), COLUMN(), 4, TRUE, "Export-dataset")), "" )</f>
        <v>0.7559572719802794</v>
      </c>
      <c r="AZ35" s="6" cm="1">
        <f t="array" aca="1" ref="AZ35" ca="1">IFERROR( INDIRECT(ADDRESS(ROW()+1, COLUMN(), 4, TRUE, "Export-dataset")) / INDIRECT(ADDRESS(ROW(), COLUMN(), 4, TRUE, "Export-dataset")), "" )</f>
        <v>0.85132094341195097</v>
      </c>
      <c r="BA35" s="6" cm="1">
        <f t="array" aca="1" ref="BA35" ca="1">IFERROR( INDIRECT(ADDRESS(ROW()+1, COLUMN(), 4, TRUE, "Export-dataset")) / INDIRECT(ADDRESS(ROW(), COLUMN(), 4, TRUE, "Export-dataset")), "" )</f>
        <v>0.84110787172011658</v>
      </c>
      <c r="BB35" s="6" cm="1">
        <f t="array" aca="1" ref="BB35" ca="1">IFERROR( INDIRECT(ADDRESS(ROW()+1, COLUMN(), 4, TRUE, "Export-dataset")) / INDIRECT(ADDRESS(ROW(), COLUMN(), 4, TRUE, "Export-dataset")), "" )</f>
        <v>0.86381826741996237</v>
      </c>
      <c r="BC35" s="6" cm="1">
        <f t="array" aca="1" ref="BC35" ca="1">IFERROR( INDIRECT(ADDRESS(ROW()+1, COLUMN(), 4, TRUE, "Export-dataset")) / INDIRECT(ADDRESS(ROW(), COLUMN(), 4, TRUE, "Export-dataset")), "" )</f>
        <v>1.0037593984962405</v>
      </c>
      <c r="BD35" s="6" cm="1">
        <f t="array" aca="1" ref="BD35" ca="1">IFERROR( INDIRECT(ADDRESS(ROW()+1, COLUMN(), 4, TRUE, "Export-dataset")) / INDIRECT(ADDRESS(ROW(), COLUMN(), 4, TRUE, "Export-dataset")), "" )</f>
        <v>0.90209077001529836</v>
      </c>
      <c r="BE35" s="6" cm="1">
        <f t="array" aca="1" ref="BE35" ca="1">IFERROR( INDIRECT(ADDRESS(ROW()+1, COLUMN(), 4, TRUE, "Export-dataset")) / INDIRECT(ADDRESS(ROW(), COLUMN(), 4, TRUE, "Export-dataset")), "" )</f>
        <v>0.71875</v>
      </c>
      <c r="BF35" s="6" cm="1">
        <f t="array" aca="1" ref="BF35" ca="1">IFERROR( INDIRECT(ADDRESS(ROW()+1, COLUMN(), 4, TRUE, "Export-dataset")) / INDIRECT(ADDRESS(ROW(), COLUMN(), 4, TRUE, "Export-dataset")), "" )</f>
        <v>0.88110749185667747</v>
      </c>
      <c r="BG35" s="6" cm="1">
        <f t="array" aca="1" ref="BG35" ca="1">IFERROR( INDIRECT(ADDRESS(ROW()+1, COLUMN(), 4, TRUE, "Export-dataset")) / INDIRECT(ADDRESS(ROW(), COLUMN(), 4, TRUE, "Export-dataset")), "" )</f>
        <v>0.92198581560283688</v>
      </c>
      <c r="BH35" s="6" cm="1">
        <f t="array" aca="1" ref="BH35" ca="1">IFERROR( INDIRECT(ADDRESS(ROW()+1, COLUMN(), 4, TRUE, "Export-dataset")) / INDIRECT(ADDRESS(ROW(), COLUMN(), 4, TRUE, "Export-dataset")), "" )</f>
        <v>0.84719608581106509</v>
      </c>
      <c r="BI35" s="6" cm="1">
        <f t="array" aca="1" ref="BI35" ca="1">IFERROR( INDIRECT(ADDRESS(ROW()+1, COLUMN(), 4, TRUE, "Export-dataset")) / INDIRECT(ADDRESS(ROW(), COLUMN(), 4, TRUE, "Export-dataset")), "" )</f>
        <v>0.94134209291412485</v>
      </c>
      <c r="BJ35" s="6" cm="1">
        <f t="array" aca="1" ref="BJ35" ca="1">IFERROR( INDIRECT(ADDRESS(ROW()+1, COLUMN(), 4, TRUE, "Export-dataset")) / INDIRECT(ADDRESS(ROW(), COLUMN(), 4, TRUE, "Export-dataset")), "" )</f>
        <v>0.83272537780093803</v>
      </c>
      <c r="BK35" s="6" cm="1">
        <f t="array" aca="1" ref="BK35" ca="1">IFERROR( INDIRECT(ADDRESS(ROW()+1, COLUMN(), 4, TRUE, "Export-dataset")) / INDIRECT(ADDRESS(ROW(), COLUMN(), 4, TRUE, "Export-dataset")), "" )</f>
        <v>0.74407730673316708</v>
      </c>
      <c r="BL35" s="6" cm="1">
        <f t="array" aca="1" ref="BL35" ca="1">IFERROR( INDIRECT(ADDRESS(ROW()+1, COLUMN(), 4, TRUE, "Export-dataset")) / INDIRECT(ADDRESS(ROW(), COLUMN(), 4, TRUE, "Export-dataset")), "" )</f>
        <v>0.89863547758284601</v>
      </c>
      <c r="BM35" s="6" cm="1">
        <f t="array" aca="1" ref="BM35" ca="1">IFERROR( INDIRECT(ADDRESS(ROW()+1, COLUMN(), 4, TRUE, "Export-dataset")) / INDIRECT(ADDRESS(ROW(), COLUMN(), 4, TRUE, "Export-dataset")), "" )</f>
        <v>1.0254777070063694</v>
      </c>
      <c r="BN35" s="6" cm="1">
        <f t="array" aca="1" ref="BN35" ca="1">IFERROR( INDIRECT(ADDRESS(ROW()+1, COLUMN(), 4, TRUE, "Export-dataset")) / INDIRECT(ADDRESS(ROW(), COLUMN(), 4, TRUE, "Export-dataset")), "" )</f>
        <v>0.74725274725274726</v>
      </c>
      <c r="BO35" s="6" cm="1">
        <f t="array" aca="1" ref="BO35" ca="1">IFERROR( INDIRECT(ADDRESS(ROW()+1, COLUMN(), 4, TRUE, "Export-dataset")) / INDIRECT(ADDRESS(ROW(), COLUMN(), 4, TRUE, "Export-dataset")), "" )</f>
        <v>1.1914893617021276</v>
      </c>
      <c r="BP35" s="6" cm="1">
        <f t="array" aca="1" ref="BP35" ca="1">IFERROR( INDIRECT(ADDRESS(ROW()+1, COLUMN(), 4, TRUE, "Export-dataset")) / INDIRECT(ADDRESS(ROW(), COLUMN(), 4, TRUE, "Export-dataset")), "" )</f>
        <v>1.0265251989389921</v>
      </c>
      <c r="BQ35" s="6" cm="1">
        <f t="array" aca="1" ref="BQ35" ca="1">IFERROR( INDIRECT(ADDRESS(ROW()+1, COLUMN(), 4, TRUE, "Export-dataset")) / INDIRECT(ADDRESS(ROW(), COLUMN(), 4, TRUE, "Export-dataset")), "" )</f>
        <v>1.0573770491803278</v>
      </c>
      <c r="BR35" s="6" cm="1">
        <f t="array" aca="1" ref="BR35" ca="1">IFERROR( INDIRECT(ADDRESS(ROW()+1, COLUMN(), 4, TRUE, "Export-dataset")) / INDIRECT(ADDRESS(ROW(), COLUMN(), 4, TRUE, "Export-dataset")), "" )</f>
        <v>0.90271377368151562</v>
      </c>
      <c r="BS35" s="6" cm="1">
        <f t="array" aca="1" ref="BS35" ca="1">IFERROR( INDIRECT(ADDRESS(ROW()+1, COLUMN(), 4, TRUE, "Export-dataset")) / INDIRECT(ADDRESS(ROW(), COLUMN(), 4, TRUE, "Export-dataset")), "" )</f>
        <v>0.92703862660944203</v>
      </c>
      <c r="BT35" s="6" cm="1">
        <f t="array" aca="1" ref="BT35" ca="1">IFERROR( INDIRECT(ADDRESS(ROW()+1, COLUMN(), 4, TRUE, "Export-dataset")) / INDIRECT(ADDRESS(ROW(), COLUMN(), 4, TRUE, "Export-dataset")), "" )</f>
        <v>0.85970355049982761</v>
      </c>
      <c r="BU35" s="6" cm="1">
        <f t="array" aca="1" ref="BU35" ca="1">IFERROR( INDIRECT(ADDRESS(ROW()+1, COLUMN(), 4, TRUE, "Export-dataset")) / INDIRECT(ADDRESS(ROW(), COLUMN(), 4, TRUE, "Export-dataset")), "" )</f>
        <v>1.122207364404292</v>
      </c>
      <c r="BV35" s="6" cm="1">
        <f t="array" aca="1" ref="BV35" ca="1">IFERROR( INDIRECT(ADDRESS(ROW()+1, COLUMN(), 4, TRUE, "Export-dataset")) / INDIRECT(ADDRESS(ROW(), COLUMN(), 4, TRUE, "Export-dataset")), "" )</f>
        <v>0.85794995964487486</v>
      </c>
      <c r="BW35" s="6" cm="1">
        <f t="array" aca="1" ref="BW35" ca="1">IFERROR( INDIRECT(ADDRESS(ROW()+1, COLUMN(), 4, TRUE, "Export-dataset")) / INDIRECT(ADDRESS(ROW(), COLUMN(), 4, TRUE, "Export-dataset")), "" )</f>
        <v>1.5133565621370499</v>
      </c>
      <c r="BX35" s="6" t="str" cm="1">
        <f t="array" aca="1" ref="BX35" ca="1">IFERROR( INDIRECT(ADDRESS(ROW()+1, COLUMN(), 4, TRUE, "Export-dataset")) / INDIRECT(ADDRESS(ROW(), COLUMN(), 4, TRUE, "Export-dataset")), "" )</f>
        <v/>
      </c>
      <c r="BY35" s="6" cm="1">
        <f t="array" aca="1" ref="BY35" ca="1">IFERROR( INDIRECT(ADDRESS(ROW()+1, COLUMN(), 4, TRUE, "Export-dataset")) / INDIRECT(ADDRESS(ROW(), COLUMN(), 4, TRUE, "Export-dataset")), "" )</f>
        <v>1.0907068286838952</v>
      </c>
      <c r="BZ35" s="6" cm="1">
        <f t="array" aca="1" ref="BZ35" ca="1">IFERROR( INDIRECT(ADDRESS(ROW()+1, COLUMN(), 4, TRUE, "Export-dataset")) / INDIRECT(ADDRESS(ROW(), COLUMN(), 4, TRUE, "Export-dataset")), "" )</f>
        <v>1.26272166538165</v>
      </c>
      <c r="CA35" s="6" cm="1">
        <f t="array" aca="1" ref="CA35" ca="1">IFERROR( INDIRECT(ADDRESS(ROW()+1, COLUMN(), 4, TRUE, "Export-dataset")) / INDIRECT(ADDRESS(ROW(), COLUMN(), 4, TRUE, "Export-dataset")), "" )</f>
        <v>0.93011710826937721</v>
      </c>
    </row>
    <row r="36" spans="1:79">
      <c r="A36" s="6" t="s">
        <v>193</v>
      </c>
      <c r="B36" s="6" cm="1">
        <f t="array" aca="1" ref="B36" ca="1">IFERROR( INDIRECT(ADDRESS(ROW()+1, COLUMN(), 4, TRUE, "Export-dataset")) / INDIRECT(ADDRESS(ROW(), COLUMN(), 4, TRUE, "Export-dataset")), "" )</f>
        <v>1.2220725272257775</v>
      </c>
      <c r="C36" s="6" cm="1">
        <f t="array" aca="1" ref="C36" ca="1">IFERROR( INDIRECT(ADDRESS(ROW()+1, COLUMN(), 4, TRUE, "Export-dataset")) / INDIRECT(ADDRESS(ROW(), COLUMN(), 4, TRUE, "Export-dataset")), "" )</f>
        <v>0.84453565931246788</v>
      </c>
      <c r="D36" s="6" cm="1">
        <f t="array" aca="1" ref="D36" ca="1">IFERROR( INDIRECT(ADDRESS(ROW()+1, COLUMN(), 4, TRUE, "Export-dataset")) / INDIRECT(ADDRESS(ROW(), COLUMN(), 4, TRUE, "Export-dataset")), "" )</f>
        <v>1.0065283917035022</v>
      </c>
      <c r="E36" s="6" cm="1">
        <f t="array" aca="1" ref="E36" ca="1">IFERROR( INDIRECT(ADDRESS(ROW()+1, COLUMN(), 4, TRUE, "Export-dataset")) / INDIRECT(ADDRESS(ROW(), COLUMN(), 4, TRUE, "Export-dataset")), "" )</f>
        <v>1.1584119496855345</v>
      </c>
      <c r="F36" s="6" cm="1">
        <f t="array" aca="1" ref="F36" ca="1">IFERROR( INDIRECT(ADDRESS(ROW()+1, COLUMN(), 4, TRUE, "Export-dataset")) / INDIRECT(ADDRESS(ROW(), COLUMN(), 4, TRUE, "Export-dataset")), "" )</f>
        <v>0.98209926769731493</v>
      </c>
      <c r="G36" s="6" cm="1">
        <f t="array" aca="1" ref="G36" ca="1">IFERROR( INDIRECT(ADDRESS(ROW()+1, COLUMN(), 4, TRUE, "Export-dataset")) / INDIRECT(ADDRESS(ROW(), COLUMN(), 4, TRUE, "Export-dataset")), "" )</f>
        <v>2.1902173913043477</v>
      </c>
      <c r="H36" s="6" cm="1">
        <f t="array" aca="1" ref="H36" ca="1">IFERROR( INDIRECT(ADDRESS(ROW()+1, COLUMN(), 4, TRUE, "Export-dataset")) / INDIRECT(ADDRESS(ROW(), COLUMN(), 4, TRUE, "Export-dataset")), "" )</f>
        <v>1.0932881027380663</v>
      </c>
      <c r="I36" s="6" cm="1">
        <f t="array" aca="1" ref="I36" ca="1">IFERROR( INDIRECT(ADDRESS(ROW()+1, COLUMN(), 4, TRUE, "Export-dataset")) / INDIRECT(ADDRESS(ROW(), COLUMN(), 4, TRUE, "Export-dataset")), "" )</f>
        <v>1.1236749116607774</v>
      </c>
      <c r="J36" s="6" cm="1">
        <f t="array" aca="1" ref="J36" ca="1">IFERROR( INDIRECT(ADDRESS(ROW()+1, COLUMN(), 4, TRUE, "Export-dataset")) / INDIRECT(ADDRESS(ROW(), COLUMN(), 4, TRUE, "Export-dataset")), "" )</f>
        <v>1.0648769574944073</v>
      </c>
      <c r="K36" s="6" cm="1">
        <f t="array" aca="1" ref="K36" ca="1">IFERROR( INDIRECT(ADDRESS(ROW()+1, COLUMN(), 4, TRUE, "Export-dataset")) / INDIRECT(ADDRESS(ROW(), COLUMN(), 4, TRUE, "Export-dataset")), "" )</f>
        <v>1.0870229007633587</v>
      </c>
      <c r="L36" s="6" cm="1">
        <f t="array" aca="1" ref="L36" ca="1">IFERROR( INDIRECT(ADDRESS(ROW()+1, COLUMN(), 4, TRUE, "Export-dataset")) / INDIRECT(ADDRESS(ROW(), COLUMN(), 4, TRUE, "Export-dataset")), "" )</f>
        <v>0.81242763411810115</v>
      </c>
      <c r="M36" s="6" cm="1">
        <f t="array" aca="1" ref="M36" ca="1">IFERROR( INDIRECT(ADDRESS(ROW()+1, COLUMN(), 4, TRUE, "Export-dataset")) / INDIRECT(ADDRESS(ROW(), COLUMN(), 4, TRUE, "Export-dataset")), "" )</f>
        <v>0.76850441669204994</v>
      </c>
      <c r="N36" s="6" cm="1">
        <f t="array" aca="1" ref="N36" ca="1">IFERROR( INDIRECT(ADDRESS(ROW()+1, COLUMN(), 4, TRUE, "Export-dataset")) / INDIRECT(ADDRESS(ROW(), COLUMN(), 4, TRUE, "Export-dataset")), "" )</f>
        <v>0.77110289587184222</v>
      </c>
      <c r="O36" s="6" cm="1">
        <f t="array" aca="1" ref="O36" ca="1">IFERROR( INDIRECT(ADDRESS(ROW()+1, COLUMN(), 4, TRUE, "Export-dataset")) / INDIRECT(ADDRESS(ROW(), COLUMN(), 4, TRUE, "Export-dataset")), "" )</f>
        <v>0.56756756756756754</v>
      </c>
      <c r="P36" s="6" cm="1">
        <f t="array" aca="1" ref="P36" ca="1">IFERROR( INDIRECT(ADDRESS(ROW()+1, COLUMN(), 4, TRUE, "Export-dataset")) / INDIRECT(ADDRESS(ROW(), COLUMN(), 4, TRUE, "Export-dataset")), "" )</f>
        <v>1.3040837544746262</v>
      </c>
      <c r="Q36" s="6" cm="1">
        <f t="array" aca="1" ref="Q36" ca="1">IFERROR( INDIRECT(ADDRESS(ROW()+1, COLUMN(), 4, TRUE, "Export-dataset")) / INDIRECT(ADDRESS(ROW(), COLUMN(), 4, TRUE, "Export-dataset")), "" )</f>
        <v>1.2173913043478262</v>
      </c>
      <c r="R36" s="6" cm="1">
        <f t="array" aca="1" ref="R36" ca="1">IFERROR( INDIRECT(ADDRESS(ROW()+1, COLUMN(), 4, TRUE, "Export-dataset")) / INDIRECT(ADDRESS(ROW(), COLUMN(), 4, TRUE, "Export-dataset")), "" )</f>
        <v>2.676246830092984</v>
      </c>
      <c r="S36" s="6" cm="1">
        <f t="array" aca="1" ref="S36" ca="1">IFERROR( INDIRECT(ADDRESS(ROW()+1, COLUMN(), 4, TRUE, "Export-dataset")) / INDIRECT(ADDRESS(ROW(), COLUMN(), 4, TRUE, "Export-dataset")), "" )</f>
        <v>1.1000000000000001</v>
      </c>
      <c r="T36" s="6" cm="1">
        <f t="array" aca="1" ref="T36" ca="1">IFERROR( INDIRECT(ADDRESS(ROW()+1, COLUMN(), 4, TRUE, "Export-dataset")) / INDIRECT(ADDRESS(ROW(), COLUMN(), 4, TRUE, "Export-dataset")), "" )</f>
        <v>0.80167765128819657</v>
      </c>
      <c r="U36" s="6" cm="1">
        <f t="array" aca="1" ref="U36" ca="1">IFERROR( INDIRECT(ADDRESS(ROW()+1, COLUMN(), 4, TRUE, "Export-dataset")) / INDIRECT(ADDRESS(ROW(), COLUMN(), 4, TRUE, "Export-dataset")), "" )</f>
        <v>1.5465116279069768</v>
      </c>
      <c r="V36" s="6" cm="1">
        <f t="array" aca="1" ref="V36" ca="1">IFERROR( INDIRECT(ADDRESS(ROW()+1, COLUMN(), 4, TRUE, "Export-dataset")) / INDIRECT(ADDRESS(ROW(), COLUMN(), 4, TRUE, "Export-dataset")), "" )</f>
        <v>1.8550565899963489</v>
      </c>
      <c r="W36" s="6" cm="1">
        <f t="array" aca="1" ref="W36" ca="1">IFERROR( INDIRECT(ADDRESS(ROW()+1, COLUMN(), 4, TRUE, "Export-dataset")) / INDIRECT(ADDRESS(ROW(), COLUMN(), 4, TRUE, "Export-dataset")), "" )</f>
        <v>1.6749785038693035</v>
      </c>
      <c r="X36" s="6" cm="1">
        <f t="array" aca="1" ref="X36" ca="1">IFERROR( INDIRECT(ADDRESS(ROW()+1, COLUMN(), 4, TRUE, "Export-dataset")) / INDIRECT(ADDRESS(ROW(), COLUMN(), 4, TRUE, "Export-dataset")), "" )</f>
        <v>1.2859135963572756</v>
      </c>
      <c r="Y36" s="6" cm="1">
        <f t="array" aca="1" ref="Y36" ca="1">IFERROR( INDIRECT(ADDRESS(ROW()+1, COLUMN(), 4, TRUE, "Export-dataset")) / INDIRECT(ADDRESS(ROW(), COLUMN(), 4, TRUE, "Export-dataset")), "" )</f>
        <v>1.1125226860254083</v>
      </c>
      <c r="Z36" s="6" cm="1">
        <f t="array" aca="1" ref="Z36" ca="1">IFERROR( INDIRECT(ADDRESS(ROW()+1, COLUMN(), 4, TRUE, "Export-dataset")) / INDIRECT(ADDRESS(ROW(), COLUMN(), 4, TRUE, "Export-dataset")), "" )</f>
        <v>1.4230305896128168</v>
      </c>
      <c r="AA36" s="6" cm="1">
        <f t="array" aca="1" ref="AA36" ca="1">IFERROR( INDIRECT(ADDRESS(ROW()+1, COLUMN(), 4, TRUE, "Export-dataset")) / INDIRECT(ADDRESS(ROW(), COLUMN(), 4, TRUE, "Export-dataset")), "" )</f>
        <v>1.4643392441257177</v>
      </c>
      <c r="AB36" s="6" cm="1">
        <f t="array" aca="1" ref="AB36" ca="1">IFERROR( INDIRECT(ADDRESS(ROW()+1, COLUMN(), 4, TRUE, "Export-dataset")) / INDIRECT(ADDRESS(ROW(), COLUMN(), 4, TRUE, "Export-dataset")), "" )</f>
        <v>1.5106382978723405</v>
      </c>
      <c r="AC36" s="6" cm="1">
        <f t="array" aca="1" ref="AC36" ca="1">IFERROR( INDIRECT(ADDRESS(ROW()+1, COLUMN(), 4, TRUE, "Export-dataset")) / INDIRECT(ADDRESS(ROW(), COLUMN(), 4, TRUE, "Export-dataset")), "" )</f>
        <v>1.3575691662908831</v>
      </c>
      <c r="AD36" s="6" cm="1">
        <f t="array" aca="1" ref="AD36" ca="1">IFERROR( INDIRECT(ADDRESS(ROW()+1, COLUMN(), 4, TRUE, "Export-dataset")) / INDIRECT(ADDRESS(ROW(), COLUMN(), 4, TRUE, "Export-dataset")), "" )</f>
        <v>1.4257555847568988</v>
      </c>
      <c r="AE36" s="6" cm="1">
        <f t="array" aca="1" ref="AE36" ca="1">IFERROR( INDIRECT(ADDRESS(ROW()+1, COLUMN(), 4, TRUE, "Export-dataset")) / INDIRECT(ADDRESS(ROW(), COLUMN(), 4, TRUE, "Export-dataset")), "" )</f>
        <v>1.5067567567567568</v>
      </c>
      <c r="AF36" s="6" cm="1">
        <f t="array" aca="1" ref="AF36" ca="1">IFERROR( INDIRECT(ADDRESS(ROW()+1, COLUMN(), 4, TRUE, "Export-dataset")) / INDIRECT(ADDRESS(ROW(), COLUMN(), 4, TRUE, "Export-dataset")), "" )</f>
        <v>1.2765957446808511</v>
      </c>
      <c r="AG36" s="6" cm="1">
        <f t="array" aca="1" ref="AG36" ca="1">IFERROR( INDIRECT(ADDRESS(ROW()+1, COLUMN(), 4, TRUE, "Export-dataset")) / INDIRECT(ADDRESS(ROW(), COLUMN(), 4, TRUE, "Export-dataset")), "" )</f>
        <v>1.6363636363636365</v>
      </c>
      <c r="AH36" s="6" cm="1">
        <f t="array" aca="1" ref="AH36" ca="1">IFERROR( INDIRECT(ADDRESS(ROW()+1, COLUMN(), 4, TRUE, "Export-dataset")) / INDIRECT(ADDRESS(ROW(), COLUMN(), 4, TRUE, "Export-dataset")), "" )</f>
        <v>0.9062387306166606</v>
      </c>
      <c r="AI36" s="6" cm="1">
        <f t="array" aca="1" ref="AI36" ca="1">IFERROR( INDIRECT(ADDRESS(ROW()+1, COLUMN(), 4, TRUE, "Export-dataset")) / INDIRECT(ADDRESS(ROW(), COLUMN(), 4, TRUE, "Export-dataset")), "" )</f>
        <v>1.052863436123348</v>
      </c>
      <c r="AJ36" s="6" cm="1">
        <f t="array" aca="1" ref="AJ36" ca="1">IFERROR( INDIRECT(ADDRESS(ROW()+1, COLUMN(), 4, TRUE, "Export-dataset")) / INDIRECT(ADDRESS(ROW(), COLUMN(), 4, TRUE, "Export-dataset")), "" )</f>
        <v>1.2605304212168487</v>
      </c>
      <c r="AK36" s="6" cm="1">
        <f t="array" aca="1" ref="AK36" ca="1">IFERROR( INDIRECT(ADDRESS(ROW()+1, COLUMN(), 4, TRUE, "Export-dataset")) / INDIRECT(ADDRESS(ROW(), COLUMN(), 4, TRUE, "Export-dataset")), "" )</f>
        <v>1.1588366890380313</v>
      </c>
      <c r="AL36" s="6" cm="1">
        <f t="array" aca="1" ref="AL36" ca="1">IFERROR( INDIRECT(ADDRESS(ROW()+1, COLUMN(), 4, TRUE, "Export-dataset")) / INDIRECT(ADDRESS(ROW(), COLUMN(), 4, TRUE, "Export-dataset")), "" )</f>
        <v>0.65440778799350996</v>
      </c>
      <c r="AM36" s="6" cm="1">
        <f t="array" aca="1" ref="AM36" ca="1">IFERROR( INDIRECT(ADDRESS(ROW()+1, COLUMN(), 4, TRUE, "Export-dataset")) / INDIRECT(ADDRESS(ROW(), COLUMN(), 4, TRUE, "Export-dataset")), "" )</f>
        <v>1.0459119496855347</v>
      </c>
      <c r="AN36" s="6" cm="1">
        <f t="array" aca="1" ref="AN36" ca="1">IFERROR( INDIRECT(ADDRESS(ROW()+1, COLUMN(), 4, TRUE, "Export-dataset")) / INDIRECT(ADDRESS(ROW(), COLUMN(), 4, TRUE, "Export-dataset")), "" )</f>
        <v>1.4848484848484849</v>
      </c>
      <c r="AO36" s="6" cm="1">
        <f t="array" aca="1" ref="AO36" ca="1">IFERROR( INDIRECT(ADDRESS(ROW()+1, COLUMN(), 4, TRUE, "Export-dataset")) / INDIRECT(ADDRESS(ROW(), COLUMN(), 4, TRUE, "Export-dataset")), "" )</f>
        <v>1.5862068965517242</v>
      </c>
      <c r="AP36" s="6" cm="1">
        <f t="array" aca="1" ref="AP36" ca="1">IFERROR( INDIRECT(ADDRESS(ROW()+1, COLUMN(), 4, TRUE, "Export-dataset")) / INDIRECT(ADDRESS(ROW(), COLUMN(), 4, TRUE, "Export-dataset")), "" )</f>
        <v>1.1093247588424437</v>
      </c>
      <c r="AQ36" s="6" cm="1">
        <f t="array" aca="1" ref="AQ36" ca="1">IFERROR( INDIRECT(ADDRESS(ROW()+1, COLUMN(), 4, TRUE, "Export-dataset")) / INDIRECT(ADDRESS(ROW(), COLUMN(), 4, TRUE, "Export-dataset")), "" )</f>
        <v>1.1124528301886794</v>
      </c>
      <c r="AR36" s="6" cm="1">
        <f t="array" aca="1" ref="AR36" ca="1">IFERROR( INDIRECT(ADDRESS(ROW()+1, COLUMN(), 4, TRUE, "Export-dataset")) / INDIRECT(ADDRESS(ROW(), COLUMN(), 4, TRUE, "Export-dataset")), "" )</f>
        <v>1.1356404677726408</v>
      </c>
      <c r="AS36" s="6" cm="1">
        <f t="array" aca="1" ref="AS36" ca="1">IFERROR( INDIRECT(ADDRESS(ROW()+1, COLUMN(), 4, TRUE, "Export-dataset")) / INDIRECT(ADDRESS(ROW(), COLUMN(), 4, TRUE, "Export-dataset")), "" )</f>
        <v>1.4285714285714286</v>
      </c>
      <c r="AT36" s="6" cm="1">
        <f t="array" aca="1" ref="AT36" ca="1">IFERROR( INDIRECT(ADDRESS(ROW()+1, COLUMN(), 4, TRUE, "Export-dataset")) / INDIRECT(ADDRESS(ROW(), COLUMN(), 4, TRUE, "Export-dataset")), "" )</f>
        <v>0.9884615384615385</v>
      </c>
      <c r="AU36" s="6" cm="1">
        <f t="array" aca="1" ref="AU36" ca="1">IFERROR( INDIRECT(ADDRESS(ROW()+1, COLUMN(), 4, TRUE, "Export-dataset")) / INDIRECT(ADDRESS(ROW(), COLUMN(), 4, TRUE, "Export-dataset")), "" )</f>
        <v>0.93203883495145634</v>
      </c>
      <c r="AV36" s="6" cm="1">
        <f t="array" aca="1" ref="AV36" ca="1">IFERROR( INDIRECT(ADDRESS(ROW()+1, COLUMN(), 4, TRUE, "Export-dataset")) / INDIRECT(ADDRESS(ROW(), COLUMN(), 4, TRUE, "Export-dataset")), "" )</f>
        <v>1.0149892933618843</v>
      </c>
      <c r="AW36" s="6" cm="1">
        <f t="array" aca="1" ref="AW36" ca="1">IFERROR( INDIRECT(ADDRESS(ROW()+1, COLUMN(), 4, TRUE, "Export-dataset")) / INDIRECT(ADDRESS(ROW(), COLUMN(), 4, TRUE, "Export-dataset")), "" )</f>
        <v>1.2065217391304348</v>
      </c>
      <c r="AX36" s="6" cm="1">
        <f t="array" aca="1" ref="AX36" ca="1">IFERROR( INDIRECT(ADDRESS(ROW()+1, COLUMN(), 4, TRUE, "Export-dataset")) / INDIRECT(ADDRESS(ROW(), COLUMN(), 4, TRUE, "Export-dataset")), "" )</f>
        <v>0.77445652173913049</v>
      </c>
      <c r="AY36" s="6" cm="1">
        <f t="array" aca="1" ref="AY36" ca="1">IFERROR( INDIRECT(ADDRESS(ROW()+1, COLUMN(), 4, TRUE, "Export-dataset")) / INDIRECT(ADDRESS(ROW(), COLUMN(), 4, TRUE, "Export-dataset")), "" )</f>
        <v>0.8619565217391304</v>
      </c>
      <c r="AZ36" s="6" cm="1">
        <f t="array" aca="1" ref="AZ36" ca="1">IFERROR( INDIRECT(ADDRESS(ROW()+1, COLUMN(), 4, TRUE, "Export-dataset")) / INDIRECT(ADDRESS(ROW(), COLUMN(), 4, TRUE, "Export-dataset")), "" )</f>
        <v>1.2068526676456193</v>
      </c>
      <c r="BA36" s="6" cm="1">
        <f t="array" aca="1" ref="BA36" ca="1">IFERROR( INDIRECT(ADDRESS(ROW()+1, COLUMN(), 4, TRUE, "Export-dataset")) / INDIRECT(ADDRESS(ROW(), COLUMN(), 4, TRUE, "Export-dataset")), "" )</f>
        <v>1.0571923743500866</v>
      </c>
      <c r="BB36" s="6" cm="1">
        <f t="array" aca="1" ref="BB36" ca="1">IFERROR( INDIRECT(ADDRESS(ROW()+1, COLUMN(), 4, TRUE, "Export-dataset")) / INDIRECT(ADDRESS(ROW(), COLUMN(), 4, TRUE, "Export-dataset")), "" )</f>
        <v>1.003406458645592</v>
      </c>
      <c r="BC36" s="6" cm="1">
        <f t="array" aca="1" ref="BC36" ca="1">IFERROR( INDIRECT(ADDRESS(ROW()+1, COLUMN(), 4, TRUE, "Export-dataset")) / INDIRECT(ADDRESS(ROW(), COLUMN(), 4, TRUE, "Export-dataset")), "" )</f>
        <v>0.81647940074906367</v>
      </c>
      <c r="BD36" s="6" cm="1">
        <f t="array" aca="1" ref="BD36" ca="1">IFERROR( INDIRECT(ADDRESS(ROW()+1, COLUMN(), 4, TRUE, "Export-dataset")) / INDIRECT(ADDRESS(ROW(), COLUMN(), 4, TRUE, "Export-dataset")), "" )</f>
        <v>0.94855850763143024</v>
      </c>
      <c r="BE36" s="6" cm="1">
        <f t="array" aca="1" ref="BE36" ca="1">IFERROR( INDIRECT(ADDRESS(ROW()+1, COLUMN(), 4, TRUE, "Export-dataset")) / INDIRECT(ADDRESS(ROW(), COLUMN(), 4, TRUE, "Export-dataset")), "" )</f>
        <v>1.2681159420289856</v>
      </c>
      <c r="BF36" s="6" cm="1">
        <f t="array" aca="1" ref="BF36" ca="1">IFERROR( INDIRECT(ADDRESS(ROW()+1, COLUMN(), 4, TRUE, "Export-dataset")) / INDIRECT(ADDRESS(ROW(), COLUMN(), 4, TRUE, "Export-dataset")), "" )</f>
        <v>1.0304990757855823</v>
      </c>
      <c r="BG36" s="6" cm="1">
        <f t="array" aca="1" ref="BG36" ca="1">IFERROR( INDIRECT(ADDRESS(ROW()+1, COLUMN(), 4, TRUE, "Export-dataset")) / INDIRECT(ADDRESS(ROW(), COLUMN(), 4, TRUE, "Export-dataset")), "" )</f>
        <v>1.0584615384615386</v>
      </c>
      <c r="BH36" s="6" cm="1">
        <f t="array" aca="1" ref="BH36" ca="1">IFERROR( INDIRECT(ADDRESS(ROW()+1, COLUMN(), 4, TRUE, "Export-dataset")) / INDIRECT(ADDRESS(ROW(), COLUMN(), 4, TRUE, "Export-dataset")), "" )</f>
        <v>1.0355397601066192</v>
      </c>
      <c r="BI36" s="6" cm="1">
        <f t="array" aca="1" ref="BI36" ca="1">IFERROR( INDIRECT(ADDRESS(ROW()+1, COLUMN(), 4, TRUE, "Export-dataset")) / INDIRECT(ADDRESS(ROW(), COLUMN(), 4, TRUE, "Export-dataset")), "" )</f>
        <v>1.1101694915254237</v>
      </c>
      <c r="BJ36" s="6" cm="1">
        <f t="array" aca="1" ref="BJ36" ca="1">IFERROR( INDIRECT(ADDRESS(ROW()+1, COLUMN(), 4, TRUE, "Export-dataset")) / INDIRECT(ADDRESS(ROW(), COLUMN(), 4, TRUE, "Export-dataset")), "" )</f>
        <v>1.1595744680851063</v>
      </c>
      <c r="BK36" s="6" cm="1">
        <f t="array" aca="1" ref="BK36" ca="1">IFERROR( INDIRECT(ADDRESS(ROW()+1, COLUMN(), 4, TRUE, "Export-dataset")) / INDIRECT(ADDRESS(ROW(), COLUMN(), 4, TRUE, "Export-dataset")), "" )</f>
        <v>0.83284457478005869</v>
      </c>
      <c r="BL36" s="6" cm="1">
        <f t="array" aca="1" ref="BL36" ca="1">IFERROR( INDIRECT(ADDRESS(ROW()+1, COLUMN(), 4, TRUE, "Export-dataset")) / INDIRECT(ADDRESS(ROW(), COLUMN(), 4, TRUE, "Export-dataset")), "" )</f>
        <v>1.0894793926247288</v>
      </c>
      <c r="BM36" s="6" cm="1">
        <f t="array" aca="1" ref="BM36" ca="1">IFERROR( INDIRECT(ADDRESS(ROW()+1, COLUMN(), 4, TRUE, "Export-dataset")) / INDIRECT(ADDRESS(ROW(), COLUMN(), 4, TRUE, "Export-dataset")), "" )</f>
        <v>1.2608695652173914</v>
      </c>
      <c r="BN36" s="6" cm="1">
        <f t="array" aca="1" ref="BN36" ca="1">IFERROR( INDIRECT(ADDRESS(ROW()+1, COLUMN(), 4, TRUE, "Export-dataset")) / INDIRECT(ADDRESS(ROW(), COLUMN(), 4, TRUE, "Export-dataset")), "" )</f>
        <v>1.0661764705882353</v>
      </c>
      <c r="BO36" s="6" cm="1">
        <f t="array" aca="1" ref="BO36" ca="1">IFERROR( INDIRECT(ADDRESS(ROW()+1, COLUMN(), 4, TRUE, "Export-dataset")) / INDIRECT(ADDRESS(ROW(), COLUMN(), 4, TRUE, "Export-dataset")), "" )</f>
        <v>1.0357142857142858</v>
      </c>
      <c r="BP36" s="6" cm="1">
        <f t="array" aca="1" ref="BP36" ca="1">IFERROR( INDIRECT(ADDRESS(ROW()+1, COLUMN(), 4, TRUE, "Export-dataset")) / INDIRECT(ADDRESS(ROW(), COLUMN(), 4, TRUE, "Export-dataset")), "" )</f>
        <v>1.2403100775193798</v>
      </c>
      <c r="BQ36" s="6" cm="1">
        <f t="array" aca="1" ref="BQ36" ca="1">IFERROR( INDIRECT(ADDRESS(ROW()+1, COLUMN(), 4, TRUE, "Export-dataset")) / INDIRECT(ADDRESS(ROW(), COLUMN(), 4, TRUE, "Export-dataset")), "" )</f>
        <v>0.92248062015503873</v>
      </c>
      <c r="BR36" s="6" cm="1">
        <f t="array" aca="1" ref="BR36" ca="1">IFERROR( INDIRECT(ADDRESS(ROW()+1, COLUMN(), 4, TRUE, "Export-dataset")) / INDIRECT(ADDRESS(ROW(), COLUMN(), 4, TRUE, "Export-dataset")), "" )</f>
        <v>1.0989790130459445</v>
      </c>
      <c r="BS36" s="6" cm="1">
        <f t="array" aca="1" ref="BS36" ca="1">IFERROR( INDIRECT(ADDRESS(ROW()+1, COLUMN(), 4, TRUE, "Export-dataset")) / INDIRECT(ADDRESS(ROW(), COLUMN(), 4, TRUE, "Export-dataset")), "" )</f>
        <v>1.0486111111111112</v>
      </c>
      <c r="BT36" s="6" cm="1">
        <f t="array" aca="1" ref="BT36" ca="1">IFERROR( INDIRECT(ADDRESS(ROW()+1, COLUMN(), 4, TRUE, "Export-dataset")) / INDIRECT(ADDRESS(ROW(), COLUMN(), 4, TRUE, "Export-dataset")), "" )</f>
        <v>1.0609462710505213</v>
      </c>
      <c r="BU36" s="6" cm="1">
        <f t="array" aca="1" ref="BU36" ca="1">IFERROR( INDIRECT(ADDRESS(ROW()+1, COLUMN(), 4, TRUE, "Export-dataset")) / INDIRECT(ADDRESS(ROW(), COLUMN(), 4, TRUE, "Export-dataset")), "" )</f>
        <v>1.0733840967216925</v>
      </c>
      <c r="BV36" s="6" cm="1">
        <f t="array" aca="1" ref="BV36" ca="1">IFERROR( INDIRECT(ADDRESS(ROW()+1, COLUMN(), 4, TRUE, "Export-dataset")) / INDIRECT(ADDRESS(ROW(), COLUMN(), 4, TRUE, "Export-dataset")), "" )</f>
        <v>1.6829727187206021</v>
      </c>
      <c r="BW36" s="6" cm="1">
        <f t="array" aca="1" ref="BW36" ca="1">IFERROR( INDIRECT(ADDRESS(ROW()+1, COLUMN(), 4, TRUE, "Export-dataset")) / INDIRECT(ADDRESS(ROW(), COLUMN(), 4, TRUE, "Export-dataset")), "" )</f>
        <v>1.9769762087490406</v>
      </c>
      <c r="BX36" s="6" cm="1">
        <f t="array" aca="1" ref="BX36" ca="1">IFERROR( INDIRECT(ADDRESS(ROW()+1, COLUMN(), 4, TRUE, "Export-dataset")) / INDIRECT(ADDRESS(ROW(), COLUMN(), 4, TRUE, "Export-dataset")), "" )</f>
        <v>1</v>
      </c>
      <c r="BY36" s="6" cm="1">
        <f t="array" aca="1" ref="BY36" ca="1">IFERROR( INDIRECT(ADDRESS(ROW()+1, COLUMN(), 4, TRUE, "Export-dataset")) / INDIRECT(ADDRESS(ROW(), COLUMN(), 4, TRUE, "Export-dataset")), "" )</f>
        <v>0.91326690726502435</v>
      </c>
      <c r="BZ36" s="6" cm="1">
        <f t="array" aca="1" ref="BZ36" ca="1">IFERROR( INDIRECT(ADDRESS(ROW()+1, COLUMN(), 4, TRUE, "Export-dataset")) / INDIRECT(ADDRESS(ROW(), COLUMN(), 4, TRUE, "Export-dataset")), "" )</f>
        <v>1.417035567088994</v>
      </c>
      <c r="CA36" s="6" cm="1">
        <f t="array" aca="1" ref="CA36" ca="1">IFERROR( INDIRECT(ADDRESS(ROW()+1, COLUMN(), 4, TRUE, "Export-dataset")) / INDIRECT(ADDRESS(ROW(), COLUMN(), 4, TRUE, "Export-dataset")), "" )</f>
        <v>1.2631172669327981</v>
      </c>
    </row>
    <row r="37" spans="1:79">
      <c r="A37" s="6" t="s">
        <v>194</v>
      </c>
      <c r="B37" s="6" cm="1">
        <f t="array" aca="1" ref="B37" ca="1">IFERROR( INDIRECT(ADDRESS(ROW()+1, COLUMN(), 4, TRUE, "Export-dataset")) / INDIRECT(ADDRESS(ROW(), COLUMN(), 4, TRUE, "Export-dataset")), "" )</f>
        <v>1.2200734956361965</v>
      </c>
      <c r="C37" s="6" cm="1">
        <f t="array" aca="1" ref="C37" ca="1">IFERROR( INDIRECT(ADDRESS(ROW()+1, COLUMN(), 4, TRUE, "Export-dataset")) / INDIRECT(ADDRESS(ROW(), COLUMN(), 4, TRUE, "Export-dataset")), "" )</f>
        <v>0.92223572296476308</v>
      </c>
      <c r="D37" s="6" cm="1">
        <f t="array" aca="1" ref="D37" ca="1">IFERROR( INDIRECT(ADDRESS(ROW()+1, COLUMN(), 4, TRUE, "Export-dataset")) / INDIRECT(ADDRESS(ROW(), COLUMN(), 4, TRUE, "Export-dataset")), "" )</f>
        <v>1.1215458414971962</v>
      </c>
      <c r="E37" s="6" cm="1">
        <f t="array" aca="1" ref="E37" ca="1">IFERROR( INDIRECT(ADDRESS(ROW()+1, COLUMN(), 4, TRUE, "Export-dataset")) / INDIRECT(ADDRESS(ROW(), COLUMN(), 4, TRUE, "Export-dataset")), "" )</f>
        <v>1.1486257210722768</v>
      </c>
      <c r="F37" s="6" cm="1">
        <f t="array" aca="1" ref="F37" ca="1">IFERROR( INDIRECT(ADDRESS(ROW()+1, COLUMN(), 4, TRUE, "Export-dataset")) / INDIRECT(ADDRESS(ROW(), COLUMN(), 4, TRUE, "Export-dataset")), "" )</f>
        <v>0.9983429991714996</v>
      </c>
      <c r="G37" s="6" cm="1">
        <f t="array" aca="1" ref="G37" ca="1">IFERROR( INDIRECT(ADDRESS(ROW()+1, COLUMN(), 4, TRUE, "Export-dataset")) / INDIRECT(ADDRESS(ROW(), COLUMN(), 4, TRUE, "Export-dataset")), "" )</f>
        <v>1.4655795817086139</v>
      </c>
      <c r="H37" s="6" cm="1">
        <f t="array" aca="1" ref="H37" ca="1">IFERROR( INDIRECT(ADDRESS(ROW()+1, COLUMN(), 4, TRUE, "Export-dataset")) / INDIRECT(ADDRESS(ROW(), COLUMN(), 4, TRUE, "Export-dataset")), "" )</f>
        <v>1.1141400709219857</v>
      </c>
      <c r="I37" s="6" cm="1">
        <f t="array" aca="1" ref="I37" ca="1">IFERROR( INDIRECT(ADDRESS(ROW()+1, COLUMN(), 4, TRUE, "Export-dataset")) / INDIRECT(ADDRESS(ROW(), COLUMN(), 4, TRUE, "Export-dataset")), "" )</f>
        <v>1.0094339622641511</v>
      </c>
      <c r="J37" s="6" cm="1">
        <f t="array" aca="1" ref="J37" ca="1">IFERROR( INDIRECT(ADDRESS(ROW()+1, COLUMN(), 4, TRUE, "Export-dataset")) / INDIRECT(ADDRESS(ROW(), COLUMN(), 4, TRUE, "Export-dataset")), "" )</f>
        <v>1.0861344537815125</v>
      </c>
      <c r="K37" s="6" cm="1">
        <f t="array" aca="1" ref="K37" ca="1">IFERROR( INDIRECT(ADDRESS(ROW()+1, COLUMN(), 4, TRUE, "Export-dataset")) / INDIRECT(ADDRESS(ROW(), COLUMN(), 4, TRUE, "Export-dataset")), "" )</f>
        <v>1.2071629213483146</v>
      </c>
      <c r="L37" s="6" cm="1">
        <f t="array" aca="1" ref="L37" ca="1">IFERROR( INDIRECT(ADDRESS(ROW()+1, COLUMN(), 4, TRUE, "Export-dataset")) / INDIRECT(ADDRESS(ROW(), COLUMN(), 4, TRUE, "Export-dataset")), "" )</f>
        <v>1.0261282660332542</v>
      </c>
      <c r="M37" s="6" cm="1">
        <f t="array" aca="1" ref="M37" ca="1">IFERROR( INDIRECT(ADDRESS(ROW()+1, COLUMN(), 4, TRUE, "Export-dataset")) / INDIRECT(ADDRESS(ROW(), COLUMN(), 4, TRUE, "Export-dataset")), "" )</f>
        <v>1.0194213238208483</v>
      </c>
      <c r="N37" s="6" cm="1">
        <f t="array" aca="1" ref="N37" ca="1">IFERROR( INDIRECT(ADDRESS(ROW()+1, COLUMN(), 4, TRUE, "Export-dataset")) / INDIRECT(ADDRESS(ROW(), COLUMN(), 4, TRUE, "Export-dataset")), "" )</f>
        <v>1.0199760287654813</v>
      </c>
      <c r="O37" s="6" cm="1">
        <f t="array" aca="1" ref="O37" ca="1">IFERROR( INDIRECT(ADDRESS(ROW()+1, COLUMN(), 4, TRUE, "Export-dataset")) / INDIRECT(ADDRESS(ROW(), COLUMN(), 4, TRUE, "Export-dataset")), "" )</f>
        <v>0.90476190476190477</v>
      </c>
      <c r="P37" s="6" cm="1">
        <f t="array" aca="1" ref="P37" ca="1">IFERROR( INDIRECT(ADDRESS(ROW()+1, COLUMN(), 4, TRUE, "Export-dataset")) / INDIRECT(ADDRESS(ROW(), COLUMN(), 4, TRUE, "Export-dataset")), "" )</f>
        <v>0.95013094222899497</v>
      </c>
      <c r="Q37" s="6" cm="1">
        <f t="array" aca="1" ref="Q37" ca="1">IFERROR( INDIRECT(ADDRESS(ROW()+1, COLUMN(), 4, TRUE, "Export-dataset")) / INDIRECT(ADDRESS(ROW(), COLUMN(), 4, TRUE, "Export-dataset")), "" )</f>
        <v>0.90079365079365081</v>
      </c>
      <c r="R37" s="6" cm="1">
        <f t="array" aca="1" ref="R37" ca="1">IFERROR( INDIRECT(ADDRESS(ROW()+1, COLUMN(), 4, TRUE, "Export-dataset")) / INDIRECT(ADDRESS(ROW(), COLUMN(), 4, TRUE, "Export-dataset")), "" )</f>
        <v>2.4516740366392926</v>
      </c>
      <c r="S37" s="6" cm="1">
        <f t="array" aca="1" ref="S37" ca="1">IFERROR( INDIRECT(ADDRESS(ROW()+1, COLUMN(), 4, TRUE, "Export-dataset")) / INDIRECT(ADDRESS(ROW(), COLUMN(), 4, TRUE, "Export-dataset")), "" )</f>
        <v>0.81818181818181823</v>
      </c>
      <c r="T37" s="6" cm="1">
        <f t="array" aca="1" ref="T37" ca="1">IFERROR( INDIRECT(ADDRESS(ROW()+1, COLUMN(), 4, TRUE, "Export-dataset")) / INDIRECT(ADDRESS(ROW(), COLUMN(), 4, TRUE, "Export-dataset")), "" )</f>
        <v>1.1382660687593422</v>
      </c>
      <c r="U37" s="6" cm="1">
        <f t="array" aca="1" ref="U37" ca="1">IFERROR( INDIRECT(ADDRESS(ROW()+1, COLUMN(), 4, TRUE, "Export-dataset")) / INDIRECT(ADDRESS(ROW(), COLUMN(), 4, TRUE, "Export-dataset")), "" )</f>
        <v>1.1541353383458646</v>
      </c>
      <c r="V37" s="6" cm="1">
        <f t="array" aca="1" ref="V37" ca="1">IFERROR( INDIRECT(ADDRESS(ROW()+1, COLUMN(), 4, TRUE, "Export-dataset")) / INDIRECT(ADDRESS(ROW(), COLUMN(), 4, TRUE, "Export-dataset")), "" )</f>
        <v>1.5174178311356032</v>
      </c>
      <c r="W37" s="6" cm="1">
        <f t="array" aca="1" ref="W37" ca="1">IFERROR( INDIRECT(ADDRESS(ROW()+1, COLUMN(), 4, TRUE, "Export-dataset")) / INDIRECT(ADDRESS(ROW(), COLUMN(), 4, TRUE, "Export-dataset")), "" )</f>
        <v>6.3572895277207389</v>
      </c>
      <c r="X37" s="6" cm="1">
        <f t="array" aca="1" ref="X37" ca="1">IFERROR( INDIRECT(ADDRESS(ROW()+1, COLUMN(), 4, TRUE, "Export-dataset")) / INDIRECT(ADDRESS(ROW(), COLUMN(), 4, TRUE, "Export-dataset")), "" )</f>
        <v>0.84989663120280257</v>
      </c>
      <c r="Y37" s="6" cm="1">
        <f t="array" aca="1" ref="Y37" ca="1">IFERROR( INDIRECT(ADDRESS(ROW()+1, COLUMN(), 4, TRUE, "Export-dataset")) / INDIRECT(ADDRESS(ROW(), COLUMN(), 4, TRUE, "Export-dataset")), "" )</f>
        <v>1.128874388254486</v>
      </c>
      <c r="Z37" s="6" cm="1">
        <f t="array" aca="1" ref="Z37" ca="1">IFERROR( INDIRECT(ADDRESS(ROW()+1, COLUMN(), 4, TRUE, "Export-dataset")) / INDIRECT(ADDRESS(ROW(), COLUMN(), 4, TRUE, "Export-dataset")), "" )</f>
        <v>1.988480556984058</v>
      </c>
      <c r="AA37" s="6" cm="1">
        <f t="array" aca="1" ref="AA37" ca="1">IFERROR( INDIRECT(ADDRESS(ROW()+1, COLUMN(), 4, TRUE, "Export-dataset")) / INDIRECT(ADDRESS(ROW(), COLUMN(), 4, TRUE, "Export-dataset")), "" )</f>
        <v>2.2415123456790123</v>
      </c>
      <c r="AB37" s="6" cm="1">
        <f t="array" aca="1" ref="AB37" ca="1">IFERROR( INDIRECT(ADDRESS(ROW()+1, COLUMN(), 4, TRUE, "Export-dataset")) / INDIRECT(ADDRESS(ROW(), COLUMN(), 4, TRUE, "Export-dataset")), "" )</f>
        <v>1.4802390098164746</v>
      </c>
      <c r="AC37" s="6" cm="1">
        <f t="array" aca="1" ref="AC37" ca="1">IFERROR( INDIRECT(ADDRESS(ROW()+1, COLUMN(), 4, TRUE, "Export-dataset")) / INDIRECT(ADDRESS(ROW(), COLUMN(), 4, TRUE, "Export-dataset")), "" )</f>
        <v>1.7907344809394479</v>
      </c>
      <c r="AD37" s="6" cm="1">
        <f t="array" aca="1" ref="AD37" ca="1">IFERROR( INDIRECT(ADDRESS(ROW()+1, COLUMN(), 4, TRUE, "Export-dataset")) / INDIRECT(ADDRESS(ROW(), COLUMN(), 4, TRUE, "Export-dataset")), "" )</f>
        <v>1.5502304147465438</v>
      </c>
      <c r="AE37" s="6" cm="1">
        <f t="array" aca="1" ref="AE37" ca="1">IFERROR( INDIRECT(ADDRESS(ROW()+1, COLUMN(), 4, TRUE, "Export-dataset")) / INDIRECT(ADDRESS(ROW(), COLUMN(), 4, TRUE, "Export-dataset")), "" )</f>
        <v>1.6143497757847534</v>
      </c>
      <c r="AF37" s="6" cm="1">
        <f t="array" aca="1" ref="AF37" ca="1">IFERROR( INDIRECT(ADDRESS(ROW()+1, COLUMN(), 4, TRUE, "Export-dataset")) / INDIRECT(ADDRESS(ROW(), COLUMN(), 4, TRUE, "Export-dataset")), "" )</f>
        <v>1.4944444444444445</v>
      </c>
      <c r="AG37" s="6" cm="1">
        <f t="array" aca="1" ref="AG37" ca="1">IFERROR( INDIRECT(ADDRESS(ROW()+1, COLUMN(), 4, TRUE, "Export-dataset")) / INDIRECT(ADDRESS(ROW(), COLUMN(), 4, TRUE, "Export-dataset")), "" )</f>
        <v>1.1851851851851851</v>
      </c>
      <c r="AH37" s="6" cm="1">
        <f t="array" aca="1" ref="AH37" ca="1">IFERROR( INDIRECT(ADDRESS(ROW()+1, COLUMN(), 4, TRUE, "Export-dataset")) / INDIRECT(ADDRESS(ROW(), COLUMN(), 4, TRUE, "Export-dataset")), "" )</f>
        <v>1.2509948269001194</v>
      </c>
      <c r="AI37" s="6" cm="1">
        <f t="array" aca="1" ref="AI37" ca="1">IFERROR( INDIRECT(ADDRESS(ROW()+1, COLUMN(), 4, TRUE, "Export-dataset")) / INDIRECT(ADDRESS(ROW(), COLUMN(), 4, TRUE, "Export-dataset")), "" )</f>
        <v>1.0251046025104602</v>
      </c>
      <c r="AJ37" s="6" cm="1">
        <f t="array" aca="1" ref="AJ37" ca="1">IFERROR( INDIRECT(ADDRESS(ROW()+1, COLUMN(), 4, TRUE, "Export-dataset")) / INDIRECT(ADDRESS(ROW(), COLUMN(), 4, TRUE, "Export-dataset")), "" )</f>
        <v>2.0730198019801982</v>
      </c>
      <c r="AK37" s="6" cm="1">
        <f t="array" aca="1" ref="AK37" ca="1">IFERROR( INDIRECT(ADDRESS(ROW()+1, COLUMN(), 4, TRUE, "Export-dataset")) / INDIRECT(ADDRESS(ROW(), COLUMN(), 4, TRUE, "Export-dataset")), "" )</f>
        <v>1.0308880308880308</v>
      </c>
      <c r="AL37" s="6" cm="1">
        <f t="array" aca="1" ref="AL37" ca="1">IFERROR( INDIRECT(ADDRESS(ROW()+1, COLUMN(), 4, TRUE, "Export-dataset")) / INDIRECT(ADDRESS(ROW(), COLUMN(), 4, TRUE, "Export-dataset")), "" )</f>
        <v>1.1922865013774104</v>
      </c>
      <c r="AM37" s="6" cm="1">
        <f t="array" aca="1" ref="AM37" ca="1">IFERROR( INDIRECT(ADDRESS(ROW()+1, COLUMN(), 4, TRUE, "Export-dataset")) / INDIRECT(ADDRESS(ROW(), COLUMN(), 4, TRUE, "Export-dataset")), "" )</f>
        <v>1.0631389055923031</v>
      </c>
      <c r="AN37" s="6" cm="1">
        <f t="array" aca="1" ref="AN37" ca="1">IFERROR( INDIRECT(ADDRESS(ROW()+1, COLUMN(), 4, TRUE, "Export-dataset")) / INDIRECT(ADDRESS(ROW(), COLUMN(), 4, TRUE, "Export-dataset")), "" )</f>
        <v>1.4918367346938775</v>
      </c>
      <c r="AO37" s="6" cm="1">
        <f t="array" aca="1" ref="AO37" ca="1">IFERROR( INDIRECT(ADDRESS(ROW()+1, COLUMN(), 4, TRUE, "Export-dataset")) / INDIRECT(ADDRESS(ROW(), COLUMN(), 4, TRUE, "Export-dataset")), "" )</f>
        <v>0.82336956521739135</v>
      </c>
      <c r="AP37" s="6" cm="1">
        <f t="array" aca="1" ref="AP37" ca="1">IFERROR( INDIRECT(ADDRESS(ROW()+1, COLUMN(), 4, TRUE, "Export-dataset")) / INDIRECT(ADDRESS(ROW(), COLUMN(), 4, TRUE, "Export-dataset")), "" )</f>
        <v>1.3072463768115943</v>
      </c>
      <c r="AQ37" s="6" cm="1">
        <f t="array" aca="1" ref="AQ37" ca="1">IFERROR( INDIRECT(ADDRESS(ROW()+1, COLUMN(), 4, TRUE, "Export-dataset")) / INDIRECT(ADDRESS(ROW(), COLUMN(), 4, TRUE, "Export-dataset")), "" )</f>
        <v>1.3616010854816825</v>
      </c>
      <c r="AR37" s="6" cm="1">
        <f t="array" aca="1" ref="AR37" ca="1">IFERROR( INDIRECT(ADDRESS(ROW()+1, COLUMN(), 4, TRUE, "Export-dataset")) / INDIRECT(ADDRESS(ROW(), COLUMN(), 4, TRUE, "Export-dataset")), "" )</f>
        <v>1.163323953780758</v>
      </c>
      <c r="AS37" s="6" cm="1">
        <f t="array" aca="1" ref="AS37" ca="1">IFERROR( INDIRECT(ADDRESS(ROW()+1, COLUMN(), 4, TRUE, "Export-dataset")) / INDIRECT(ADDRESS(ROW(), COLUMN(), 4, TRUE, "Export-dataset")), "" )</f>
        <v>0.92500000000000004</v>
      </c>
      <c r="AT37" s="6" cm="1">
        <f t="array" aca="1" ref="AT37" ca="1">IFERROR( INDIRECT(ADDRESS(ROW()+1, COLUMN(), 4, TRUE, "Export-dataset")) / INDIRECT(ADDRESS(ROW(), COLUMN(), 4, TRUE, "Export-dataset")), "" )</f>
        <v>1.4124513618677044</v>
      </c>
      <c r="AU37" s="6" cm="1">
        <f t="array" aca="1" ref="AU37" ca="1">IFERROR( INDIRECT(ADDRESS(ROW()+1, COLUMN(), 4, TRUE, "Export-dataset")) / INDIRECT(ADDRESS(ROW(), COLUMN(), 4, TRUE, "Export-dataset")), "" )</f>
        <v>1</v>
      </c>
      <c r="AV37" s="6" cm="1">
        <f t="array" aca="1" ref="AV37" ca="1">IFERROR( INDIRECT(ADDRESS(ROW()+1, COLUMN(), 4, TRUE, "Export-dataset")) / INDIRECT(ADDRESS(ROW(), COLUMN(), 4, TRUE, "Export-dataset")), "" )</f>
        <v>1.0696202531645569</v>
      </c>
      <c r="AW37" s="6" cm="1">
        <f t="array" aca="1" ref="AW37" ca="1">IFERROR( INDIRECT(ADDRESS(ROW()+1, COLUMN(), 4, TRUE, "Export-dataset")) / INDIRECT(ADDRESS(ROW(), COLUMN(), 4, TRUE, "Export-dataset")), "" )</f>
        <v>1.0690690690690692</v>
      </c>
      <c r="AX37" s="6" cm="1">
        <f t="array" aca="1" ref="AX37" ca="1">IFERROR( INDIRECT(ADDRESS(ROW()+1, COLUMN(), 4, TRUE, "Export-dataset")) / INDIRECT(ADDRESS(ROW(), COLUMN(), 4, TRUE, "Export-dataset")), "" )</f>
        <v>1.0596491228070175</v>
      </c>
      <c r="AY37" s="6" cm="1">
        <f t="array" aca="1" ref="AY37" ca="1">IFERROR( INDIRECT(ADDRESS(ROW()+1, COLUMN(), 4, TRUE, "Export-dataset")) / INDIRECT(ADDRESS(ROW(), COLUMN(), 4, TRUE, "Export-dataset")), "" )</f>
        <v>1.6897856242118536</v>
      </c>
      <c r="AZ37" s="6" cm="1">
        <f t="array" aca="1" ref="AZ37" ca="1">IFERROR( INDIRECT(ADDRESS(ROW()+1, COLUMN(), 4, TRUE, "Export-dataset")) / INDIRECT(ADDRESS(ROW(), COLUMN(), 4, TRUE, "Export-dataset")), "" )</f>
        <v>1.1419532770927969</v>
      </c>
      <c r="BA37" s="6" cm="1">
        <f t="array" aca="1" ref="BA37" ca="1">IFERROR( INDIRECT(ADDRESS(ROW()+1, COLUMN(), 4, TRUE, "Export-dataset")) / INDIRECT(ADDRESS(ROW(), COLUMN(), 4, TRUE, "Export-dataset")), "" )</f>
        <v>1.1721311475409837</v>
      </c>
      <c r="BB37" s="6" cm="1">
        <f t="array" aca="1" ref="BB37" ca="1">IFERROR( INDIRECT(ADDRESS(ROW()+1, COLUMN(), 4, TRUE, "Export-dataset")) / INDIRECT(ADDRESS(ROW(), COLUMN(), 4, TRUE, "Export-dataset")), "" )</f>
        <v>1.121401412275937</v>
      </c>
      <c r="BC37" s="6" cm="1">
        <f t="array" aca="1" ref="BC37" ca="1">IFERROR( INDIRECT(ADDRESS(ROW()+1, COLUMN(), 4, TRUE, "Export-dataset")) / INDIRECT(ADDRESS(ROW(), COLUMN(), 4, TRUE, "Export-dataset")), "" )</f>
        <v>1.1777522935779816</v>
      </c>
      <c r="BD37" s="6" cm="1">
        <f t="array" aca="1" ref="BD37" ca="1">IFERROR( INDIRECT(ADDRESS(ROW()+1, COLUMN(), 4, TRUE, "Export-dataset")) / INDIRECT(ADDRESS(ROW(), COLUMN(), 4, TRUE, "Export-dataset")), "" )</f>
        <v>1.1388557806912991</v>
      </c>
      <c r="BE37" s="6" cm="1">
        <f t="array" aca="1" ref="BE37" ca="1">IFERROR( INDIRECT(ADDRESS(ROW()+1, COLUMN(), 4, TRUE, "Export-dataset")) / INDIRECT(ADDRESS(ROW(), COLUMN(), 4, TRUE, "Export-dataset")), "" )</f>
        <v>1.4857142857142858</v>
      </c>
      <c r="BF37" s="6" cm="1">
        <f t="array" aca="1" ref="BF37" ca="1">IFERROR( INDIRECT(ADDRESS(ROW()+1, COLUMN(), 4, TRUE, "Export-dataset")) / INDIRECT(ADDRESS(ROW(), COLUMN(), 4, TRUE, "Export-dataset")), "" )</f>
        <v>1.1161434977578475</v>
      </c>
      <c r="BG37" s="6" cm="1">
        <f t="array" aca="1" ref="BG37" ca="1">IFERROR( INDIRECT(ADDRESS(ROW()+1, COLUMN(), 4, TRUE, "Export-dataset")) / INDIRECT(ADDRESS(ROW(), COLUMN(), 4, TRUE, "Export-dataset")), "" )</f>
        <v>1.1228197674418605</v>
      </c>
      <c r="BH37" s="6" cm="1">
        <f t="array" aca="1" ref="BH37" ca="1">IFERROR( INDIRECT(ADDRESS(ROW()+1, COLUMN(), 4, TRUE, "Export-dataset")) / INDIRECT(ADDRESS(ROW(), COLUMN(), 4, TRUE, "Export-dataset")), "" )</f>
        <v>1.0025740025740026</v>
      </c>
      <c r="BI37" s="6" cm="1">
        <f t="array" aca="1" ref="BI37" ca="1">IFERROR( INDIRECT(ADDRESS(ROW()+1, COLUMN(), 4, TRUE, "Export-dataset")) / INDIRECT(ADDRESS(ROW(), COLUMN(), 4, TRUE, "Export-dataset")), "" )</f>
        <v>1.2088010776829816</v>
      </c>
      <c r="BJ37" s="6" cm="1">
        <f t="array" aca="1" ref="BJ37" ca="1">IFERROR( INDIRECT(ADDRESS(ROW()+1, COLUMN(), 4, TRUE, "Export-dataset")) / INDIRECT(ADDRESS(ROW(), COLUMN(), 4, TRUE, "Export-dataset")), "" )</f>
        <v>1.0863464651915813</v>
      </c>
      <c r="BK37" s="6" cm="1">
        <f t="array" aca="1" ref="BK37" ca="1">IFERROR( INDIRECT(ADDRESS(ROW()+1, COLUMN(), 4, TRUE, "Export-dataset")) / INDIRECT(ADDRESS(ROW(), COLUMN(), 4, TRUE, "Export-dataset")), "" )</f>
        <v>1.1292756539235413</v>
      </c>
      <c r="BL37" s="6" cm="1">
        <f t="array" aca="1" ref="BL37" ca="1">IFERROR( INDIRECT(ADDRESS(ROW()+1, COLUMN(), 4, TRUE, "Export-dataset")) / INDIRECT(ADDRESS(ROW(), COLUMN(), 4, TRUE, "Export-dataset")), "" )</f>
        <v>1.1295420607267297</v>
      </c>
      <c r="BM37" s="6" cm="1">
        <f t="array" aca="1" ref="BM37" ca="1">IFERROR( INDIRECT(ADDRESS(ROW()+1, COLUMN(), 4, TRUE, "Export-dataset")) / INDIRECT(ADDRESS(ROW(), COLUMN(), 4, TRUE, "Export-dataset")), "" )</f>
        <v>0.86206896551724133</v>
      </c>
      <c r="BN37" s="6" cm="1">
        <f t="array" aca="1" ref="BN37" ca="1">IFERROR( INDIRECT(ADDRESS(ROW()+1, COLUMN(), 4, TRUE, "Export-dataset")) / INDIRECT(ADDRESS(ROW(), COLUMN(), 4, TRUE, "Export-dataset")), "" )</f>
        <v>1.1448275862068966</v>
      </c>
      <c r="BO37" s="6" cm="1">
        <f t="array" aca="1" ref="BO37" ca="1">IFERROR( INDIRECT(ADDRESS(ROW()+1, COLUMN(), 4, TRUE, "Export-dataset")) / INDIRECT(ADDRESS(ROW(), COLUMN(), 4, TRUE, "Export-dataset")), "" )</f>
        <v>1.7327586206896552</v>
      </c>
      <c r="BP37" s="6" cm="1">
        <f t="array" aca="1" ref="BP37" ca="1">IFERROR( INDIRECT(ADDRESS(ROW()+1, COLUMN(), 4, TRUE, "Export-dataset")) / INDIRECT(ADDRESS(ROW(), COLUMN(), 4, TRUE, "Export-dataset")), "" )</f>
        <v>1.3520833333333333</v>
      </c>
      <c r="BQ37" s="6" cm="1">
        <f t="array" aca="1" ref="BQ37" ca="1">IFERROR( INDIRECT(ADDRESS(ROW()+1, COLUMN(), 4, TRUE, "Export-dataset")) / INDIRECT(ADDRESS(ROW(), COLUMN(), 4, TRUE, "Export-dataset")), "" )</f>
        <v>1.1848739495798319</v>
      </c>
      <c r="BR37" s="6" cm="1">
        <f t="array" aca="1" ref="BR37" ca="1">IFERROR( INDIRECT(ADDRESS(ROW()+1, COLUMN(), 4, TRUE, "Export-dataset")) / INDIRECT(ADDRESS(ROW(), COLUMN(), 4, TRUE, "Export-dataset")), "" )</f>
        <v>1.1378064516129032</v>
      </c>
      <c r="BS37" s="6" cm="1">
        <f t="array" aca="1" ref="BS37" ca="1">IFERROR( INDIRECT(ADDRESS(ROW()+1, COLUMN(), 4, TRUE, "Export-dataset")) / INDIRECT(ADDRESS(ROW(), COLUMN(), 4, TRUE, "Export-dataset")), "" )</f>
        <v>1.1169977924944812</v>
      </c>
      <c r="BT37" s="6" cm="1">
        <f t="array" aca="1" ref="BT37" ca="1">IFERROR( INDIRECT(ADDRESS(ROW()+1, COLUMN(), 4, TRUE, "Export-dataset")) / INDIRECT(ADDRESS(ROW(), COLUMN(), 4, TRUE, "Export-dataset")), "" )</f>
        <v>1.0710506424792139</v>
      </c>
      <c r="BU37" s="6" cm="1">
        <f t="array" aca="1" ref="BU37" ca="1">IFERROR( INDIRECT(ADDRESS(ROW()+1, COLUMN(), 4, TRUE, "Export-dataset")) / INDIRECT(ADDRESS(ROW(), COLUMN(), 4, TRUE, "Export-dataset")), "" )</f>
        <v>1.0628706035253026</v>
      </c>
      <c r="BV37" s="6" cm="1">
        <f t="array" aca="1" ref="BV37" ca="1">IFERROR( INDIRECT(ADDRESS(ROW()+1, COLUMN(), 4, TRUE, "Export-dataset")) / INDIRECT(ADDRESS(ROW(), COLUMN(), 4, TRUE, "Export-dataset")), "" )</f>
        <v>0.42705422023476802</v>
      </c>
      <c r="BW37" s="6" cm="1">
        <f t="array" aca="1" ref="BW37" ca="1">IFERROR( INDIRECT(ADDRESS(ROW()+1, COLUMN(), 4, TRUE, "Export-dataset")) / INDIRECT(ADDRESS(ROW(), COLUMN(), 4, TRUE, "Export-dataset")), "" )</f>
        <v>1.1824534161490683</v>
      </c>
      <c r="BX37" s="6" cm="1">
        <f t="array" aca="1" ref="BX37" ca="1">IFERROR( INDIRECT(ADDRESS(ROW()+1, COLUMN(), 4, TRUE, "Export-dataset")) / INDIRECT(ADDRESS(ROW(), COLUMN(), 4, TRUE, "Export-dataset")), "" )</f>
        <v>4.5</v>
      </c>
      <c r="BY37" s="6" cm="1">
        <f t="array" aca="1" ref="BY37" ca="1">IFERROR( INDIRECT(ADDRESS(ROW()+1, COLUMN(), 4, TRUE, "Export-dataset")) / INDIRECT(ADDRESS(ROW(), COLUMN(), 4, TRUE, "Export-dataset")), "" )</f>
        <v>1.0100081611614622</v>
      </c>
      <c r="BZ37" s="6" cm="1">
        <f t="array" aca="1" ref="BZ37" ca="1">IFERROR( INDIRECT(ADDRESS(ROW()+1, COLUMN(), 4, TRUE, "Export-dataset")) / INDIRECT(ADDRESS(ROW(), COLUMN(), 4, TRUE, "Export-dataset")), "" )</f>
        <v>1.2841753743401918</v>
      </c>
      <c r="CA37" s="6" cm="1">
        <f t="array" aca="1" ref="CA37" ca="1">IFERROR( INDIRECT(ADDRESS(ROW()+1, COLUMN(), 4, TRUE, "Export-dataset")) / INDIRECT(ADDRESS(ROW(), COLUMN(), 4, TRUE, "Export-dataset")), "" )</f>
        <v>1.2961730195037628</v>
      </c>
    </row>
    <row r="38" spans="1:79">
      <c r="A38" s="6" t="s">
        <v>195</v>
      </c>
      <c r="B38" s="6" cm="1">
        <f t="array" aca="1" ref="B38" ca="1">IFERROR( INDIRECT(ADDRESS(ROW()+1, COLUMN(), 4, TRUE, "Export-dataset")) / INDIRECT(ADDRESS(ROW(), COLUMN(), 4, TRUE, "Export-dataset")), "" )</f>
        <v>1.0306276119122022</v>
      </c>
      <c r="C38" s="6" cm="1">
        <f t="array" aca="1" ref="C38" ca="1">IFERROR( INDIRECT(ADDRESS(ROW()+1, COLUMN(), 4, TRUE, "Export-dataset")) / INDIRECT(ADDRESS(ROW(), COLUMN(), 4, TRUE, "Export-dataset")), "" )</f>
        <v>0.81422924901185767</v>
      </c>
      <c r="D38" s="6" cm="1">
        <f t="array" aca="1" ref="D38" ca="1">IFERROR( INDIRECT(ADDRESS(ROW()+1, COLUMN(), 4, TRUE, "Export-dataset")) / INDIRECT(ADDRESS(ROW(), COLUMN(), 4, TRUE, "Export-dataset")), "" )</f>
        <v>1.0721686746987953</v>
      </c>
      <c r="E38" s="6" cm="1">
        <f t="array" aca="1" ref="E38" ca="1">IFERROR( INDIRECT(ADDRESS(ROW()+1, COLUMN(), 4, TRUE, "Export-dataset")) / INDIRECT(ADDRESS(ROW(), COLUMN(), 4, TRUE, "Export-dataset")), "" )</f>
        <v>0.88626292466765144</v>
      </c>
      <c r="F38" s="6" cm="1">
        <f t="array" aca="1" ref="F38" ca="1">IFERROR( INDIRECT(ADDRESS(ROW()+1, COLUMN(), 4, TRUE, "Export-dataset")) / INDIRECT(ADDRESS(ROW(), COLUMN(), 4, TRUE, "Export-dataset")), "" )</f>
        <v>1.1170124481327801</v>
      </c>
      <c r="G38" s="6" cm="1">
        <f t="array" aca="1" ref="G38" ca="1">IFERROR( INDIRECT(ADDRESS(ROW()+1, COLUMN(), 4, TRUE, "Export-dataset")) / INDIRECT(ADDRESS(ROW(), COLUMN(), 4, TRUE, "Export-dataset")), "" )</f>
        <v>0.99787151702786381</v>
      </c>
      <c r="H38" s="6" cm="1">
        <f t="array" aca="1" ref="H38" ca="1">IFERROR( INDIRECT(ADDRESS(ROW()+1, COLUMN(), 4, TRUE, "Export-dataset")) / INDIRECT(ADDRESS(ROW(), COLUMN(), 4, TRUE, "Export-dataset")), "" )</f>
        <v>1.1718718917843645</v>
      </c>
      <c r="I38" s="6" cm="1">
        <f t="array" aca="1" ref="I38" ca="1">IFERROR( INDIRECT(ADDRESS(ROW()+1, COLUMN(), 4, TRUE, "Export-dataset")) / INDIRECT(ADDRESS(ROW(), COLUMN(), 4, TRUE, "Export-dataset")), "" )</f>
        <v>0.92523364485981308</v>
      </c>
      <c r="J38" s="6" cm="1">
        <f t="array" aca="1" ref="J38" ca="1">IFERROR( INDIRECT(ADDRESS(ROW()+1, COLUMN(), 4, TRUE, "Export-dataset")) / INDIRECT(ADDRESS(ROW(), COLUMN(), 4, TRUE, "Export-dataset")), "" )</f>
        <v>0.98452611218568664</v>
      </c>
      <c r="K38" s="6" cm="1">
        <f t="array" aca="1" ref="K38" ca="1">IFERROR( INDIRECT(ADDRESS(ROW()+1, COLUMN(), 4, TRUE, "Export-dataset")) / INDIRECT(ADDRESS(ROW(), COLUMN(), 4, TRUE, "Export-dataset")), "" )</f>
        <v>1.0104712041884816</v>
      </c>
      <c r="L38" s="6" cm="1">
        <f t="array" aca="1" ref="L38" ca="1">IFERROR( INDIRECT(ADDRESS(ROW()+1, COLUMN(), 4, TRUE, "Export-dataset")) / INDIRECT(ADDRESS(ROW(), COLUMN(), 4, TRUE, "Export-dataset")), "" )</f>
        <v>1.0712962962962962</v>
      </c>
      <c r="M38" s="6" cm="1">
        <f t="array" aca="1" ref="M38" ca="1">IFERROR( INDIRECT(ADDRESS(ROW()+1, COLUMN(), 4, TRUE, "Export-dataset")) / INDIRECT(ADDRESS(ROW(), COLUMN(), 4, TRUE, "Export-dataset")), "" )</f>
        <v>0.99066874027993779</v>
      </c>
      <c r="N38" s="6" cm="1">
        <f t="array" aca="1" ref="N38" ca="1">IFERROR( INDIRECT(ADDRESS(ROW()+1, COLUMN(), 4, TRUE, "Export-dataset")) / INDIRECT(ADDRESS(ROW(), COLUMN(), 4, TRUE, "Export-dataset")), "" )</f>
        <v>0.98864081472777121</v>
      </c>
      <c r="O38" s="6" cm="1">
        <f t="array" aca="1" ref="O38" ca="1">IFERROR( INDIRECT(ADDRESS(ROW()+1, COLUMN(), 4, TRUE, "Export-dataset")) / INDIRECT(ADDRESS(ROW(), COLUMN(), 4, TRUE, "Export-dataset")), "" )</f>
        <v>1.263157894736842</v>
      </c>
      <c r="P38" s="6" cm="1">
        <f t="array" aca="1" ref="P38" ca="1">IFERROR( INDIRECT(ADDRESS(ROW()+1, COLUMN(), 4, TRUE, "Export-dataset")) / INDIRECT(ADDRESS(ROW(), COLUMN(), 4, TRUE, "Export-dataset")), "" )</f>
        <v>1.0778826953307559</v>
      </c>
      <c r="Q38" s="6" cm="1">
        <f t="array" aca="1" ref="Q38" ca="1">IFERROR( INDIRECT(ADDRESS(ROW()+1, COLUMN(), 4, TRUE, "Export-dataset")) / INDIRECT(ADDRESS(ROW(), COLUMN(), 4, TRUE, "Export-dataset")), "" )</f>
        <v>0.99339207048458145</v>
      </c>
      <c r="R38" s="6" cm="1">
        <f t="array" aca="1" ref="R38" ca="1">IFERROR( INDIRECT(ADDRESS(ROW()+1, COLUMN(), 4, TRUE, "Export-dataset")) / INDIRECT(ADDRESS(ROW(), COLUMN(), 4, TRUE, "Export-dataset")), "" )</f>
        <v>0.70961092501932488</v>
      </c>
      <c r="S38" s="6" cm="1">
        <f t="array" aca="1" ref="S38" ca="1">IFERROR( INDIRECT(ADDRESS(ROW()+1, COLUMN(), 4, TRUE, "Export-dataset")) / INDIRECT(ADDRESS(ROW(), COLUMN(), 4, TRUE, "Export-dataset")), "" )</f>
        <v>1.5555555555555556</v>
      </c>
      <c r="T38" s="6" cm="1">
        <f t="array" aca="1" ref="T38" ca="1">IFERROR( INDIRECT(ADDRESS(ROW()+1, COLUMN(), 4, TRUE, "Export-dataset")) / INDIRECT(ADDRESS(ROW(), COLUMN(), 4, TRUE, "Export-dataset")), "" )</f>
        <v>0.94221930400525278</v>
      </c>
      <c r="U38" s="6" cm="1">
        <f t="array" aca="1" ref="U38" ca="1">IFERROR( INDIRECT(ADDRESS(ROW()+1, COLUMN(), 4, TRUE, "Export-dataset")) / INDIRECT(ADDRESS(ROW(), COLUMN(), 4, TRUE, "Export-dataset")), "" )</f>
        <v>0.66123778501628661</v>
      </c>
      <c r="V38" s="6" cm="1">
        <f t="array" aca="1" ref="V38" ca="1">IFERROR( INDIRECT(ADDRESS(ROW()+1, COLUMN(), 4, TRUE, "Export-dataset")) / INDIRECT(ADDRESS(ROW(), COLUMN(), 4, TRUE, "Export-dataset")), "" )</f>
        <v>0.96070038910505839</v>
      </c>
      <c r="W38" s="6" cm="1">
        <f t="array" aca="1" ref="W38" ca="1">IFERROR( INDIRECT(ADDRESS(ROW()+1, COLUMN(), 4, TRUE, "Export-dataset")) / INDIRECT(ADDRESS(ROW(), COLUMN(), 4, TRUE, "Export-dataset")), "" )</f>
        <v>1.5386789405684755</v>
      </c>
      <c r="X38" s="6" cm="1">
        <f t="array" aca="1" ref="X38" ca="1">IFERROR( INDIRECT(ADDRESS(ROW()+1, COLUMN(), 4, TRUE, "Export-dataset")) / INDIRECT(ADDRESS(ROW(), COLUMN(), 4, TRUE, "Export-dataset")), "" )</f>
        <v>1.0685419590856837</v>
      </c>
      <c r="Y38" s="6" cm="1">
        <f t="array" aca="1" ref="Y38" ca="1">IFERROR( INDIRECT(ADDRESS(ROW()+1, COLUMN(), 4, TRUE, "Export-dataset")) / INDIRECT(ADDRESS(ROW(), COLUMN(), 4, TRUE, "Export-dataset")), "" )</f>
        <v>0.93930635838150289</v>
      </c>
      <c r="Z38" s="6" cm="1">
        <f t="array" aca="1" ref="Z38" ca="1">IFERROR( INDIRECT(ADDRESS(ROW()+1, COLUMN(), 4, TRUE, "Export-dataset")) / INDIRECT(ADDRESS(ROW(), COLUMN(), 4, TRUE, "Export-dataset")), "" )</f>
        <v>0.77804435532001237</v>
      </c>
      <c r="AA38" s="6" cm="1">
        <f t="array" aca="1" ref="AA38" ca="1">IFERROR( INDIRECT(ADDRESS(ROW()+1, COLUMN(), 4, TRUE, "Export-dataset")) / INDIRECT(ADDRESS(ROW(), COLUMN(), 4, TRUE, "Export-dataset")), "" )</f>
        <v>0.72591942112473218</v>
      </c>
      <c r="AB38" s="6" cm="1">
        <f t="array" aca="1" ref="AB38" ca="1">IFERROR( INDIRECT(ADDRESS(ROW()+1, COLUMN(), 4, TRUE, "Export-dataset")) / INDIRECT(ADDRESS(ROW(), COLUMN(), 4, TRUE, "Export-dataset")), "" )</f>
        <v>0.90882878726717031</v>
      </c>
      <c r="AC38" s="6" cm="1">
        <f t="array" aca="1" ref="AC38" ca="1">IFERROR( INDIRECT(ADDRESS(ROW()+1, COLUMN(), 4, TRUE, "Export-dataset")) / INDIRECT(ADDRESS(ROW(), COLUMN(), 4, TRUE, "Export-dataset")), "" )</f>
        <v>0.83423533519553073</v>
      </c>
      <c r="AD38" s="6" cm="1">
        <f t="array" aca="1" ref="AD38" ca="1">IFERROR( INDIRECT(ADDRESS(ROW()+1, COLUMN(), 4, TRUE, "Export-dataset")) / INDIRECT(ADDRESS(ROW(), COLUMN(), 4, TRUE, "Export-dataset")), "" )</f>
        <v>0.9565992865636147</v>
      </c>
      <c r="AE38" s="6" cm="1">
        <f t="array" aca="1" ref="AE38" ca="1">IFERROR( INDIRECT(ADDRESS(ROW()+1, COLUMN(), 4, TRUE, "Export-dataset")) / INDIRECT(ADDRESS(ROW(), COLUMN(), 4, TRUE, "Export-dataset")), "" )</f>
        <v>0.97499999999999998</v>
      </c>
      <c r="AF38" s="6" cm="1">
        <f t="array" aca="1" ref="AF38" ca="1">IFERROR( INDIRECT(ADDRESS(ROW()+1, COLUMN(), 4, TRUE, "Export-dataset")) / INDIRECT(ADDRESS(ROW(), COLUMN(), 4, TRUE, "Export-dataset")), "" )</f>
        <v>0.7806691449814126</v>
      </c>
      <c r="AG38" s="6" cm="1">
        <f t="array" aca="1" ref="AG38" ca="1">IFERROR( INDIRECT(ADDRESS(ROW()+1, COLUMN(), 4, TRUE, "Export-dataset")) / INDIRECT(ADDRESS(ROW(), COLUMN(), 4, TRUE, "Export-dataset")), "" )</f>
        <v>2.125</v>
      </c>
      <c r="AH38" s="6" cm="1">
        <f t="array" aca="1" ref="AH38" ca="1">IFERROR( INDIRECT(ADDRESS(ROW()+1, COLUMN(), 4, TRUE, "Export-dataset")) / INDIRECT(ADDRESS(ROW(), COLUMN(), 4, TRUE, "Export-dataset")), "" )</f>
        <v>0.91324055666003978</v>
      </c>
      <c r="AI38" s="6" cm="1">
        <f t="array" aca="1" ref="AI38" ca="1">IFERROR( INDIRECT(ADDRESS(ROW()+1, COLUMN(), 4, TRUE, "Export-dataset")) / INDIRECT(ADDRESS(ROW(), COLUMN(), 4, TRUE, "Export-dataset")), "" )</f>
        <v>0.90204081632653066</v>
      </c>
      <c r="AJ38" s="6" cm="1">
        <f t="array" aca="1" ref="AJ38" ca="1">IFERROR( INDIRECT(ADDRESS(ROW()+1, COLUMN(), 4, TRUE, "Export-dataset")) / INDIRECT(ADDRESS(ROW(), COLUMN(), 4, TRUE, "Export-dataset")), "" )</f>
        <v>0.75462686567164183</v>
      </c>
      <c r="AK38" s="6" cm="1">
        <f t="array" aca="1" ref="AK38" ca="1">IFERROR( INDIRECT(ADDRESS(ROW()+1, COLUMN(), 4, TRUE, "Export-dataset")) / INDIRECT(ADDRESS(ROW(), COLUMN(), 4, TRUE, "Export-dataset")), "" )</f>
        <v>0.86142322097378277</v>
      </c>
      <c r="AL38" s="6" cm="1">
        <f t="array" aca="1" ref="AL38" ca="1">IFERROR( INDIRECT(ADDRESS(ROW()+1, COLUMN(), 4, TRUE, "Export-dataset")) / INDIRECT(ADDRESS(ROW(), COLUMN(), 4, TRUE, "Export-dataset")), "" )</f>
        <v>1.0984288354898337</v>
      </c>
      <c r="AM38" s="6" cm="1">
        <f t="array" aca="1" ref="AM38" ca="1">IFERROR( INDIRECT(ADDRESS(ROW()+1, COLUMN(), 4, TRUE, "Export-dataset")) / INDIRECT(ADDRESS(ROW(), COLUMN(), 4, TRUE, "Export-dataset")), "" )</f>
        <v>0.9536199095022625</v>
      </c>
      <c r="AN38" s="6" cm="1">
        <f t="array" aca="1" ref="AN38" ca="1">IFERROR( INDIRECT(ADDRESS(ROW()+1, COLUMN(), 4, TRUE, "Export-dataset")) / INDIRECT(ADDRESS(ROW(), COLUMN(), 4, TRUE, "Export-dataset")), "" )</f>
        <v>0.46238030095759236</v>
      </c>
      <c r="AO38" s="6" cm="1">
        <f t="array" aca="1" ref="AO38" ca="1">IFERROR( INDIRECT(ADDRESS(ROW()+1, COLUMN(), 4, TRUE, "Export-dataset")) / INDIRECT(ADDRESS(ROW(), COLUMN(), 4, TRUE, "Export-dataset")), "" )</f>
        <v>0.91419141914191415</v>
      </c>
      <c r="AP38" s="6" cm="1">
        <f t="array" aca="1" ref="AP38" ca="1">IFERROR( INDIRECT(ADDRESS(ROW()+1, COLUMN(), 4, TRUE, "Export-dataset")) / INDIRECT(ADDRESS(ROW(), COLUMN(), 4, TRUE, "Export-dataset")), "" )</f>
        <v>0.85365853658536583</v>
      </c>
      <c r="AQ38" s="6" cm="1">
        <f t="array" aca="1" ref="AQ38" ca="1">IFERROR( INDIRECT(ADDRESS(ROW()+1, COLUMN(), 4, TRUE, "Export-dataset")) / INDIRECT(ADDRESS(ROW(), COLUMN(), 4, TRUE, "Export-dataset")), "" )</f>
        <v>0.81863477827603393</v>
      </c>
      <c r="AR38" s="6" cm="1">
        <f t="array" aca="1" ref="AR38" ca="1">IFERROR( INDIRECT(ADDRESS(ROW()+1, COLUMN(), 4, TRUE, "Export-dataset")) / INDIRECT(ADDRESS(ROW(), COLUMN(), 4, TRUE, "Export-dataset")), "" )</f>
        <v>0.99619165251402397</v>
      </c>
      <c r="AS38" s="6" cm="1">
        <f t="array" aca="1" ref="AS38" ca="1">IFERROR( INDIRECT(ADDRESS(ROW()+1, COLUMN(), 4, TRUE, "Export-dataset")) / INDIRECT(ADDRESS(ROW(), COLUMN(), 4, TRUE, "Export-dataset")), "" )</f>
        <v>0.73648648648648651</v>
      </c>
      <c r="AT38" s="6" cm="1">
        <f t="array" aca="1" ref="AT38" ca="1">IFERROR( INDIRECT(ADDRESS(ROW()+1, COLUMN(), 4, TRUE, "Export-dataset")) / INDIRECT(ADDRESS(ROW(), COLUMN(), 4, TRUE, "Export-dataset")), "" )</f>
        <v>1.0936639118457301</v>
      </c>
      <c r="AU38" s="6" cm="1">
        <f t="array" aca="1" ref="AU38" ca="1">IFERROR( INDIRECT(ADDRESS(ROW()+1, COLUMN(), 4, TRUE, "Export-dataset")) / INDIRECT(ADDRESS(ROW(), COLUMN(), 4, TRUE, "Export-dataset")), "" )</f>
        <v>1.0208333333333333</v>
      </c>
      <c r="AV38" s="6" cm="1">
        <f t="array" aca="1" ref="AV38" ca="1">IFERROR( INDIRECT(ADDRESS(ROW()+1, COLUMN(), 4, TRUE, "Export-dataset")) / INDIRECT(ADDRESS(ROW(), COLUMN(), 4, TRUE, "Export-dataset")), "" )</f>
        <v>0.87573964497041423</v>
      </c>
      <c r="AW38" s="6" cm="1">
        <f t="array" aca="1" ref="AW38" ca="1">IFERROR( INDIRECT(ADDRESS(ROW()+1, COLUMN(), 4, TRUE, "Export-dataset")) / INDIRECT(ADDRESS(ROW(), COLUMN(), 4, TRUE, "Export-dataset")), "" )</f>
        <v>1.0224719101123596</v>
      </c>
      <c r="AX38" s="6" cm="1">
        <f t="array" aca="1" ref="AX38" ca="1">IFERROR( INDIRECT(ADDRESS(ROW()+1, COLUMN(), 4, TRUE, "Export-dataset")) / INDIRECT(ADDRESS(ROW(), COLUMN(), 4, TRUE, "Export-dataset")), "" )</f>
        <v>1.4139072847682119</v>
      </c>
      <c r="AY38" s="6" cm="1">
        <f t="array" aca="1" ref="AY38" ca="1">IFERROR( INDIRECT(ADDRESS(ROW()+1, COLUMN(), 4, TRUE, "Export-dataset")) / INDIRECT(ADDRESS(ROW(), COLUMN(), 4, TRUE, "Export-dataset")), "" )</f>
        <v>0.93731343283582091</v>
      </c>
      <c r="AZ38" s="6" cm="1">
        <f t="array" aca="1" ref="AZ38" ca="1">IFERROR( INDIRECT(ADDRESS(ROW()+1, COLUMN(), 4, TRUE, "Export-dataset")) / INDIRECT(ADDRESS(ROW(), COLUMN(), 4, TRUE, "Export-dataset")), "" )</f>
        <v>0.9909077994033243</v>
      </c>
      <c r="BA38" s="6" cm="1">
        <f t="array" aca="1" ref="BA38" ca="1">IFERROR( INDIRECT(ADDRESS(ROW()+1, COLUMN(), 4, TRUE, "Export-dataset")) / INDIRECT(ADDRESS(ROW(), COLUMN(), 4, TRUE, "Export-dataset")), "" )</f>
        <v>1.0083916083916085</v>
      </c>
      <c r="BB38" s="6" cm="1">
        <f t="array" aca="1" ref="BB38" ca="1">IFERROR( INDIRECT(ADDRESS(ROW()+1, COLUMN(), 4, TRUE, "Export-dataset")) / INDIRECT(ADDRESS(ROW(), COLUMN(), 4, TRUE, "Export-dataset")), "" )</f>
        <v>1.1264228626786146</v>
      </c>
      <c r="BC38" s="6" cm="1">
        <f t="array" aca="1" ref="BC38" ca="1">IFERROR( INDIRECT(ADDRESS(ROW()+1, COLUMN(), 4, TRUE, "Export-dataset")) / INDIRECT(ADDRESS(ROW(), COLUMN(), 4, TRUE, "Export-dataset")), "" )</f>
        <v>1.2687439143135346</v>
      </c>
      <c r="BD38" s="6" cm="1">
        <f t="array" aca="1" ref="BD38" ca="1">IFERROR( INDIRECT(ADDRESS(ROW()+1, COLUMN(), 4, TRUE, "Export-dataset")) / INDIRECT(ADDRESS(ROW(), COLUMN(), 4, TRUE, "Export-dataset")), "" )</f>
        <v>1.1057038199895344</v>
      </c>
      <c r="BE38" s="6" cm="1">
        <f t="array" aca="1" ref="BE38" ca="1">IFERROR( INDIRECT(ADDRESS(ROW()+1, COLUMN(), 4, TRUE, "Export-dataset")) / INDIRECT(ADDRESS(ROW(), COLUMN(), 4, TRUE, "Export-dataset")), "" )</f>
        <v>1.0461538461538462</v>
      </c>
      <c r="BF38" s="6" cm="1">
        <f t="array" aca="1" ref="BF38" ca="1">IFERROR( INDIRECT(ADDRESS(ROW()+1, COLUMN(), 4, TRUE, "Export-dataset")) / INDIRECT(ADDRESS(ROW(), COLUMN(), 4, TRUE, "Export-dataset")), "" )</f>
        <v>1.2229811169144236</v>
      </c>
      <c r="BG38" s="6" cm="1">
        <f t="array" aca="1" ref="BG38" ca="1">IFERROR( INDIRECT(ADDRESS(ROW()+1, COLUMN(), 4, TRUE, "Export-dataset")) / INDIRECT(ADDRESS(ROW(), COLUMN(), 4, TRUE, "Export-dataset")), "" )</f>
        <v>0.96375404530744335</v>
      </c>
      <c r="BH38" s="6" cm="1">
        <f t="array" aca="1" ref="BH38" ca="1">IFERROR( INDIRECT(ADDRESS(ROW()+1, COLUMN(), 4, TRUE, "Export-dataset")) / INDIRECT(ADDRESS(ROW(), COLUMN(), 4, TRUE, "Export-dataset")), "" )</f>
        <v>1.1454856653829697</v>
      </c>
      <c r="BI38" s="6" cm="1">
        <f t="array" aca="1" ref="BI38" ca="1">IFERROR( INDIRECT(ADDRESS(ROW()+1, COLUMN(), 4, TRUE, "Export-dataset")) / INDIRECT(ADDRESS(ROW(), COLUMN(), 4, TRUE, "Export-dataset")), "" )</f>
        <v>1.0973254086181279</v>
      </c>
      <c r="BJ38" s="6" cm="1">
        <f t="array" aca="1" ref="BJ38" ca="1">IFERROR( INDIRECT(ADDRESS(ROW()+1, COLUMN(), 4, TRUE, "Export-dataset")) / INDIRECT(ADDRESS(ROW(), COLUMN(), 4, TRUE, "Export-dataset")), "" )</f>
        <v>1.0829607550919027</v>
      </c>
      <c r="BK38" s="6" cm="1">
        <f t="array" aca="1" ref="BK38" ca="1">IFERROR( INDIRECT(ADDRESS(ROW()+1, COLUMN(), 4, TRUE, "Export-dataset")) / INDIRECT(ADDRESS(ROW(), COLUMN(), 4, TRUE, "Export-dataset")), "" )</f>
        <v>1.1465478841870824</v>
      </c>
      <c r="BL38" s="6" cm="1">
        <f t="array" aca="1" ref="BL38" ca="1">IFERROR( INDIRECT(ADDRESS(ROW()+1, COLUMN(), 4, TRUE, "Export-dataset")) / INDIRECT(ADDRESS(ROW(), COLUMN(), 4, TRUE, "Export-dataset")), "" )</f>
        <v>1.1586427233667511</v>
      </c>
      <c r="BM38" s="6" cm="1">
        <f t="array" aca="1" ref="BM38" ca="1">IFERROR( INDIRECT(ADDRESS(ROW()+1, COLUMN(), 4, TRUE, "Export-dataset")) / INDIRECT(ADDRESS(ROW(), COLUMN(), 4, TRUE, "Export-dataset")), "" )</f>
        <v>0.97142857142857142</v>
      </c>
      <c r="BN38" s="6" cm="1">
        <f t="array" aca="1" ref="BN38" ca="1">IFERROR( INDIRECT(ADDRESS(ROW()+1, COLUMN(), 4, TRUE, "Export-dataset")) / INDIRECT(ADDRESS(ROW(), COLUMN(), 4, TRUE, "Export-dataset")), "" )</f>
        <v>1.1325301204819278</v>
      </c>
      <c r="BO38" s="6" cm="1">
        <f t="array" aca="1" ref="BO38" ca="1">IFERROR( INDIRECT(ADDRESS(ROW()+1, COLUMN(), 4, TRUE, "Export-dataset")) / INDIRECT(ADDRESS(ROW(), COLUMN(), 4, TRUE, "Export-dataset")), "" )</f>
        <v>0.93532338308457708</v>
      </c>
      <c r="BP38" s="6" cm="1">
        <f t="array" aca="1" ref="BP38" ca="1">IFERROR( INDIRECT(ADDRESS(ROW()+1, COLUMN(), 4, TRUE, "Export-dataset")) / INDIRECT(ADDRESS(ROW(), COLUMN(), 4, TRUE, "Export-dataset")), "" )</f>
        <v>1.0878274268104777</v>
      </c>
      <c r="BQ38" s="6" cm="1">
        <f t="array" aca="1" ref="BQ38" ca="1">IFERROR( INDIRECT(ADDRESS(ROW()+1, COLUMN(), 4, TRUE, "Export-dataset")) / INDIRECT(ADDRESS(ROW(), COLUMN(), 4, TRUE, "Export-dataset")), "" )</f>
        <v>1.2836879432624113</v>
      </c>
      <c r="BR38" s="6" cm="1">
        <f t="array" aca="1" ref="BR38" ca="1">IFERROR( INDIRECT(ADDRESS(ROW()+1, COLUMN(), 4, TRUE, "Export-dataset")) / INDIRECT(ADDRESS(ROW(), COLUMN(), 4, TRUE, "Export-dataset")), "" )</f>
        <v>1.1047856656838286</v>
      </c>
      <c r="BS38" s="6" cm="1">
        <f t="array" aca="1" ref="BS38" ca="1">IFERROR( INDIRECT(ADDRESS(ROW()+1, COLUMN(), 4, TRUE, "Export-dataset")) / INDIRECT(ADDRESS(ROW(), COLUMN(), 4, TRUE, "Export-dataset")), "" )</f>
        <v>1.1383399209486167</v>
      </c>
      <c r="BT38" s="6" cm="1">
        <f t="array" aca="1" ref="BT38" ca="1">IFERROR( INDIRECT(ADDRESS(ROW()+1, COLUMN(), 4, TRUE, "Export-dataset")) / INDIRECT(ADDRESS(ROW(), COLUMN(), 4, TRUE, "Export-dataset")), "" )</f>
        <v>1.2829922371206774</v>
      </c>
      <c r="BU38" s="6" cm="1">
        <f t="array" aca="1" ref="BU38" ca="1">IFERROR( INDIRECT(ADDRESS(ROW()+1, COLUMN(), 4, TRUE, "Export-dataset")) / INDIRECT(ADDRESS(ROW(), COLUMN(), 4, TRUE, "Export-dataset")), "" )</f>
        <v>1.0507451280091709</v>
      </c>
      <c r="BV38" s="6" cm="1">
        <f t="array" aca="1" ref="BV38" ca="1">IFERROR( INDIRECT(ADDRESS(ROW()+1, COLUMN(), 4, TRUE, "Export-dataset")) / INDIRECT(ADDRESS(ROW(), COLUMN(), 4, TRUE, "Export-dataset")), "" )</f>
        <v>0.80104712041884818</v>
      </c>
      <c r="BW38" s="6" cm="1">
        <f t="array" aca="1" ref="BW38" ca="1">IFERROR( INDIRECT(ADDRESS(ROW()+1, COLUMN(), 4, TRUE, "Export-dataset")) / INDIRECT(ADDRESS(ROW(), COLUMN(), 4, TRUE, "Export-dataset")), "" )</f>
        <v>0.6602101116217991</v>
      </c>
      <c r="BX38" s="6" cm="1">
        <f t="array" aca="1" ref="BX38" ca="1">IFERROR( INDIRECT(ADDRESS(ROW()+1, COLUMN(), 4, TRUE, "Export-dataset")) / INDIRECT(ADDRESS(ROW(), COLUMN(), 4, TRUE, "Export-dataset")), "" )</f>
        <v>1.2222222222222223</v>
      </c>
      <c r="BY38" s="6" cm="1">
        <f t="array" aca="1" ref="BY38" ca="1">IFERROR( INDIRECT(ADDRESS(ROW()+1, COLUMN(), 4, TRUE, "Export-dataset")) / INDIRECT(ADDRESS(ROW(), COLUMN(), 4, TRUE, "Export-dataset")), "" )</f>
        <v>1.2057497660967933</v>
      </c>
      <c r="BZ38" s="6" cm="1">
        <f t="array" aca="1" ref="BZ38" ca="1">IFERROR( INDIRECT(ADDRESS(ROW()+1, COLUMN(), 4, TRUE, "Export-dataset")) / INDIRECT(ADDRESS(ROW(), COLUMN(), 4, TRUE, "Export-dataset")), "" )</f>
        <v>0.86041439476553983</v>
      </c>
      <c r="CA38" s="6" cm="1">
        <f t="array" aca="1" ref="CA38" ca="1">IFERROR( INDIRECT(ADDRESS(ROW()+1, COLUMN(), 4, TRUE, "Export-dataset")) / INDIRECT(ADDRESS(ROW(), COLUMN(), 4, TRUE, "Export-dataset")), "" )</f>
        <v>0.94065654652151587</v>
      </c>
    </row>
    <row r="39" spans="1:79">
      <c r="A39" s="6" t="s">
        <v>275</v>
      </c>
      <c r="B39" s="6" cm="1">
        <f t="array" aca="1" ref="B39" ca="1">IFERROR( INDIRECT(ADDRESS(ROW()+1, COLUMN(), 4, TRUE, "Export-dataset")) / INDIRECT(ADDRESS(ROW(), COLUMN(), 4, TRUE, "Export-dataset")), "" )</f>
        <v>0.96290343202615569</v>
      </c>
      <c r="C39" s="6" cm="1">
        <f t="array" aca="1" ref="C39" ca="1">IFERROR( INDIRECT(ADDRESS(ROW()+1, COLUMN(), 4, TRUE, "Export-dataset")) / INDIRECT(ADDRESS(ROW(), COLUMN(), 4, TRUE, "Export-dataset")), "" )</f>
        <v>0.90129449838187703</v>
      </c>
      <c r="D39" s="6" cm="1">
        <f t="array" aca="1" ref="D39" ca="1">IFERROR( INDIRECT(ADDRESS(ROW()+1, COLUMN(), 4, TRUE, "Export-dataset")) / INDIRECT(ADDRESS(ROW(), COLUMN(), 4, TRUE, "Export-dataset")), "" )</f>
        <v>1.201202382290145</v>
      </c>
      <c r="E39" s="6" cm="1">
        <f t="array" aca="1" ref="E39" ca="1">IFERROR( INDIRECT(ADDRESS(ROW()+1, COLUMN(), 4, TRUE, "Export-dataset")) / INDIRECT(ADDRESS(ROW(), COLUMN(), 4, TRUE, "Export-dataset")), "" )</f>
        <v>1.1456666666666666</v>
      </c>
      <c r="F39" s="6" cm="1">
        <f t="array" aca="1" ref="F39" ca="1">IFERROR( INDIRECT(ADDRESS(ROW()+1, COLUMN(), 4, TRUE, "Export-dataset")) / INDIRECT(ADDRESS(ROW(), COLUMN(), 4, TRUE, "Export-dataset")), "" )</f>
        <v>0.91158989598811291</v>
      </c>
      <c r="G39" s="6" cm="1">
        <f t="array" aca="1" ref="G39" ca="1">IFERROR( INDIRECT(ADDRESS(ROW()+1, COLUMN(), 4, TRUE, "Export-dataset")) / INDIRECT(ADDRESS(ROW(), COLUMN(), 4, TRUE, "Export-dataset")), "" )</f>
        <v>0.6667636222610045</v>
      </c>
      <c r="H39" s="6" cm="1">
        <f t="array" aca="1" ref="H39" ca="1">IFERROR( INDIRECT(ADDRESS(ROW()+1, COLUMN(), 4, TRUE, "Export-dataset")) / INDIRECT(ADDRESS(ROW(), COLUMN(), 4, TRUE, "Export-dataset")), "" )</f>
        <v>1.2098115769818367</v>
      </c>
      <c r="I39" s="6" cm="1">
        <f t="array" aca="1" ref="I39" ca="1">IFERROR( INDIRECT(ADDRESS(ROW()+1, COLUMN(), 4, TRUE, "Export-dataset")) / INDIRECT(ADDRESS(ROW(), COLUMN(), 4, TRUE, "Export-dataset")), "" )</f>
        <v>1.0067340067340067</v>
      </c>
      <c r="J39" s="6" cm="1">
        <f t="array" aca="1" ref="J39" ca="1">IFERROR( INDIRECT(ADDRESS(ROW()+1, COLUMN(), 4, TRUE, "Export-dataset")) / INDIRECT(ADDRESS(ROW(), COLUMN(), 4, TRUE, "Export-dataset")), "" )</f>
        <v>1.0785854616895874</v>
      </c>
      <c r="K39" s="6" cm="1">
        <f t="array" aca="1" ref="K39" ca="1">IFERROR( INDIRECT(ADDRESS(ROW()+1, COLUMN(), 4, TRUE, "Export-dataset")) / INDIRECT(ADDRESS(ROW(), COLUMN(), 4, TRUE, "Export-dataset")), "" )</f>
        <v>0.90846286701208978</v>
      </c>
      <c r="L39" s="6" cm="1">
        <f t="array" aca="1" ref="L39" ca="1">IFERROR( INDIRECT(ADDRESS(ROW()+1, COLUMN(), 4, TRUE, "Export-dataset")) / INDIRECT(ADDRESS(ROW(), COLUMN(), 4, TRUE, "Export-dataset")), "" )</f>
        <v>0.97536732929991354</v>
      </c>
      <c r="M39" s="6" cm="1">
        <f t="array" aca="1" ref="M39" ca="1">IFERROR( INDIRECT(ADDRESS(ROW()+1, COLUMN(), 4, TRUE, "Export-dataset")) / INDIRECT(ADDRESS(ROW(), COLUMN(), 4, TRUE, "Export-dataset")), "" )</f>
        <v>1.250784929356358</v>
      </c>
      <c r="N39" s="6" cm="1">
        <f t="array" aca="1" ref="N39" ca="1">IFERROR( INDIRECT(ADDRESS(ROW()+1, COLUMN(), 4, TRUE, "Export-dataset")) / INDIRECT(ADDRESS(ROW(), COLUMN(), 4, TRUE, "Export-dataset")), "" )</f>
        <v>1.2547543581616483</v>
      </c>
      <c r="O39" s="6" cm="1">
        <f t="array" aca="1" ref="O39" ca="1">IFERROR( INDIRECT(ADDRESS(ROW()+1, COLUMN(), 4, TRUE, "Export-dataset")) / INDIRECT(ADDRESS(ROW(), COLUMN(), 4, TRUE, "Export-dataset")), "" )</f>
        <v>0.83333333333333337</v>
      </c>
      <c r="P39" s="6" cm="1">
        <f t="array" aca="1" ref="P39" ca="1">IFERROR( INDIRECT(ADDRESS(ROW()+1, COLUMN(), 4, TRUE, "Export-dataset")) / INDIRECT(ADDRESS(ROW(), COLUMN(), 4, TRUE, "Export-dataset")), "" )</f>
        <v>0.88468720591640759</v>
      </c>
      <c r="Q39" s="6" cm="1">
        <f t="array" aca="1" ref="Q39" ca="1">IFERROR( INDIRECT(ADDRESS(ROW()+1, COLUMN(), 4, TRUE, "Export-dataset")) / INDIRECT(ADDRESS(ROW(), COLUMN(), 4, TRUE, "Export-dataset")), "" )</f>
        <v>1.1840354767184036</v>
      </c>
      <c r="R39" s="6" cm="1">
        <f t="array" aca="1" ref="R39" ca="1">IFERROR( INDIRECT(ADDRESS(ROW()+1, COLUMN(), 4, TRUE, "Export-dataset")) / INDIRECT(ADDRESS(ROW(), COLUMN(), 4, TRUE, "Export-dataset")), "" )</f>
        <v>0.90795206971677556</v>
      </c>
      <c r="S39" s="6" cm="1">
        <f t="array" aca="1" ref="S39" ca="1">IFERROR( INDIRECT(ADDRESS(ROW()+1, COLUMN(), 4, TRUE, "Export-dataset")) / INDIRECT(ADDRESS(ROW(), COLUMN(), 4, TRUE, "Export-dataset")), "" )</f>
        <v>1.4285714285714286</v>
      </c>
      <c r="T39" s="6" cm="1">
        <f t="array" aca="1" ref="T39" ca="1">IFERROR( INDIRECT(ADDRESS(ROW()+1, COLUMN(), 4, TRUE, "Export-dataset")) / INDIRECT(ADDRESS(ROW(), COLUMN(), 4, TRUE, "Export-dataset")), "" )</f>
        <v>1</v>
      </c>
      <c r="U39" s="6" cm="1">
        <f t="array" aca="1" ref="U39" ca="1">IFERROR( INDIRECT(ADDRESS(ROW()+1, COLUMN(), 4, TRUE, "Export-dataset")) / INDIRECT(ADDRESS(ROW(), COLUMN(), 4, TRUE, "Export-dataset")), "" )</f>
        <v>1.1970443349753694</v>
      </c>
      <c r="V39" s="6" cm="1">
        <f t="array" aca="1" ref="V39" ca="1">IFERROR( INDIRECT(ADDRESS(ROW()+1, COLUMN(), 4, TRUE, "Export-dataset")) / INDIRECT(ADDRESS(ROW(), COLUMN(), 4, TRUE, "Export-dataset")), "" )</f>
        <v>0.8776832725799919</v>
      </c>
      <c r="W39" s="6" cm="1">
        <f t="array" aca="1" ref="W39" ca="1">IFERROR( INDIRECT(ADDRESS(ROW()+1, COLUMN(), 4, TRUE, "Export-dataset")) / INDIRECT(ADDRESS(ROW(), COLUMN(), 4, TRUE, "Export-dataset")), "" )</f>
        <v>0.27063762791918133</v>
      </c>
      <c r="X39" s="6" cm="1">
        <f t="array" aca="1" ref="X39" ca="1">IFERROR( INDIRECT(ADDRESS(ROW()+1, COLUMN(), 4, TRUE, "Export-dataset")) / INDIRECT(ADDRESS(ROW(), COLUMN(), 4, TRUE, "Export-dataset")), "" )</f>
        <v>0.9511896483063188</v>
      </c>
      <c r="Y39" s="6" cm="1">
        <f t="array" aca="1" ref="Y39" ca="1">IFERROR( INDIRECT(ADDRESS(ROW()+1, COLUMN(), 4, TRUE, "Export-dataset")) / INDIRECT(ADDRESS(ROW(), COLUMN(), 4, TRUE, "Export-dataset")), "" )</f>
        <v>0.98</v>
      </c>
      <c r="Z39" s="6" cm="1">
        <f t="array" aca="1" ref="Z39" ca="1">IFERROR( INDIRECT(ADDRESS(ROW()+1, COLUMN(), 4, TRUE, "Export-dataset")) / INDIRECT(ADDRESS(ROW(), COLUMN(), 4, TRUE, "Export-dataset")), "" )</f>
        <v>0.87666518366240687</v>
      </c>
      <c r="AA39" s="6" cm="1">
        <f t="array" aca="1" ref="AA39" ca="1">IFERROR( INDIRECT(ADDRESS(ROW()+1, COLUMN(), 4, TRUE, "Export-dataset")) / INDIRECT(ADDRESS(ROW(), COLUMN(), 4, TRUE, "Export-dataset")), "" )</f>
        <v>0.83209298274477161</v>
      </c>
      <c r="AB39" s="6" cm="1">
        <f t="array" aca="1" ref="AB39" ca="1">IFERROR( INDIRECT(ADDRESS(ROW()+1, COLUMN(), 4, TRUE, "Export-dataset")) / INDIRECT(ADDRESS(ROW(), COLUMN(), 4, TRUE, "Export-dataset")), "" )</f>
        <v>0.99828680203045683</v>
      </c>
      <c r="AC39" s="6" cm="1">
        <f t="array" aca="1" ref="AC39" ca="1">IFERROR( INDIRECT(ADDRESS(ROW()+1, COLUMN(), 4, TRUE, "Export-dataset")) / INDIRECT(ADDRESS(ROW(), COLUMN(), 4, TRUE, "Export-dataset")), "" )</f>
        <v>0.91187087998325833</v>
      </c>
      <c r="AD39" s="6" cm="1">
        <f t="array" aca="1" ref="AD39" ca="1">IFERROR( INDIRECT(ADDRESS(ROW()+1, COLUMN(), 4, TRUE, "Export-dataset")) / INDIRECT(ADDRESS(ROW(), COLUMN(), 4, TRUE, "Export-dataset")), "" )</f>
        <v>0.87010565568676201</v>
      </c>
      <c r="AE39" s="6" cm="1">
        <f t="array" aca="1" ref="AE39" ca="1">IFERROR( INDIRECT(ADDRESS(ROW()+1, COLUMN(), 4, TRUE, "Export-dataset")) / INDIRECT(ADDRESS(ROW(), COLUMN(), 4, TRUE, "Export-dataset")), "" )</f>
        <v>0.82241215574548909</v>
      </c>
      <c r="AF39" s="6" cm="1">
        <f t="array" aca="1" ref="AF39" ca="1">IFERROR( INDIRECT(ADDRESS(ROW()+1, COLUMN(), 4, TRUE, "Export-dataset")) / INDIRECT(ADDRESS(ROW(), COLUMN(), 4, TRUE, "Export-dataset")), "" )</f>
        <v>0.99285714285714288</v>
      </c>
      <c r="AG39" s="6" cm="1">
        <f t="array" aca="1" ref="AG39" ca="1">IFERROR( INDIRECT(ADDRESS(ROW()+1, COLUMN(), 4, TRUE, "Export-dataset")) / INDIRECT(ADDRESS(ROW(), COLUMN(), 4, TRUE, "Export-dataset")), "" )</f>
        <v>0.86764705882352944</v>
      </c>
      <c r="AH39" s="6" cm="1">
        <f t="array" aca="1" ref="AH39" ca="1">IFERROR( INDIRECT(ADDRESS(ROW()+1, COLUMN(), 4, TRUE, "Export-dataset")) / INDIRECT(ADDRESS(ROW(), COLUMN(), 4, TRUE, "Export-dataset")), "" )</f>
        <v>1.0700975269940787</v>
      </c>
      <c r="AI39" s="6" cm="1">
        <f t="array" aca="1" ref="AI39" ca="1">IFERROR( INDIRECT(ADDRESS(ROW()+1, COLUMN(), 4, TRUE, "Export-dataset")) / INDIRECT(ADDRESS(ROW(), COLUMN(), 4, TRUE, "Export-dataset")), "" )</f>
        <v>0.97285067873303166</v>
      </c>
      <c r="AJ39" s="6" cm="1">
        <f t="array" aca="1" ref="AJ39" ca="1">IFERROR( INDIRECT(ADDRESS(ROW()+1, COLUMN(), 4, TRUE, "Export-dataset")) / INDIRECT(ADDRESS(ROW(), COLUMN(), 4, TRUE, "Export-dataset")), "" )</f>
        <v>0.75</v>
      </c>
      <c r="AK39" s="6" cm="1">
        <f t="array" aca="1" ref="AK39" ca="1">IFERROR( INDIRECT(ADDRESS(ROW()+1, COLUMN(), 4, TRUE, "Export-dataset")) / INDIRECT(ADDRESS(ROW(), COLUMN(), 4, TRUE, "Export-dataset")), "" )</f>
        <v>1.2641304347826088</v>
      </c>
      <c r="AL39" s="6" cm="1">
        <f t="array" aca="1" ref="AL39" ca="1">IFERROR( INDIRECT(ADDRESS(ROW()+1, COLUMN(), 4, TRUE, "Export-dataset")) / INDIRECT(ADDRESS(ROW(), COLUMN(), 4, TRUE, "Export-dataset")), "" )</f>
        <v>1.1333613798906184</v>
      </c>
      <c r="AM39" s="6" cm="1">
        <f t="array" aca="1" ref="AM39" ca="1">IFERROR( INDIRECT(ADDRESS(ROW()+1, COLUMN(), 4, TRUE, "Export-dataset")) / INDIRECT(ADDRESS(ROW(), COLUMN(), 4, TRUE, "Export-dataset")), "" )</f>
        <v>1.0136417556346382</v>
      </c>
      <c r="AN39" s="6" cm="1">
        <f t="array" aca="1" ref="AN39" ca="1">IFERROR( INDIRECT(ADDRESS(ROW()+1, COLUMN(), 4, TRUE, "Export-dataset")) / INDIRECT(ADDRESS(ROW(), COLUMN(), 4, TRUE, "Export-dataset")), "" )</f>
        <v>1.2928994082840237</v>
      </c>
      <c r="AO39" s="6" cm="1">
        <f t="array" aca="1" ref="AO39" ca="1">IFERROR( INDIRECT(ADDRESS(ROW()+1, COLUMN(), 4, TRUE, "Export-dataset")) / INDIRECT(ADDRESS(ROW(), COLUMN(), 4, TRUE, "Export-dataset")), "" )</f>
        <v>1.0649819494584838</v>
      </c>
      <c r="AP39" s="6" cm="1">
        <f t="array" aca="1" ref="AP39" ca="1">IFERROR( INDIRECT(ADDRESS(ROW()+1, COLUMN(), 4, TRUE, "Export-dataset")) / INDIRECT(ADDRESS(ROW(), COLUMN(), 4, TRUE, "Export-dataset")), "" )</f>
        <v>1.07012987012987</v>
      </c>
      <c r="AQ39" s="6" cm="1">
        <f t="array" aca="1" ref="AQ39" ca="1">IFERROR( INDIRECT(ADDRESS(ROW()+1, COLUMN(), 4, TRUE, "Export-dataset")) / INDIRECT(ADDRESS(ROW(), COLUMN(), 4, TRUE, "Export-dataset")), "" )</f>
        <v>1.0493000608642726</v>
      </c>
      <c r="AR39" s="6" cm="1">
        <f t="array" aca="1" ref="AR39" ca="1">IFERROR( INDIRECT(ADDRESS(ROW()+1, COLUMN(), 4, TRUE, "Export-dataset")) / INDIRECT(ADDRESS(ROW(), COLUMN(), 4, TRUE, "Export-dataset")), "" )</f>
        <v>1.0620963992354187</v>
      </c>
      <c r="AS39" s="6" cm="1">
        <f t="array" aca="1" ref="AS39" ca="1">IFERROR( INDIRECT(ADDRESS(ROW()+1, COLUMN(), 4, TRUE, "Export-dataset")) / INDIRECT(ADDRESS(ROW(), COLUMN(), 4, TRUE, "Export-dataset")), "" )</f>
        <v>1.0275229357798166</v>
      </c>
      <c r="AT39" s="6" cm="1">
        <f t="array" aca="1" ref="AT39" ca="1">IFERROR( INDIRECT(ADDRESS(ROW()+1, COLUMN(), 4, TRUE, "Export-dataset")) / INDIRECT(ADDRESS(ROW(), COLUMN(), 4, TRUE, "Export-dataset")), "" )</f>
        <v>0.83879093198992438</v>
      </c>
      <c r="AU39" s="6" cm="1">
        <f t="array" aca="1" ref="AU39" ca="1">IFERROR( INDIRECT(ADDRESS(ROW()+1, COLUMN(), 4, TRUE, "Export-dataset")) / INDIRECT(ADDRESS(ROW(), COLUMN(), 4, TRUE, "Export-dataset")), "" )</f>
        <v>1</v>
      </c>
      <c r="AV39" s="6" cm="1">
        <f t="array" aca="1" ref="AV39" ca="1">IFERROR( INDIRECT(ADDRESS(ROW()+1, COLUMN(), 4, TRUE, "Export-dataset")) / INDIRECT(ADDRESS(ROW(), COLUMN(), 4, TRUE, "Export-dataset")), "" )</f>
        <v>1.0067567567567568</v>
      </c>
      <c r="AW39" s="6" cm="1">
        <f t="array" aca="1" ref="AW39" ca="1">IFERROR( INDIRECT(ADDRESS(ROW()+1, COLUMN(), 4, TRUE, "Export-dataset")) / INDIRECT(ADDRESS(ROW(), COLUMN(), 4, TRUE, "Export-dataset")), "" )</f>
        <v>1.0769230769230769</v>
      </c>
      <c r="AX39" s="6" cm="1">
        <f t="array" aca="1" ref="AX39" ca="1">IFERROR( INDIRECT(ADDRESS(ROW()+1, COLUMN(), 4, TRUE, "Export-dataset")) / INDIRECT(ADDRESS(ROW(), COLUMN(), 4, TRUE, "Export-dataset")), "" )</f>
        <v>0.69203747072599531</v>
      </c>
      <c r="AY39" s="6" cm="1">
        <f t="array" aca="1" ref="AY39" ca="1">IFERROR( INDIRECT(ADDRESS(ROW()+1, COLUMN(), 4, TRUE, "Export-dataset")) / INDIRECT(ADDRESS(ROW(), COLUMN(), 4, TRUE, "Export-dataset")), "" )</f>
        <v>1.0573248407643312</v>
      </c>
      <c r="AZ39" s="6" cm="1">
        <f t="array" aca="1" ref="AZ39" ca="1">IFERROR( INDIRECT(ADDRESS(ROW()+1, COLUMN(), 4, TRUE, "Export-dataset")) / INDIRECT(ADDRESS(ROW(), COLUMN(), 4, TRUE, "Export-dataset")), "" )</f>
        <v>1.0992831541218637</v>
      </c>
      <c r="BA39" s="6" cm="1">
        <f t="array" aca="1" ref="BA39" ca="1">IFERROR( INDIRECT(ADDRESS(ROW()+1, COLUMN(), 4, TRUE, "Export-dataset")) / INDIRECT(ADDRESS(ROW(), COLUMN(), 4, TRUE, "Export-dataset")), "" )</f>
        <v>1.0249653259361997</v>
      </c>
      <c r="BB39" s="6" cm="1">
        <f t="array" aca="1" ref="BB39" ca="1">IFERROR( INDIRECT(ADDRESS(ROW()+1, COLUMN(), 4, TRUE, "Export-dataset")) / INDIRECT(ADDRESS(ROW(), COLUMN(), 4, TRUE, "Export-dataset")), "" )</f>
        <v>1.1045474091593206</v>
      </c>
      <c r="BC39" s="6" cm="1">
        <f t="array" aca="1" ref="BC39" ca="1">IFERROR( INDIRECT(ADDRESS(ROW()+1, COLUMN(), 4, TRUE, "Export-dataset")) / INDIRECT(ADDRESS(ROW(), COLUMN(), 4, TRUE, "Export-dataset")), "" )</f>
        <v>1.0590943975441289</v>
      </c>
      <c r="BD39" s="6" cm="1">
        <f t="array" aca="1" ref="BD39" ca="1">IFERROR( INDIRECT(ADDRESS(ROW()+1, COLUMN(), 4, TRUE, "Export-dataset")) / INDIRECT(ADDRESS(ROW(), COLUMN(), 4, TRUE, "Export-dataset")), "" )</f>
        <v>1.1145291055371509</v>
      </c>
      <c r="BE39" s="6" cm="1">
        <f t="array" aca="1" ref="BE39" ca="1">IFERROR( INDIRECT(ADDRESS(ROW()+1, COLUMN(), 4, TRUE, "Export-dataset")) / INDIRECT(ADDRESS(ROW(), COLUMN(), 4, TRUE, "Export-dataset")), "" )</f>
        <v>1.0551470588235294</v>
      </c>
      <c r="BF39" s="6" cm="1">
        <f t="array" aca="1" ref="BF39" ca="1">IFERROR( INDIRECT(ADDRESS(ROW()+1, COLUMN(), 4, TRUE, "Export-dataset")) / INDIRECT(ADDRESS(ROW(), COLUMN(), 4, TRUE, "Export-dataset")), "" )</f>
        <v>1.0275952693823915</v>
      </c>
      <c r="BG39" s="6" cm="1">
        <f t="array" aca="1" ref="BG39" ca="1">IFERROR( INDIRECT(ADDRESS(ROW()+1, COLUMN(), 4, TRUE, "Export-dataset")) / INDIRECT(ADDRESS(ROW(), COLUMN(), 4, TRUE, "Export-dataset")), "" )</f>
        <v>1.0624580255204836</v>
      </c>
      <c r="BH39" s="6" cm="1">
        <f t="array" aca="1" ref="BH39" ca="1">IFERROR( INDIRECT(ADDRESS(ROW()+1, COLUMN(), 4, TRUE, "Export-dataset")) / INDIRECT(ADDRESS(ROW(), COLUMN(), 4, TRUE, "Export-dataset")), "" )</f>
        <v>1.093761673515129</v>
      </c>
      <c r="BI39" s="6" cm="1">
        <f t="array" aca="1" ref="BI39" ca="1">IFERROR( INDIRECT(ADDRESS(ROW()+1, COLUMN(), 4, TRUE, "Export-dataset")) / INDIRECT(ADDRESS(ROW(), COLUMN(), 4, TRUE, "Export-dataset")), "" )</f>
        <v>1.0944482058226135</v>
      </c>
      <c r="BJ39" s="6" cm="1">
        <f t="array" aca="1" ref="BJ39" ca="1">IFERROR( INDIRECT(ADDRESS(ROW()+1, COLUMN(), 4, TRUE, "Export-dataset")) / INDIRECT(ADDRESS(ROW(), COLUMN(), 4, TRUE, "Export-dataset")), "" )</f>
        <v>1.0463302752293577</v>
      </c>
      <c r="BK39" s="6" cm="1">
        <f t="array" aca="1" ref="BK39" ca="1">IFERROR( INDIRECT(ADDRESS(ROW()+1, COLUMN(), 4, TRUE, "Export-dataset")) / INDIRECT(ADDRESS(ROW(), COLUMN(), 4, TRUE, "Export-dataset")), "" )</f>
        <v>1.3135198135198136</v>
      </c>
      <c r="BL39" s="6" cm="1">
        <f t="array" aca="1" ref="BL39" ca="1">IFERROR( INDIRECT(ADDRESS(ROW()+1, COLUMN(), 4, TRUE, "Export-dataset")) / INDIRECT(ADDRESS(ROW(), COLUMN(), 4, TRUE, "Export-dataset")), "" )</f>
        <v>1.0459256441951126</v>
      </c>
      <c r="BM39" s="6" cm="1">
        <f t="array" aca="1" ref="BM39" ca="1">IFERROR( INDIRECT(ADDRESS(ROW()+1, COLUMN(), 4, TRUE, "Export-dataset")) / INDIRECT(ADDRESS(ROW(), COLUMN(), 4, TRUE, "Export-dataset")), "" )</f>
        <v>1.1352941176470588</v>
      </c>
      <c r="BN39" s="6" cm="1">
        <f t="array" aca="1" ref="BN39" ca="1">IFERROR( INDIRECT(ADDRESS(ROW()+1, COLUMN(), 4, TRUE, "Export-dataset")) / INDIRECT(ADDRESS(ROW(), COLUMN(), 4, TRUE, "Export-dataset")), "" )</f>
        <v>0.9042553191489362</v>
      </c>
      <c r="BO39" s="6" cm="1">
        <f t="array" aca="1" ref="BO39" ca="1">IFERROR( INDIRECT(ADDRESS(ROW()+1, COLUMN(), 4, TRUE, "Export-dataset")) / INDIRECT(ADDRESS(ROW(), COLUMN(), 4, TRUE, "Export-dataset")), "" )</f>
        <v>0.94680851063829785</v>
      </c>
      <c r="BP39" s="6" cm="1">
        <f t="array" aca="1" ref="BP39" ca="1">IFERROR( INDIRECT(ADDRESS(ROW()+1, COLUMN(), 4, TRUE, "Export-dataset")) / INDIRECT(ADDRESS(ROW(), COLUMN(), 4, TRUE, "Export-dataset")), "" )</f>
        <v>1.0963172804532577</v>
      </c>
      <c r="BQ39" s="6" cm="1">
        <f t="array" aca="1" ref="BQ39" ca="1">IFERROR( INDIRECT(ADDRESS(ROW()+1, COLUMN(), 4, TRUE, "Export-dataset")) / INDIRECT(ADDRESS(ROW(), COLUMN(), 4, TRUE, "Export-dataset")), "" )</f>
        <v>1.0552486187845305</v>
      </c>
      <c r="BR39" s="6" cm="1">
        <f t="array" aca="1" ref="BR39" ca="1">IFERROR( INDIRECT(ADDRESS(ROW()+1, COLUMN(), 4, TRUE, "Export-dataset")) / INDIRECT(ADDRESS(ROW(), COLUMN(), 4, TRUE, "Export-dataset")), "" )</f>
        <v>0.83904742352699646</v>
      </c>
      <c r="BS39" s="6" cm="1">
        <f t="array" aca="1" ref="BS39" ca="1">IFERROR( INDIRECT(ADDRESS(ROW()+1, COLUMN(), 4, TRUE, "Export-dataset")) / INDIRECT(ADDRESS(ROW(), COLUMN(), 4, TRUE, "Export-dataset")), "" )</f>
        <v>1.0607638888888888</v>
      </c>
      <c r="BT39" s="6" cm="1">
        <f t="array" aca="1" ref="BT39" ca="1">IFERROR( INDIRECT(ADDRESS(ROW()+1, COLUMN(), 4, TRUE, "Export-dataset")) / INDIRECT(ADDRESS(ROW(), COLUMN(), 4, TRUE, "Export-dataset")), "" )</f>
        <v>1.3187568756875687</v>
      </c>
      <c r="BU39" s="6" cm="1">
        <f t="array" aca="1" ref="BU39" ca="1">IFERROR( INDIRECT(ADDRESS(ROW()+1, COLUMN(), 4, TRUE, "Export-dataset")) / INDIRECT(ADDRESS(ROW(), COLUMN(), 4, TRUE, "Export-dataset")), "" )</f>
        <v>1.0949887264528329</v>
      </c>
      <c r="BV39" s="6" cm="1">
        <f t="array" aca="1" ref="BV39" ca="1">IFERROR( INDIRECT(ADDRESS(ROW()+1, COLUMN(), 4, TRUE, "Export-dataset")) / INDIRECT(ADDRESS(ROW(), COLUMN(), 4, TRUE, "Export-dataset")), "" )</f>
        <v>0.92483660130718959</v>
      </c>
      <c r="BW39" s="6" cm="1">
        <f t="array" aca="1" ref="BW39" ca="1">IFERROR( INDIRECT(ADDRESS(ROW()+1, COLUMN(), 4, TRUE, "Export-dataset")) / INDIRECT(ADDRESS(ROW(), COLUMN(), 4, TRUE, "Export-dataset")), "" )</f>
        <v>0.6663351566384883</v>
      </c>
      <c r="BX39" s="6" cm="1">
        <f t="array" aca="1" ref="BX39" ca="1">IFERROR( INDIRECT(ADDRESS(ROW()+1, COLUMN(), 4, TRUE, "Export-dataset")) / INDIRECT(ADDRESS(ROW(), COLUMN(), 4, TRUE, "Export-dataset")), "" )</f>
        <v>2.0909090909090908</v>
      </c>
      <c r="BY39" s="6" cm="1">
        <f t="array" aca="1" ref="BY39" ca="1">IFERROR( INDIRECT(ADDRESS(ROW()+1, COLUMN(), 4, TRUE, "Export-dataset")) / INDIRECT(ADDRESS(ROW(), COLUMN(), 4, TRUE, "Export-dataset")), "" )</f>
        <v>1.2592762415349887</v>
      </c>
      <c r="BZ39" s="6" cm="1">
        <f t="array" aca="1" ref="BZ39" ca="1">IFERROR( INDIRECT(ADDRESS(ROW()+1, COLUMN(), 4, TRUE, "Export-dataset")) / INDIRECT(ADDRESS(ROW(), COLUMN(), 4, TRUE, "Export-dataset")), "" )</f>
        <v>0.73452276494101587</v>
      </c>
      <c r="CA39" s="6" cm="1">
        <f t="array" aca="1" ref="CA39" ca="1">IFERROR( INDIRECT(ADDRESS(ROW()+1, COLUMN(), 4, TRUE, "Export-dataset")) / INDIRECT(ADDRESS(ROW(), COLUMN(), 4, TRUE, "Export-dataset")), "" )</f>
        <v>0.92702412897428144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4688-D885-4E6D-A452-E9D67C52B628}">
  <dimension ref="A1:CA39"/>
  <sheetViews>
    <sheetView workbookViewId="0">
      <selection activeCell="A4" sqref="A4:CA39"/>
    </sheetView>
  </sheetViews>
  <sheetFormatPr defaultRowHeight="15"/>
  <cols>
    <col min="1" max="78" width="9.140625" style="6"/>
    <col min="79" max="79" width="9.140625" style="6" customWidth="1"/>
  </cols>
  <sheetData>
    <row r="1" spans="1:79">
      <c r="A1" s="8" t="s">
        <v>196</v>
      </c>
      <c r="B1" s="8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8" t="s">
        <v>12</v>
      </c>
      <c r="N1" s="6" t="s">
        <v>13</v>
      </c>
      <c r="O1" s="6" t="s">
        <v>14</v>
      </c>
      <c r="P1" s="8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8" t="s">
        <v>25</v>
      </c>
      <c r="AA1" s="6" t="s">
        <v>26</v>
      </c>
      <c r="AB1" s="6" t="s">
        <v>27</v>
      </c>
      <c r="AC1" s="6" t="s">
        <v>28</v>
      </c>
      <c r="AD1" s="8" t="s">
        <v>29</v>
      </c>
      <c r="AE1" s="6" t="s">
        <v>30</v>
      </c>
      <c r="AF1" s="6" t="s">
        <v>31</v>
      </c>
      <c r="AG1" s="6" t="s">
        <v>32</v>
      </c>
      <c r="AH1" s="8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8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8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8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8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8" t="s">
        <v>78</v>
      </c>
    </row>
    <row r="2" spans="1:79">
      <c r="A2" s="6" t="s">
        <v>79</v>
      </c>
      <c r="B2" s="6" t="s">
        <v>80</v>
      </c>
      <c r="C2" s="6" t="s">
        <v>80</v>
      </c>
      <c r="D2" s="6" t="s">
        <v>80</v>
      </c>
      <c r="E2" s="6" t="s">
        <v>80</v>
      </c>
      <c r="F2" s="6" t="s">
        <v>80</v>
      </c>
      <c r="G2" s="6" t="s">
        <v>80</v>
      </c>
      <c r="H2" s="6" t="s">
        <v>80</v>
      </c>
      <c r="I2" s="6" t="s">
        <v>80</v>
      </c>
      <c r="J2" s="6" t="s">
        <v>80</v>
      </c>
      <c r="K2" s="6" t="s">
        <v>80</v>
      </c>
      <c r="L2" s="6" t="s">
        <v>80</v>
      </c>
      <c r="M2" s="6" t="s">
        <v>80</v>
      </c>
      <c r="N2" s="6" t="s">
        <v>80</v>
      </c>
      <c r="O2" s="6" t="s">
        <v>80</v>
      </c>
      <c r="P2" s="6" t="s">
        <v>80</v>
      </c>
      <c r="Q2" s="6" t="s">
        <v>80</v>
      </c>
      <c r="R2" s="6" t="s">
        <v>80</v>
      </c>
      <c r="S2" s="6" t="s">
        <v>80</v>
      </c>
      <c r="T2" s="6" t="s">
        <v>80</v>
      </c>
      <c r="U2" s="6" t="s">
        <v>80</v>
      </c>
      <c r="V2" s="6" t="s">
        <v>80</v>
      </c>
      <c r="W2" s="6" t="s">
        <v>80</v>
      </c>
      <c r="X2" s="6" t="s">
        <v>80</v>
      </c>
      <c r="Y2" s="6" t="s">
        <v>80</v>
      </c>
      <c r="Z2" s="6" t="s">
        <v>80</v>
      </c>
      <c r="AA2" s="6" t="s">
        <v>80</v>
      </c>
      <c r="AB2" s="6" t="s">
        <v>80</v>
      </c>
      <c r="AC2" s="6" t="s">
        <v>80</v>
      </c>
      <c r="AD2" s="6" t="s">
        <v>80</v>
      </c>
      <c r="AE2" s="6" t="s">
        <v>80</v>
      </c>
      <c r="AF2" s="6" t="s">
        <v>80</v>
      </c>
      <c r="AG2" s="6" t="s">
        <v>80</v>
      </c>
      <c r="AH2" s="6" t="s">
        <v>80</v>
      </c>
      <c r="AI2" s="6" t="s">
        <v>80</v>
      </c>
      <c r="AJ2" s="6" t="s">
        <v>80</v>
      </c>
      <c r="AK2" s="6" t="s">
        <v>80</v>
      </c>
      <c r="AL2" s="6" t="s">
        <v>80</v>
      </c>
      <c r="AM2" s="6" t="s">
        <v>80</v>
      </c>
      <c r="AN2" s="6" t="s">
        <v>80</v>
      </c>
      <c r="AO2" s="6" t="s">
        <v>80</v>
      </c>
      <c r="AP2" s="6" t="s">
        <v>80</v>
      </c>
      <c r="AQ2" s="6" t="s">
        <v>80</v>
      </c>
      <c r="AR2" s="6" t="s">
        <v>80</v>
      </c>
      <c r="AS2" s="6" t="s">
        <v>80</v>
      </c>
      <c r="AT2" s="6" t="s">
        <v>80</v>
      </c>
      <c r="AU2" s="6" t="s">
        <v>80</v>
      </c>
      <c r="AV2" s="6" t="s">
        <v>80</v>
      </c>
      <c r="AW2" s="6" t="s">
        <v>80</v>
      </c>
      <c r="AX2" s="6" t="s">
        <v>80</v>
      </c>
      <c r="AY2" s="6" t="s">
        <v>80</v>
      </c>
      <c r="AZ2" s="6" t="s">
        <v>80</v>
      </c>
      <c r="BA2" s="6" t="s">
        <v>80</v>
      </c>
      <c r="BB2" s="6" t="s">
        <v>80</v>
      </c>
      <c r="BC2" s="6" t="s">
        <v>80</v>
      </c>
      <c r="BD2" s="6" t="s">
        <v>80</v>
      </c>
      <c r="BE2" s="6" t="s">
        <v>80</v>
      </c>
      <c r="BF2" s="6" t="s">
        <v>80</v>
      </c>
      <c r="BG2" s="6" t="s">
        <v>80</v>
      </c>
      <c r="BH2" s="6" t="s">
        <v>80</v>
      </c>
      <c r="BI2" s="6" t="s">
        <v>80</v>
      </c>
      <c r="BJ2" s="6" t="s">
        <v>80</v>
      </c>
      <c r="BK2" s="6" t="s">
        <v>80</v>
      </c>
      <c r="BL2" s="6" t="s">
        <v>80</v>
      </c>
      <c r="BM2" s="6" t="s">
        <v>80</v>
      </c>
      <c r="BN2" s="6" t="s">
        <v>80</v>
      </c>
      <c r="BO2" s="6" t="s">
        <v>80</v>
      </c>
      <c r="BP2" s="6" t="s">
        <v>80</v>
      </c>
      <c r="BQ2" s="6" t="s">
        <v>80</v>
      </c>
      <c r="BR2" s="6" t="s">
        <v>80</v>
      </c>
      <c r="BS2" s="6" t="s">
        <v>80</v>
      </c>
      <c r="BT2" s="6" t="s">
        <v>80</v>
      </c>
      <c r="BU2" s="6" t="s">
        <v>80</v>
      </c>
      <c r="BV2" s="6" t="s">
        <v>80</v>
      </c>
      <c r="BW2" s="6" t="s">
        <v>80</v>
      </c>
      <c r="BX2" s="6" t="s">
        <v>80</v>
      </c>
      <c r="BY2" s="6" t="s">
        <v>80</v>
      </c>
      <c r="BZ2" s="6" t="s">
        <v>80</v>
      </c>
      <c r="CA2" s="6" t="s">
        <v>80</v>
      </c>
    </row>
    <row r="3" spans="1:79">
      <c r="A3" s="6" t="s">
        <v>81</v>
      </c>
      <c r="B3" s="6" t="s">
        <v>197</v>
      </c>
      <c r="C3" s="6" t="s">
        <v>198</v>
      </c>
      <c r="D3" s="6" t="s">
        <v>199</v>
      </c>
      <c r="E3" s="6" t="s">
        <v>200</v>
      </c>
      <c r="F3" s="6" t="s">
        <v>201</v>
      </c>
      <c r="G3" s="6" t="s">
        <v>202</v>
      </c>
      <c r="H3" s="6" t="s">
        <v>203</v>
      </c>
      <c r="I3" s="6" t="s">
        <v>204</v>
      </c>
      <c r="J3" s="6" t="s">
        <v>205</v>
      </c>
      <c r="K3" s="6" t="s">
        <v>206</v>
      </c>
      <c r="L3" s="6" t="s">
        <v>207</v>
      </c>
      <c r="M3" s="6" t="s">
        <v>208</v>
      </c>
      <c r="N3" s="6" t="s">
        <v>209</v>
      </c>
      <c r="O3" s="6" t="s">
        <v>210</v>
      </c>
      <c r="P3" s="6" t="s">
        <v>211</v>
      </c>
      <c r="Q3" s="6" t="s">
        <v>212</v>
      </c>
      <c r="R3" s="6" t="s">
        <v>213</v>
      </c>
      <c r="S3" s="6" t="s">
        <v>214</v>
      </c>
      <c r="T3" s="6" t="s">
        <v>215</v>
      </c>
      <c r="U3" s="6" t="s">
        <v>216</v>
      </c>
      <c r="V3" s="6" t="s">
        <v>217</v>
      </c>
      <c r="W3" s="6" t="s">
        <v>218</v>
      </c>
      <c r="X3" s="6" t="s">
        <v>219</v>
      </c>
      <c r="Y3" s="6" t="s">
        <v>220</v>
      </c>
      <c r="Z3" s="6" t="s">
        <v>221</v>
      </c>
      <c r="AA3" s="6" t="s">
        <v>222</v>
      </c>
      <c r="AB3" s="6" t="s">
        <v>223</v>
      </c>
      <c r="AC3" s="6" t="s">
        <v>224</v>
      </c>
      <c r="AD3" s="6" t="s">
        <v>225</v>
      </c>
      <c r="AE3" s="6" t="s">
        <v>226</v>
      </c>
      <c r="AF3" s="6" t="s">
        <v>227</v>
      </c>
      <c r="AG3" s="6" t="s">
        <v>228</v>
      </c>
      <c r="AH3" s="6" t="s">
        <v>229</v>
      </c>
      <c r="AI3" s="6" t="s">
        <v>230</v>
      </c>
      <c r="AJ3" s="6" t="s">
        <v>231</v>
      </c>
      <c r="AK3" s="6" t="s">
        <v>232</v>
      </c>
      <c r="AL3" s="6" t="s">
        <v>233</v>
      </c>
      <c r="AM3" s="6" t="s">
        <v>234</v>
      </c>
      <c r="AN3" s="6" t="s">
        <v>235</v>
      </c>
      <c r="AO3" s="6" t="s">
        <v>236</v>
      </c>
      <c r="AP3" s="6" t="s">
        <v>237</v>
      </c>
      <c r="AQ3" s="6" t="s">
        <v>238</v>
      </c>
      <c r="AR3" s="6" t="s">
        <v>239</v>
      </c>
      <c r="AS3" s="6" t="s">
        <v>240</v>
      </c>
      <c r="AT3" s="6" t="s">
        <v>241</v>
      </c>
      <c r="AU3" s="6" t="s">
        <v>242</v>
      </c>
      <c r="AV3" s="6" t="s">
        <v>243</v>
      </c>
      <c r="AW3" s="6" t="s">
        <v>244</v>
      </c>
      <c r="AX3" s="6" t="s">
        <v>245</v>
      </c>
      <c r="AY3" s="6" t="s">
        <v>246</v>
      </c>
      <c r="AZ3" s="6" t="s">
        <v>247</v>
      </c>
      <c r="BA3" s="6" t="s">
        <v>248</v>
      </c>
      <c r="BB3" s="6" t="s">
        <v>249</v>
      </c>
      <c r="BC3" s="6" t="s">
        <v>250</v>
      </c>
      <c r="BD3" s="6" t="s">
        <v>251</v>
      </c>
      <c r="BE3" s="6" t="s">
        <v>252</v>
      </c>
      <c r="BF3" s="6" t="s">
        <v>253</v>
      </c>
      <c r="BG3" s="6" t="s">
        <v>254</v>
      </c>
      <c r="BH3" s="6" t="s">
        <v>255</v>
      </c>
      <c r="BI3" s="6" t="s">
        <v>256</v>
      </c>
      <c r="BJ3" s="6" t="s">
        <v>257</v>
      </c>
      <c r="BK3" s="6" t="s">
        <v>258</v>
      </c>
      <c r="BL3" s="6" t="s">
        <v>259</v>
      </c>
      <c r="BM3" s="6" t="s">
        <v>260</v>
      </c>
      <c r="BN3" s="6" t="s">
        <v>261</v>
      </c>
      <c r="BO3" s="6" t="s">
        <v>262</v>
      </c>
      <c r="BP3" s="6" t="s">
        <v>263</v>
      </c>
      <c r="BQ3" s="6" t="s">
        <v>264</v>
      </c>
      <c r="BR3" s="6" t="s">
        <v>265</v>
      </c>
      <c r="BS3" s="6" t="s">
        <v>266</v>
      </c>
      <c r="BT3" s="6" t="s">
        <v>267</v>
      </c>
      <c r="BU3" s="6" t="s">
        <v>268</v>
      </c>
      <c r="BV3" s="6" t="s">
        <v>269</v>
      </c>
      <c r="BW3" s="6" t="s">
        <v>270</v>
      </c>
      <c r="BX3" s="6" t="s">
        <v>271</v>
      </c>
      <c r="BY3" s="6" t="s">
        <v>272</v>
      </c>
      <c r="BZ3" s="6" t="s">
        <v>273</v>
      </c>
      <c r="CA3" s="6" t="s">
        <v>274</v>
      </c>
    </row>
    <row r="4" spans="1:79">
      <c r="A4" s="6" t="s">
        <v>161</v>
      </c>
      <c r="B4" s="6" cm="1">
        <f t="array" aca="1" ref="B4" ca="1">IFERROR( INDIRECT(ADDRESS(ROW()+1, COLUMN(), 4, TRUE, "Import-dataset")) / INDIRECT(ADDRESS(ROW(), COLUMN(), 4, TRUE, "Import-dataset")), "" )</f>
        <v>1.1427725118483412</v>
      </c>
      <c r="C4" s="6" cm="1">
        <f t="array" aca="1" ref="C4" ca="1">IFERROR( INDIRECT(ADDRESS(ROW()+1, COLUMN(), 4, TRUE, "Import-dataset")) / INDIRECT(ADDRESS(ROW(), COLUMN(), 4, TRUE, "Import-dataset")), "" )</f>
        <v>0.98051948051948057</v>
      </c>
      <c r="D4" s="6" cm="1">
        <f t="array" aca="1" ref="D4" ca="1">IFERROR( INDIRECT(ADDRESS(ROW()+1, COLUMN(), 4, TRUE, "Import-dataset")) / INDIRECT(ADDRESS(ROW(), COLUMN(), 4, TRUE, "Import-dataset")), "" )</f>
        <v>1.2</v>
      </c>
      <c r="E4" s="6" cm="1">
        <f t="array" aca="1" ref="E4" ca="1">IFERROR( INDIRECT(ADDRESS(ROW()+1, COLUMN(), 4, TRUE, "Import-dataset")) / INDIRECT(ADDRESS(ROW(), COLUMN(), 4, TRUE, "Import-dataset")), "" )</f>
        <v>1.0666666666666667</v>
      </c>
      <c r="F4" s="6" cm="1">
        <f t="array" aca="1" ref="F4" ca="1">IFERROR( INDIRECT(ADDRESS(ROW()+1, COLUMN(), 4, TRUE, "Import-dataset")) / INDIRECT(ADDRESS(ROW(), COLUMN(), 4, TRUE, "Import-dataset")), "" )</f>
        <v>1.0862068965517242</v>
      </c>
      <c r="G4" s="6" cm="1">
        <f t="array" aca="1" ref="G4" ca="1">IFERROR( INDIRECT(ADDRESS(ROW()+1, COLUMN(), 4, TRUE, "Import-dataset")) / INDIRECT(ADDRESS(ROW(), COLUMN(), 4, TRUE, "Import-dataset")), "" )</f>
        <v>1.2463768115942029</v>
      </c>
      <c r="H4" s="6" cm="1">
        <f t="array" aca="1" ref="H4" ca="1">IFERROR( INDIRECT(ADDRESS(ROW()+1, COLUMN(), 4, TRUE, "Import-dataset")) / INDIRECT(ADDRESS(ROW(), COLUMN(), 4, TRUE, "Import-dataset")), "" )</f>
        <v>1.3397435897435896</v>
      </c>
      <c r="I4" s="6" cm="1">
        <f t="array" aca="1" ref="I4" ca="1">IFERROR( INDIRECT(ADDRESS(ROW()+1, COLUMN(), 4, TRUE, "Import-dataset")) / INDIRECT(ADDRESS(ROW(), COLUMN(), 4, TRUE, "Import-dataset")), "" )</f>
        <v>1.3243243243243243</v>
      </c>
      <c r="J4" s="6" cm="1">
        <f t="array" aca="1" ref="J4" ca="1">IFERROR( INDIRECT(ADDRESS(ROW()+1, COLUMN(), 4, TRUE, "Import-dataset")) / INDIRECT(ADDRESS(ROW(), COLUMN(), 4, TRUE, "Import-dataset")), "" )</f>
        <v>0.99442896935933145</v>
      </c>
      <c r="K4" s="6" cm="1">
        <f t="array" aca="1" ref="K4" ca="1">IFERROR( INDIRECT(ADDRESS(ROW()+1, COLUMN(), 4, TRUE, "Import-dataset")) / INDIRECT(ADDRESS(ROW(), COLUMN(), 4, TRUE, "Import-dataset")), "" )</f>
        <v>1.1166666666666667</v>
      </c>
      <c r="L4" s="6" cm="1">
        <f t="array" aca="1" ref="L4" ca="1">IFERROR( INDIRECT(ADDRESS(ROW()+1, COLUMN(), 4, TRUE, "Import-dataset")) / INDIRECT(ADDRESS(ROW(), COLUMN(), 4, TRUE, "Import-dataset")), "" )</f>
        <v>1.3163841807909604</v>
      </c>
      <c r="M4" s="6" cm="1">
        <f t="array" aca="1" ref="M4" ca="1">IFERROR( INDIRECT(ADDRESS(ROW()+1, COLUMN(), 4, TRUE, "Import-dataset")) / INDIRECT(ADDRESS(ROW(), COLUMN(), 4, TRUE, "Import-dataset")), "" )</f>
        <v>1.0653950953678475</v>
      </c>
      <c r="N4" s="6" cm="1">
        <f t="array" aca="1" ref="N4" ca="1">IFERROR( INDIRECT(ADDRESS(ROW()+1, COLUMN(), 4, TRUE, "Import-dataset")) / INDIRECT(ADDRESS(ROW(), COLUMN(), 4, TRUE, "Import-dataset")), "" )</f>
        <v>1.1287878787878789</v>
      </c>
      <c r="O4" s="6" cm="1">
        <f t="array" aca="1" ref="O4" ca="1">IFERROR( INDIRECT(ADDRESS(ROW()+1, COLUMN(), 4, TRUE, "Import-dataset")) / INDIRECT(ADDRESS(ROW(), COLUMN(), 4, TRUE, "Import-dataset")), "" )</f>
        <v>0.85436893203883491</v>
      </c>
      <c r="P4" s="6" cm="1">
        <f t="array" aca="1" ref="P4" ca="1">IFERROR( INDIRECT(ADDRESS(ROW()+1, COLUMN(), 4, TRUE, "Import-dataset")) / INDIRECT(ADDRESS(ROW(), COLUMN(), 4, TRUE, "Import-dataset")), "" )</f>
        <v>1.0587458745874587</v>
      </c>
      <c r="Q4" s="6" cm="1">
        <f t="array" aca="1" ref="Q4" ca="1">IFERROR( INDIRECT(ADDRESS(ROW()+1, COLUMN(), 4, TRUE, "Import-dataset")) / INDIRECT(ADDRESS(ROW(), COLUMN(), 4, TRUE, "Import-dataset")), "" )</f>
        <v>0.76923076923076927</v>
      </c>
      <c r="R4" s="6" cm="1">
        <f t="array" aca="1" ref="R4" ca="1">IFERROR( INDIRECT(ADDRESS(ROW()+1, COLUMN(), 4, TRUE, "Import-dataset")) / INDIRECT(ADDRESS(ROW(), COLUMN(), 4, TRUE, "Import-dataset")), "" )</f>
        <v>0.76744186046511631</v>
      </c>
      <c r="S4" s="6" cm="1">
        <f t="array" aca="1" ref="S4" ca="1">IFERROR( INDIRECT(ADDRESS(ROW()+1, COLUMN(), 4, TRUE, "Import-dataset")) / INDIRECT(ADDRESS(ROW(), COLUMN(), 4, TRUE, "Import-dataset")), "" )</f>
        <v>0.92792792792792789</v>
      </c>
      <c r="T4" s="6" cm="1">
        <f t="array" aca="1" ref="T4" ca="1">IFERROR( INDIRECT(ADDRESS(ROW()+1, COLUMN(), 4, TRUE, "Import-dataset")) / INDIRECT(ADDRESS(ROW(), COLUMN(), 4, TRUE, "Import-dataset")), "" )</f>
        <v>1.1821946169772257</v>
      </c>
      <c r="U4" s="6" cm="1">
        <f t="array" aca="1" ref="U4" ca="1">IFERROR( INDIRECT(ADDRESS(ROW()+1, COLUMN(), 4, TRUE, "Import-dataset")) / INDIRECT(ADDRESS(ROW(), COLUMN(), 4, TRUE, "Import-dataset")), "" )</f>
        <v>1.0301724137931034</v>
      </c>
      <c r="V4" s="6" cm="1">
        <f t="array" aca="1" ref="V4" ca="1">IFERROR( INDIRECT(ADDRESS(ROW()+1, COLUMN(), 4, TRUE, "Import-dataset")) / INDIRECT(ADDRESS(ROW(), COLUMN(), 4, TRUE, "Import-dataset")), "" )</f>
        <v>0.85945945945945945</v>
      </c>
      <c r="W4" s="6" cm="1">
        <f t="array" aca="1" ref="W4" ca="1">IFERROR( INDIRECT(ADDRESS(ROW()+1, COLUMN(), 4, TRUE, "Import-dataset")) / INDIRECT(ADDRESS(ROW(), COLUMN(), 4, TRUE, "Import-dataset")), "" )</f>
        <v>0.96240601503759393</v>
      </c>
      <c r="X4" s="6" cm="1">
        <f t="array" aca="1" ref="X4" ca="1">IFERROR( INDIRECT(ADDRESS(ROW()+1, COLUMN(), 4, TRUE, "Import-dataset")) / INDIRECT(ADDRESS(ROW(), COLUMN(), 4, TRUE, "Import-dataset")), "" )</f>
        <v>1.4567901234567902</v>
      </c>
      <c r="Y4" s="6" cm="1">
        <f t="array" aca="1" ref="Y4" ca="1">IFERROR( INDIRECT(ADDRESS(ROW()+1, COLUMN(), 4, TRUE, "Import-dataset")) / INDIRECT(ADDRESS(ROW(), COLUMN(), 4, TRUE, "Import-dataset")), "" )</f>
        <v>1.1442307692307692</v>
      </c>
      <c r="Z4" s="6" cm="1">
        <f t="array" aca="1" ref="Z4" ca="1">IFERROR( INDIRECT(ADDRESS(ROW()+1, COLUMN(), 4, TRUE, "Import-dataset")) / INDIRECT(ADDRESS(ROW(), COLUMN(), 4, TRUE, "Import-dataset")), "" )</f>
        <v>1.5525543159130946</v>
      </c>
      <c r="AA4" s="6" cm="1">
        <f t="array" aca="1" ref="AA4" ca="1">IFERROR( INDIRECT(ADDRESS(ROW()+1, COLUMN(), 4, TRUE, "Import-dataset")) / INDIRECT(ADDRESS(ROW(), COLUMN(), 4, TRUE, "Import-dataset")), "" )</f>
        <v>7.666666666666667</v>
      </c>
      <c r="AB4" s="6" cm="1">
        <f t="array" aca="1" ref="AB4" ca="1">IFERROR( INDIRECT(ADDRESS(ROW()+1, COLUMN(), 4, TRUE, "Import-dataset")) / INDIRECT(ADDRESS(ROW(), COLUMN(), 4, TRUE, "Import-dataset")), "" )</f>
        <v>1.5428233904311872</v>
      </c>
      <c r="AC4" s="6" cm="1">
        <f t="array" aca="1" ref="AC4" ca="1">IFERROR( INDIRECT(ADDRESS(ROW()+1, COLUMN(), 4, TRUE, "Import-dataset")) / INDIRECT(ADDRESS(ROW(), COLUMN(), 4, TRUE, "Import-dataset")), "" )</f>
        <v>2.6666666666666665</v>
      </c>
      <c r="AD4" s="6" cm="1">
        <f t="array" aca="1" ref="AD4" ca="1">IFERROR( INDIRECT(ADDRESS(ROW()+1, COLUMN(), 4, TRUE, "Import-dataset")) / INDIRECT(ADDRESS(ROW(), COLUMN(), 4, TRUE, "Import-dataset")), "" )</f>
        <v>1.0900900900900901</v>
      </c>
      <c r="AE4" s="6" t="str" cm="1">
        <f t="array" aca="1" ref="AE4" ca="1">IFERROR( INDIRECT(ADDRESS(ROW()+1, COLUMN(), 4, TRUE, "Import-dataset")) / INDIRECT(ADDRESS(ROW(), COLUMN(), 4, TRUE, "Import-dataset")), "" )</f>
        <v/>
      </c>
      <c r="AF4" s="6" cm="1">
        <f t="array" aca="1" ref="AF4" ca="1">IFERROR( INDIRECT(ADDRESS(ROW()+1, COLUMN(), 4, TRUE, "Import-dataset")) / INDIRECT(ADDRESS(ROW(), COLUMN(), 4, TRUE, "Import-dataset")), "" )</f>
        <v>1.1382978723404256</v>
      </c>
      <c r="AG4" s="6" cm="1">
        <f t="array" aca="1" ref="AG4" ca="1">IFERROR( INDIRECT(ADDRESS(ROW()+1, COLUMN(), 4, TRUE, "Import-dataset")) / INDIRECT(ADDRESS(ROW(), COLUMN(), 4, TRUE, "Import-dataset")), "" )</f>
        <v>1.0909090909090908</v>
      </c>
      <c r="AH4" s="6" cm="1">
        <f t="array" aca="1" ref="AH4" ca="1">IFERROR( INDIRECT(ADDRESS(ROW()+1, COLUMN(), 4, TRUE, "Import-dataset")) / INDIRECT(ADDRESS(ROW(), COLUMN(), 4, TRUE, "Import-dataset")), "" )</f>
        <v>1.1188012074169902</v>
      </c>
      <c r="AI4" s="6" cm="1">
        <f t="array" aca="1" ref="AI4" ca="1">IFERROR( INDIRECT(ADDRESS(ROW()+1, COLUMN(), 4, TRUE, "Import-dataset")) / INDIRECT(ADDRESS(ROW(), COLUMN(), 4, TRUE, "Import-dataset")), "" )</f>
        <v>0.95819112627986347</v>
      </c>
      <c r="AJ4" s="6" cm="1">
        <f t="array" aca="1" ref="AJ4" ca="1">IFERROR( INDIRECT(ADDRESS(ROW()+1, COLUMN(), 4, TRUE, "Import-dataset")) / INDIRECT(ADDRESS(ROW(), COLUMN(), 4, TRUE, "Import-dataset")), "" )</f>
        <v>1.2794612794612794</v>
      </c>
      <c r="AK4" s="6" cm="1">
        <f t="array" aca="1" ref="AK4" ca="1">IFERROR( INDIRECT(ADDRESS(ROW()+1, COLUMN(), 4, TRUE, "Import-dataset")) / INDIRECT(ADDRESS(ROW(), COLUMN(), 4, TRUE, "Import-dataset")), "" )</f>
        <v>1.165</v>
      </c>
      <c r="AL4" s="6" cm="1">
        <f t="array" aca="1" ref="AL4" ca="1">IFERROR( INDIRECT(ADDRESS(ROW()+1, COLUMN(), 4, TRUE, "Import-dataset")) / INDIRECT(ADDRESS(ROW(), COLUMN(), 4, TRUE, "Import-dataset")), "" )</f>
        <v>1.0756914119359535</v>
      </c>
      <c r="AM4" s="6" cm="1">
        <f t="array" aca="1" ref="AM4" ca="1">IFERROR( INDIRECT(ADDRESS(ROW()+1, COLUMN(), 4, TRUE, "Import-dataset")) / INDIRECT(ADDRESS(ROW(), COLUMN(), 4, TRUE, "Import-dataset")), "" )</f>
        <v>1.211111111111111</v>
      </c>
      <c r="AN4" s="6" cm="1">
        <f t="array" aca="1" ref="AN4" ca="1">IFERROR( INDIRECT(ADDRESS(ROW()+1, COLUMN(), 4, TRUE, "Import-dataset")) / INDIRECT(ADDRESS(ROW(), COLUMN(), 4, TRUE, "Import-dataset")), "" )</f>
        <v>1.327485380116959</v>
      </c>
      <c r="AO4" s="6" cm="1">
        <f t="array" aca="1" ref="AO4" ca="1">IFERROR( INDIRECT(ADDRESS(ROW()+1, COLUMN(), 4, TRUE, "Import-dataset")) / INDIRECT(ADDRESS(ROW(), COLUMN(), 4, TRUE, "Import-dataset")), "" )</f>
        <v>1.170854271356784</v>
      </c>
      <c r="AP4" s="6" cm="1">
        <f t="array" aca="1" ref="AP4" ca="1">IFERROR( INDIRECT(ADDRESS(ROW()+1, COLUMN(), 4, TRUE, "Import-dataset")) / INDIRECT(ADDRESS(ROW(), COLUMN(), 4, TRUE, "Import-dataset")), "" )</f>
        <v>1.1472684085510689</v>
      </c>
      <c r="AQ4" s="6" cm="1">
        <f t="array" aca="1" ref="AQ4" ca="1">IFERROR( INDIRECT(ADDRESS(ROW()+1, COLUMN(), 4, TRUE, "Import-dataset")) / INDIRECT(ADDRESS(ROW(), COLUMN(), 4, TRUE, "Import-dataset")), "" )</f>
        <v>1.1221804511278195</v>
      </c>
      <c r="AR4" s="6" cm="1">
        <f t="array" aca="1" ref="AR4" ca="1">IFERROR( INDIRECT(ADDRESS(ROW()+1, COLUMN(), 4, TRUE, "Import-dataset")) / INDIRECT(ADDRESS(ROW(), COLUMN(), 4, TRUE, "Import-dataset")), "" )</f>
        <v>1.1803549319026001</v>
      </c>
      <c r="AS4" s="6" cm="1">
        <f t="array" aca="1" ref="AS4" ca="1">IFERROR( INDIRECT(ADDRESS(ROW()+1, COLUMN(), 4, TRUE, "Import-dataset")) / INDIRECT(ADDRESS(ROW(), COLUMN(), 4, TRUE, "Import-dataset")), "" )</f>
        <v>0.97333333333333338</v>
      </c>
      <c r="AT4" s="6" cm="1">
        <f t="array" aca="1" ref="AT4" ca="1">IFERROR( INDIRECT(ADDRESS(ROW()+1, COLUMN(), 4, TRUE, "Import-dataset")) / INDIRECT(ADDRESS(ROW(), COLUMN(), 4, TRUE, "Import-dataset")), "" )</f>
        <v>1.181964573268921</v>
      </c>
      <c r="AU4" s="6" cm="1">
        <f t="array" aca="1" ref="AU4" ca="1">IFERROR( INDIRECT(ADDRESS(ROW()+1, COLUMN(), 4, TRUE, "Import-dataset")) / INDIRECT(ADDRESS(ROW(), COLUMN(), 4, TRUE, "Import-dataset")), "" )</f>
        <v>1.1355140186915889</v>
      </c>
      <c r="AV4" s="6" cm="1">
        <f t="array" aca="1" ref="AV4" ca="1">IFERROR( INDIRECT(ADDRESS(ROW()+1, COLUMN(), 4, TRUE, "Import-dataset")) / INDIRECT(ADDRESS(ROW(), COLUMN(), 4, TRUE, "Import-dataset")), "" )</f>
        <v>1.1072607260726073</v>
      </c>
      <c r="AW4" s="6" cm="1">
        <f t="array" aca="1" ref="AW4" ca="1">IFERROR( INDIRECT(ADDRESS(ROW()+1, COLUMN(), 4, TRUE, "Import-dataset")) / INDIRECT(ADDRESS(ROW(), COLUMN(), 4, TRUE, "Import-dataset")), "" )</f>
        <v>1.0701203558346415</v>
      </c>
      <c r="AX4" s="6" cm="1">
        <f t="array" aca="1" ref="AX4" ca="1">IFERROR( INDIRECT(ADDRESS(ROW()+1, COLUMN(), 4, TRUE, "Import-dataset")) / INDIRECT(ADDRESS(ROW(), COLUMN(), 4, TRUE, "Import-dataset")), "" )</f>
        <v>1.2180790960451977</v>
      </c>
      <c r="AY4" s="6" cm="1">
        <f t="array" aca="1" ref="AY4" ca="1">IFERROR( INDIRECT(ADDRESS(ROW()+1, COLUMN(), 4, TRUE, "Import-dataset")) / INDIRECT(ADDRESS(ROW(), COLUMN(), 4, TRUE, "Import-dataset")), "" )</f>
        <v>1.3654708520179373</v>
      </c>
      <c r="AZ4" s="6" cm="1">
        <f t="array" aca="1" ref="AZ4" ca="1">IFERROR( INDIRECT(ADDRESS(ROW()+1, COLUMN(), 4, TRUE, "Import-dataset")) / INDIRECT(ADDRESS(ROW(), COLUMN(), 4, TRUE, "Import-dataset")), "" )</f>
        <v>1.393939393939394</v>
      </c>
      <c r="BA4" s="6" cm="1">
        <f t="array" aca="1" ref="BA4" ca="1">IFERROR( INDIRECT(ADDRESS(ROW()+1, COLUMN(), 4, TRUE, "Import-dataset")) / INDIRECT(ADDRESS(ROW(), COLUMN(), 4, TRUE, "Import-dataset")), "" )</f>
        <v>1.2479338842975207</v>
      </c>
      <c r="BB4" s="6" cm="1">
        <f t="array" aca="1" ref="BB4" ca="1">IFERROR( INDIRECT(ADDRESS(ROW()+1, COLUMN(), 4, TRUE, "Import-dataset")) / INDIRECT(ADDRESS(ROW(), COLUMN(), 4, TRUE, "Import-dataset")), "" )</f>
        <v>1.3113223371540397</v>
      </c>
      <c r="BC4" s="6" cm="1">
        <f t="array" aca="1" ref="BC4" ca="1">IFERROR( INDIRECT(ADDRESS(ROW()+1, COLUMN(), 4, TRUE, "Import-dataset")) / INDIRECT(ADDRESS(ROW(), COLUMN(), 4, TRUE, "Import-dataset")), "" )</f>
        <v>1.1041852181656278</v>
      </c>
      <c r="BD4" s="6" cm="1">
        <f t="array" aca="1" ref="BD4" ca="1">IFERROR( INDIRECT(ADDRESS(ROW()+1, COLUMN(), 4, TRUE, "Import-dataset")) / INDIRECT(ADDRESS(ROW(), COLUMN(), 4, TRUE, "Import-dataset")), "" )</f>
        <v>1.2914124824026278</v>
      </c>
      <c r="BE4" s="6" cm="1">
        <f t="array" aca="1" ref="BE4" ca="1">IFERROR( INDIRECT(ADDRESS(ROW()+1, COLUMN(), 4, TRUE, "Import-dataset")) / INDIRECT(ADDRESS(ROW(), COLUMN(), 4, TRUE, "Import-dataset")), "" )</f>
        <v>1.0960451977401129</v>
      </c>
      <c r="BF4" s="6" cm="1">
        <f t="array" aca="1" ref="BF4" ca="1">IFERROR( INDIRECT(ADDRESS(ROW()+1, COLUMN(), 4, TRUE, "Import-dataset")) / INDIRECT(ADDRESS(ROW(), COLUMN(), 4, TRUE, "Import-dataset")), "" )</f>
        <v>1.2429062768701633</v>
      </c>
      <c r="BG4" s="6" cm="1">
        <f t="array" aca="1" ref="BG4" ca="1">IFERROR( INDIRECT(ADDRESS(ROW()+1, COLUMN(), 4, TRUE, "Import-dataset")) / INDIRECT(ADDRESS(ROW(), COLUMN(), 4, TRUE, "Import-dataset")), "" )</f>
        <v>1.2180062090375992</v>
      </c>
      <c r="BH4" s="6" cm="1">
        <f t="array" aca="1" ref="BH4" ca="1">IFERROR( INDIRECT(ADDRESS(ROW()+1, COLUMN(), 4, TRUE, "Import-dataset")) / INDIRECT(ADDRESS(ROW(), COLUMN(), 4, TRUE, "Import-dataset")), "" )</f>
        <v>1.2184057031756319</v>
      </c>
      <c r="BI4" s="6" cm="1">
        <f t="array" aca="1" ref="BI4" ca="1">IFERROR( INDIRECT(ADDRESS(ROW()+1, COLUMN(), 4, TRUE, "Import-dataset")) / INDIRECT(ADDRESS(ROW(), COLUMN(), 4, TRUE, "Import-dataset")), "" )</f>
        <v>1.1843651152281971</v>
      </c>
      <c r="BJ4" s="6" cm="1">
        <f t="array" aca="1" ref="BJ4" ca="1">IFERROR( INDIRECT(ADDRESS(ROW()+1, COLUMN(), 4, TRUE, "Import-dataset")) / INDIRECT(ADDRESS(ROW(), COLUMN(), 4, TRUE, "Import-dataset")), "" )</f>
        <v>1.4010903426791277</v>
      </c>
      <c r="BK4" s="6" cm="1">
        <f t="array" aca="1" ref="BK4" ca="1">IFERROR( INDIRECT(ADDRESS(ROW()+1, COLUMN(), 4, TRUE, "Import-dataset")) / INDIRECT(ADDRESS(ROW(), COLUMN(), 4, TRUE, "Import-dataset")), "" )</f>
        <v>1.912560721721027</v>
      </c>
      <c r="BL4" s="6" cm="1">
        <f t="array" aca="1" ref="BL4" ca="1">IFERROR( INDIRECT(ADDRESS(ROW()+1, COLUMN(), 4, TRUE, "Import-dataset")) / INDIRECT(ADDRESS(ROW(), COLUMN(), 4, TRUE, "Import-dataset")), "" )</f>
        <v>1.1438643612556656</v>
      </c>
      <c r="BM4" s="6" cm="1">
        <f t="array" aca="1" ref="BM4" ca="1">IFERROR( INDIRECT(ADDRESS(ROW()+1, COLUMN(), 4, TRUE, "Import-dataset")) / INDIRECT(ADDRESS(ROW(), COLUMN(), 4, TRUE, "Import-dataset")), "" )</f>
        <v>1.2068965517241379</v>
      </c>
      <c r="BN4" s="6" cm="1">
        <f t="array" aca="1" ref="BN4" ca="1">IFERROR( INDIRECT(ADDRESS(ROW()+1, COLUMN(), 4, TRUE, "Import-dataset")) / INDIRECT(ADDRESS(ROW(), COLUMN(), 4, TRUE, "Import-dataset")), "" )</f>
        <v>1.3505976095617529</v>
      </c>
      <c r="BO4" s="6" cm="1">
        <f t="array" aca="1" ref="BO4" ca="1">IFERROR( INDIRECT(ADDRESS(ROW()+1, COLUMN(), 4, TRUE, "Import-dataset")) / INDIRECT(ADDRESS(ROW(), COLUMN(), 4, TRUE, "Import-dataset")), "" )</f>
        <v>1.2285714285714286</v>
      </c>
      <c r="BP4" s="6" cm="1">
        <f t="array" aca="1" ref="BP4" ca="1">IFERROR( INDIRECT(ADDRESS(ROW()+1, COLUMN(), 4, TRUE, "Import-dataset")) / INDIRECT(ADDRESS(ROW(), COLUMN(), 4, TRUE, "Import-dataset")), "" )</f>
        <v>1.2114285714285715</v>
      </c>
      <c r="BQ4" s="6" cm="1">
        <f t="array" aca="1" ref="BQ4" ca="1">IFERROR( INDIRECT(ADDRESS(ROW()+1, COLUMN(), 4, TRUE, "Import-dataset")) / INDIRECT(ADDRESS(ROW(), COLUMN(), 4, TRUE, "Import-dataset")), "" )</f>
        <v>1.125</v>
      </c>
      <c r="BR4" s="6" cm="1">
        <f t="array" aca="1" ref="BR4" ca="1">IFERROR( INDIRECT(ADDRESS(ROW()+1, COLUMN(), 4, TRUE, "Import-dataset")) / INDIRECT(ADDRESS(ROW(), COLUMN(), 4, TRUE, "Import-dataset")), "" )</f>
        <v>1.1460221550855991</v>
      </c>
      <c r="BS4" s="6" cm="1">
        <f t="array" aca="1" ref="BS4" ca="1">IFERROR( INDIRECT(ADDRESS(ROW()+1, COLUMN(), 4, TRUE, "Import-dataset")) / INDIRECT(ADDRESS(ROW(), COLUMN(), 4, TRUE, "Import-dataset")), "" )</f>
        <v>1.056356487549148</v>
      </c>
      <c r="BT4" s="6" cm="1">
        <f t="array" aca="1" ref="BT4" ca="1">IFERROR( INDIRECT(ADDRESS(ROW()+1, COLUMN(), 4, TRUE, "Import-dataset")) / INDIRECT(ADDRESS(ROW(), COLUMN(), 4, TRUE, "Import-dataset")), "" )</f>
        <v>1.1234474971772677</v>
      </c>
      <c r="BU4" s="6" cm="1">
        <f t="array" aca="1" ref="BU4" ca="1">IFERROR( INDIRECT(ADDRESS(ROW()+1, COLUMN(), 4, TRUE, "Import-dataset")) / INDIRECT(ADDRESS(ROW(), COLUMN(), 4, TRUE, "Import-dataset")), "" )</f>
        <v>0.77484472049689446</v>
      </c>
      <c r="BV4" s="6" cm="1">
        <f t="array" aca="1" ref="BV4" ca="1">IFERROR( INDIRECT(ADDRESS(ROW()+1, COLUMN(), 4, TRUE, "Import-dataset")) / INDIRECT(ADDRESS(ROW(), COLUMN(), 4, TRUE, "Import-dataset")), "" )</f>
        <v>0.69625668449197864</v>
      </c>
      <c r="BW4" s="6" cm="1">
        <f t="array" aca="1" ref="BW4" ca="1">IFERROR( INDIRECT(ADDRESS(ROW()+1, COLUMN(), 4, TRUE, "Import-dataset")) / INDIRECT(ADDRESS(ROW(), COLUMN(), 4, TRUE, "Import-dataset")), "" )</f>
        <v>1.4705882352941178</v>
      </c>
      <c r="BX4" s="6" t="str" cm="1">
        <f t="array" aca="1" ref="BX4" ca="1">IFERROR( INDIRECT(ADDRESS(ROW()+1, COLUMN(), 4, TRUE, "Import-dataset")) / INDIRECT(ADDRESS(ROW(), COLUMN(), 4, TRUE, "Import-dataset")), "" )</f>
        <v/>
      </c>
      <c r="BY4" s="6" cm="1">
        <f t="array" aca="1" ref="BY4" ca="1">IFERROR( INDIRECT(ADDRESS(ROW()+1, COLUMN(), 4, TRUE, "Import-dataset")) / INDIRECT(ADDRESS(ROW(), COLUMN(), 4, TRUE, "Import-dataset")), "" )</f>
        <v>1.8173076923076923</v>
      </c>
      <c r="BZ4" s="6" cm="1">
        <f t="array" aca="1" ref="BZ4" ca="1">IFERROR( INDIRECT(ADDRESS(ROW()+1, COLUMN(), 4, TRUE, "Import-dataset")) / INDIRECT(ADDRESS(ROW(), COLUMN(), 4, TRUE, "Import-dataset")), "" )</f>
        <v>0.55458515283842791</v>
      </c>
      <c r="CA4" s="6" cm="1">
        <f t="array" aca="1" ref="CA4" ca="1">IFERROR( INDIRECT(ADDRESS(ROW()+1, COLUMN(), 4, TRUE, "Import-dataset")) / INDIRECT(ADDRESS(ROW(), COLUMN(), 4, TRUE, "Import-dataset")), "" )</f>
        <v>1.219487469646604</v>
      </c>
    </row>
    <row r="5" spans="1:79">
      <c r="A5" s="6" t="s">
        <v>162</v>
      </c>
      <c r="B5" s="6" cm="1">
        <f t="array" aca="1" ref="B5" ca="1">IFERROR( INDIRECT(ADDRESS(ROW()+1, COLUMN(), 4, TRUE, "Import-dataset")) / INDIRECT(ADDRESS(ROW(), COLUMN(), 4, TRUE, "Import-dataset")), "" )</f>
        <v>0.99222395023328147</v>
      </c>
      <c r="C5" s="6" cm="1">
        <f t="array" aca="1" ref="C5" ca="1">IFERROR( INDIRECT(ADDRESS(ROW()+1, COLUMN(), 4, TRUE, "Import-dataset")) / INDIRECT(ADDRESS(ROW(), COLUMN(), 4, TRUE, "Import-dataset")), "" )</f>
        <v>0.80132450331125826</v>
      </c>
      <c r="D5" s="6" cm="1">
        <f t="array" aca="1" ref="D5" ca="1">IFERROR( INDIRECT(ADDRESS(ROW()+1, COLUMN(), 4, TRUE, "Import-dataset")) / INDIRECT(ADDRESS(ROW(), COLUMN(), 4, TRUE, "Import-dataset")), "" )</f>
        <v>0.93333333333333335</v>
      </c>
      <c r="E5" s="6" cm="1">
        <f t="array" aca="1" ref="E5" ca="1">IFERROR( INDIRECT(ADDRESS(ROW()+1, COLUMN(), 4, TRUE, "Import-dataset")) / INDIRECT(ADDRESS(ROW(), COLUMN(), 4, TRUE, "Import-dataset")), "" )</f>
        <v>1.1979166666666667</v>
      </c>
      <c r="F5" s="6" cm="1">
        <f t="array" aca="1" ref="F5" ca="1">IFERROR( INDIRECT(ADDRESS(ROW()+1, COLUMN(), 4, TRUE, "Import-dataset")) / INDIRECT(ADDRESS(ROW(), COLUMN(), 4, TRUE, "Import-dataset")), "" )</f>
        <v>0.99319727891156462</v>
      </c>
      <c r="G5" s="6" cm="1">
        <f t="array" aca="1" ref="G5" ca="1">IFERROR( INDIRECT(ADDRESS(ROW()+1, COLUMN(), 4, TRUE, "Import-dataset")) / INDIRECT(ADDRESS(ROW(), COLUMN(), 4, TRUE, "Import-dataset")), "" )</f>
        <v>1.1744186046511629</v>
      </c>
      <c r="H5" s="6" cm="1">
        <f t="array" aca="1" ref="H5" ca="1">IFERROR( INDIRECT(ADDRESS(ROW()+1, COLUMN(), 4, TRUE, "Import-dataset")) / INDIRECT(ADDRESS(ROW(), COLUMN(), 4, TRUE, "Import-dataset")), "" )</f>
        <v>0.92822966507177029</v>
      </c>
      <c r="I5" s="6" cm="1">
        <f t="array" aca="1" ref="I5" ca="1">IFERROR( INDIRECT(ADDRESS(ROW()+1, COLUMN(), 4, TRUE, "Import-dataset")) / INDIRECT(ADDRESS(ROW(), COLUMN(), 4, TRUE, "Import-dataset")), "" )</f>
        <v>1.2448979591836735</v>
      </c>
      <c r="J5" s="6" cm="1">
        <f t="array" aca="1" ref="J5" ca="1">IFERROR( INDIRECT(ADDRESS(ROW()+1, COLUMN(), 4, TRUE, "Import-dataset")) / INDIRECT(ADDRESS(ROW(), COLUMN(), 4, TRUE, "Import-dataset")), "" )</f>
        <v>0.88515406162464982</v>
      </c>
      <c r="K5" s="6" cm="1">
        <f t="array" aca="1" ref="K5" ca="1">IFERROR( INDIRECT(ADDRESS(ROW()+1, COLUMN(), 4, TRUE, "Import-dataset")) / INDIRECT(ADDRESS(ROW(), COLUMN(), 4, TRUE, "Import-dataset")), "" )</f>
        <v>1.0298507462686568</v>
      </c>
      <c r="L5" s="6" cm="1">
        <f t="array" aca="1" ref="L5" ca="1">IFERROR( INDIRECT(ADDRESS(ROW()+1, COLUMN(), 4, TRUE, "Import-dataset")) / INDIRECT(ADDRESS(ROW(), COLUMN(), 4, TRUE, "Import-dataset")), "" )</f>
        <v>1.1931330472103003</v>
      </c>
      <c r="M5" s="6" cm="1">
        <f t="array" aca="1" ref="M5" ca="1">IFERROR( INDIRECT(ADDRESS(ROW()+1, COLUMN(), 4, TRUE, "Import-dataset")) / INDIRECT(ADDRESS(ROW(), COLUMN(), 4, TRUE, "Import-dataset")), "" )</f>
        <v>1.0306905370843991</v>
      </c>
      <c r="N5" s="6" cm="1">
        <f t="array" aca="1" ref="N5" ca="1">IFERROR( INDIRECT(ADDRESS(ROW()+1, COLUMN(), 4, TRUE, "Import-dataset")) / INDIRECT(ADDRESS(ROW(), COLUMN(), 4, TRUE, "Import-dataset")), "" )</f>
        <v>1.0100671140939597</v>
      </c>
      <c r="O5" s="6" cm="1">
        <f t="array" aca="1" ref="O5" ca="1">IFERROR( INDIRECT(ADDRESS(ROW()+1, COLUMN(), 4, TRUE, "Import-dataset")) / INDIRECT(ADDRESS(ROW(), COLUMN(), 4, TRUE, "Import-dataset")), "" )</f>
        <v>1.1590909090909092</v>
      </c>
      <c r="P5" s="6" cm="1">
        <f t="array" aca="1" ref="P5" ca="1">IFERROR( INDIRECT(ADDRESS(ROW()+1, COLUMN(), 4, TRUE, "Import-dataset")) / INDIRECT(ADDRESS(ROW(), COLUMN(), 4, TRUE, "Import-dataset")), "" )</f>
        <v>0.87468827930174564</v>
      </c>
      <c r="Q5" s="6" cm="1">
        <f t="array" aca="1" ref="Q5" ca="1">IFERROR( INDIRECT(ADDRESS(ROW()+1, COLUMN(), 4, TRUE, "Import-dataset")) / INDIRECT(ADDRESS(ROW(), COLUMN(), 4, TRUE, "Import-dataset")), "" )</f>
        <v>1.4</v>
      </c>
      <c r="R5" s="6" cm="1">
        <f t="array" aca="1" ref="R5" ca="1">IFERROR( INDIRECT(ADDRESS(ROW()+1, COLUMN(), 4, TRUE, "Import-dataset")) / INDIRECT(ADDRESS(ROW(), COLUMN(), 4, TRUE, "Import-dataset")), "" )</f>
        <v>1.606060606060606</v>
      </c>
      <c r="S5" s="6" cm="1">
        <f t="array" aca="1" ref="S5" ca="1">IFERROR( INDIRECT(ADDRESS(ROW()+1, COLUMN(), 4, TRUE, "Import-dataset")) / INDIRECT(ADDRESS(ROW(), COLUMN(), 4, TRUE, "Import-dataset")), "" )</f>
        <v>0.80582524271844658</v>
      </c>
      <c r="T5" s="6" cm="1">
        <f t="array" aca="1" ref="T5" ca="1">IFERROR( INDIRECT(ADDRESS(ROW()+1, COLUMN(), 4, TRUE, "Import-dataset")) / INDIRECT(ADDRESS(ROW(), COLUMN(), 4, TRUE, "Import-dataset")), "" )</f>
        <v>0.79859894921190888</v>
      </c>
      <c r="U5" s="6" cm="1">
        <f t="array" aca="1" ref="U5" ca="1">IFERROR( INDIRECT(ADDRESS(ROW()+1, COLUMN(), 4, TRUE, "Import-dataset")) / INDIRECT(ADDRESS(ROW(), COLUMN(), 4, TRUE, "Import-dataset")), "" )</f>
        <v>0.86610878661087864</v>
      </c>
      <c r="V5" s="6" cm="1">
        <f t="array" aca="1" ref="V5" ca="1">IFERROR( INDIRECT(ADDRESS(ROW()+1, COLUMN(), 4, TRUE, "Import-dataset")) / INDIRECT(ADDRESS(ROW(), COLUMN(), 4, TRUE, "Import-dataset")), "" )</f>
        <v>0.8867924528301887</v>
      </c>
      <c r="W5" s="6" cm="1">
        <f t="array" aca="1" ref="W5" ca="1">IFERROR( INDIRECT(ADDRESS(ROW()+1, COLUMN(), 4, TRUE, "Import-dataset")) / INDIRECT(ADDRESS(ROW(), COLUMN(), 4, TRUE, "Import-dataset")), "" )</f>
        <v>0.7265625</v>
      </c>
      <c r="X5" s="6" cm="1">
        <f t="array" aca="1" ref="X5" ca="1">IFERROR( INDIRECT(ADDRESS(ROW()+1, COLUMN(), 4, TRUE, "Import-dataset")) / INDIRECT(ADDRESS(ROW(), COLUMN(), 4, TRUE, "Import-dataset")), "" )</f>
        <v>1.2542372881355932</v>
      </c>
      <c r="Y5" s="6" cm="1">
        <f t="array" aca="1" ref="Y5" ca="1">IFERROR( INDIRECT(ADDRESS(ROW()+1, COLUMN(), 4, TRUE, "Import-dataset")) / INDIRECT(ADDRESS(ROW(), COLUMN(), 4, TRUE, "Import-dataset")), "" )</f>
        <v>0.98319327731092432</v>
      </c>
      <c r="Z5" s="6" cm="1">
        <f t="array" aca="1" ref="Z5" ca="1">IFERROR( INDIRECT(ADDRESS(ROW()+1, COLUMN(), 4, TRUE, "Import-dataset")) / INDIRECT(ADDRESS(ROW(), COLUMN(), 4, TRUE, "Import-dataset")), "" )</f>
        <v>1.063161875945537</v>
      </c>
      <c r="AA5" s="6" cm="1">
        <f t="array" aca="1" ref="AA5" ca="1">IFERROR( INDIRECT(ADDRESS(ROW()+1, COLUMN(), 4, TRUE, "Import-dataset")) / INDIRECT(ADDRESS(ROW(), COLUMN(), 4, TRUE, "Import-dataset")), "" )</f>
        <v>0.13043478260869565</v>
      </c>
      <c r="AB5" s="6" cm="1">
        <f t="array" aca="1" ref="AB5" ca="1">IFERROR( INDIRECT(ADDRESS(ROW()+1, COLUMN(), 4, TRUE, "Import-dataset")) / INDIRECT(ADDRESS(ROW(), COLUMN(), 4, TRUE, "Import-dataset")), "" )</f>
        <v>1.0669984686064318</v>
      </c>
      <c r="AC5" s="6" cm="1">
        <f t="array" aca="1" ref="AC5" ca="1">IFERROR( INDIRECT(ADDRESS(ROW()+1, COLUMN(), 4, TRUE, "Import-dataset")) / INDIRECT(ADDRESS(ROW(), COLUMN(), 4, TRUE, "Import-dataset")), "" )</f>
        <v>2</v>
      </c>
      <c r="AD5" s="6" cm="1">
        <f t="array" aca="1" ref="AD5" ca="1">IFERROR( INDIRECT(ADDRESS(ROW()+1, COLUMN(), 4, TRUE, "Import-dataset")) / INDIRECT(ADDRESS(ROW(), COLUMN(), 4, TRUE, "Import-dataset")), "" )</f>
        <v>1.0330578512396693</v>
      </c>
      <c r="AE5" s="6" cm="1">
        <f t="array" aca="1" ref="AE5" ca="1">IFERROR( INDIRECT(ADDRESS(ROW()+1, COLUMN(), 4, TRUE, "Import-dataset")) / INDIRECT(ADDRESS(ROW(), COLUMN(), 4, TRUE, "Import-dataset")), "" )</f>
        <v>0</v>
      </c>
      <c r="AF5" s="6" cm="1">
        <f t="array" aca="1" ref="AF5" ca="1">IFERROR( INDIRECT(ADDRESS(ROW()+1, COLUMN(), 4, TRUE, "Import-dataset")) / INDIRECT(ADDRESS(ROW(), COLUMN(), 4, TRUE, "Import-dataset")), "" )</f>
        <v>1.02803738317757</v>
      </c>
      <c r="AG5" s="6" cm="1">
        <f t="array" aca="1" ref="AG5" ca="1">IFERROR( INDIRECT(ADDRESS(ROW()+1, COLUMN(), 4, TRUE, "Import-dataset")) / INDIRECT(ADDRESS(ROW(), COLUMN(), 4, TRUE, "Import-dataset")), "" )</f>
        <v>1</v>
      </c>
      <c r="AH5" s="6" cm="1">
        <f t="array" aca="1" ref="AH5" ca="1">IFERROR( INDIRECT(ADDRESS(ROW()+1, COLUMN(), 4, TRUE, "Import-dataset")) / INDIRECT(ADDRESS(ROW(), COLUMN(), 4, TRUE, "Import-dataset")), "" )</f>
        <v>0.98862979379456539</v>
      </c>
      <c r="AI5" s="6" cm="1">
        <f t="array" aca="1" ref="AI5" ca="1">IFERROR( INDIRECT(ADDRESS(ROW()+1, COLUMN(), 4, TRUE, "Import-dataset")) / INDIRECT(ADDRESS(ROW(), COLUMN(), 4, TRUE, "Import-dataset")), "" )</f>
        <v>0.87622439893143367</v>
      </c>
      <c r="AJ5" s="6" cm="1">
        <f t="array" aca="1" ref="AJ5" ca="1">IFERROR( INDIRECT(ADDRESS(ROW()+1, COLUMN(), 4, TRUE, "Import-dataset")) / INDIRECT(ADDRESS(ROW(), COLUMN(), 4, TRUE, "Import-dataset")), "" )</f>
        <v>0.91447368421052633</v>
      </c>
      <c r="AK5" s="6" cm="1">
        <f t="array" aca="1" ref="AK5" ca="1">IFERROR( INDIRECT(ADDRESS(ROW()+1, COLUMN(), 4, TRUE, "Import-dataset")) / INDIRECT(ADDRESS(ROW(), COLUMN(), 4, TRUE, "Import-dataset")), "" )</f>
        <v>0.98283261802575106</v>
      </c>
      <c r="AL5" s="6" cm="1">
        <f t="array" aca="1" ref="AL5" ca="1">IFERROR( INDIRECT(ADDRESS(ROW()+1, COLUMN(), 4, TRUE, "Import-dataset")) / INDIRECT(ADDRESS(ROW(), COLUMN(), 4, TRUE, "Import-dataset")), "" )</f>
        <v>1.2232746955345062</v>
      </c>
      <c r="AM5" s="6" cm="1">
        <f t="array" aca="1" ref="AM5" ca="1">IFERROR( INDIRECT(ADDRESS(ROW()+1, COLUMN(), 4, TRUE, "Import-dataset")) / INDIRECT(ADDRESS(ROW(), COLUMN(), 4, TRUE, "Import-dataset")), "" )</f>
        <v>1.036697247706422</v>
      </c>
      <c r="AN5" s="6" cm="1">
        <f t="array" aca="1" ref="AN5" ca="1">IFERROR( INDIRECT(ADDRESS(ROW()+1, COLUMN(), 4, TRUE, "Import-dataset")) / INDIRECT(ADDRESS(ROW(), COLUMN(), 4, TRUE, "Import-dataset")), "" )</f>
        <v>1.1497797356828194</v>
      </c>
      <c r="AO5" s="6" cm="1">
        <f t="array" aca="1" ref="AO5" ca="1">IFERROR( INDIRECT(ADDRESS(ROW()+1, COLUMN(), 4, TRUE, "Import-dataset")) / INDIRECT(ADDRESS(ROW(), COLUMN(), 4, TRUE, "Import-dataset")), "" )</f>
        <v>0.87696709585121602</v>
      </c>
      <c r="AP5" s="6" cm="1">
        <f t="array" aca="1" ref="AP5" ca="1">IFERROR( INDIRECT(ADDRESS(ROW()+1, COLUMN(), 4, TRUE, "Import-dataset")) / INDIRECT(ADDRESS(ROW(), COLUMN(), 4, TRUE, "Import-dataset")), "" )</f>
        <v>0.9503105590062112</v>
      </c>
      <c r="AQ5" s="6" cm="1">
        <f t="array" aca="1" ref="AQ5" ca="1">IFERROR( INDIRECT(ADDRESS(ROW()+1, COLUMN(), 4, TRUE, "Import-dataset")) / INDIRECT(ADDRESS(ROW(), COLUMN(), 4, TRUE, "Import-dataset")), "" )</f>
        <v>1.0804020100502512</v>
      </c>
      <c r="AR5" s="6" cm="1">
        <f t="array" aca="1" ref="AR5" ca="1">IFERROR( INDIRECT(ADDRESS(ROW()+1, COLUMN(), 4, TRUE, "Import-dataset")) / INDIRECT(ADDRESS(ROW(), COLUMN(), 4, TRUE, "Import-dataset")), "" )</f>
        <v>0.8895104895104895</v>
      </c>
      <c r="AS5" s="6" cm="1">
        <f t="array" aca="1" ref="AS5" ca="1">IFERROR( INDIRECT(ADDRESS(ROW()+1, COLUMN(), 4, TRUE, "Import-dataset")) / INDIRECT(ADDRESS(ROW(), COLUMN(), 4, TRUE, "Import-dataset")), "" )</f>
        <v>0.87671232876712324</v>
      </c>
      <c r="AT5" s="6" cm="1">
        <f t="array" aca="1" ref="AT5" ca="1">IFERROR( INDIRECT(ADDRESS(ROW()+1, COLUMN(), 4, TRUE, "Import-dataset")) / INDIRECT(ADDRESS(ROW(), COLUMN(), 4, TRUE, "Import-dataset")), "" )</f>
        <v>0.95776566757493187</v>
      </c>
      <c r="AU5" s="6" cm="1">
        <f t="array" aca="1" ref="AU5" ca="1">IFERROR( INDIRECT(ADDRESS(ROW()+1, COLUMN(), 4, TRUE, "Import-dataset")) / INDIRECT(ADDRESS(ROW(), COLUMN(), 4, TRUE, "Import-dataset")), "" )</f>
        <v>0.90946502057613166</v>
      </c>
      <c r="AV5" s="6" cm="1">
        <f t="array" aca="1" ref="AV5" ca="1">IFERROR( INDIRECT(ADDRESS(ROW()+1, COLUMN(), 4, TRUE, "Import-dataset")) / INDIRECT(ADDRESS(ROW(), COLUMN(), 4, TRUE, "Import-dataset")), "" )</f>
        <v>0.93517138599105809</v>
      </c>
      <c r="AW5" s="6" cm="1">
        <f t="array" aca="1" ref="AW5" ca="1">IFERROR( INDIRECT(ADDRESS(ROW()+1, COLUMN(), 4, TRUE, "Import-dataset")) / INDIRECT(ADDRESS(ROW(), COLUMN(), 4, TRUE, "Import-dataset")), "" )</f>
        <v>0.90757946210268947</v>
      </c>
      <c r="AX5" s="6" cm="1">
        <f t="array" aca="1" ref="AX5" ca="1">IFERROR( INDIRECT(ADDRESS(ROW()+1, COLUMN(), 4, TRUE, "Import-dataset")) / INDIRECT(ADDRESS(ROW(), COLUMN(), 4, TRUE, "Import-dataset")), "" )</f>
        <v>0.92393320964749537</v>
      </c>
      <c r="AY5" s="6" cm="1">
        <f t="array" aca="1" ref="AY5" ca="1">IFERROR( INDIRECT(ADDRESS(ROW()+1, COLUMN(), 4, TRUE, "Import-dataset")) / INDIRECT(ADDRESS(ROW(), COLUMN(), 4, TRUE, "Import-dataset")), "" )</f>
        <v>0.68472906403940892</v>
      </c>
      <c r="AZ5" s="6" cm="1">
        <f t="array" aca="1" ref="AZ5" ca="1">IFERROR( INDIRECT(ADDRESS(ROW()+1, COLUMN(), 4, TRUE, "Import-dataset")) / INDIRECT(ADDRESS(ROW(), COLUMN(), 4, TRUE, "Import-dataset")), "" )</f>
        <v>0.90096618357487923</v>
      </c>
      <c r="BA5" s="6" cm="1">
        <f t="array" aca="1" ref="BA5" ca="1">IFERROR( INDIRECT(ADDRESS(ROW()+1, COLUMN(), 4, TRUE, "Import-dataset")) / INDIRECT(ADDRESS(ROW(), COLUMN(), 4, TRUE, "Import-dataset")), "" )</f>
        <v>0.92788815305371597</v>
      </c>
      <c r="BB5" s="6" cm="1">
        <f t="array" aca="1" ref="BB5" ca="1">IFERROR( INDIRECT(ADDRESS(ROW()+1, COLUMN(), 4, TRUE, "Import-dataset")) / INDIRECT(ADDRESS(ROW(), COLUMN(), 4, TRUE, "Import-dataset")), "" )</f>
        <v>0.9542915618470984</v>
      </c>
      <c r="BC5" s="6" cm="1">
        <f t="array" aca="1" ref="BC5" ca="1">IFERROR( INDIRECT(ADDRESS(ROW()+1, COLUMN(), 4, TRUE, "Import-dataset")) / INDIRECT(ADDRESS(ROW(), COLUMN(), 4, TRUE, "Import-dataset")), "" )</f>
        <v>1.0975806451612904</v>
      </c>
      <c r="BD5" s="6" cm="1">
        <f t="array" aca="1" ref="BD5" ca="1">IFERROR( INDIRECT(ADDRESS(ROW()+1, COLUMN(), 4, TRUE, "Import-dataset")) / INDIRECT(ADDRESS(ROW(), COLUMN(), 4, TRUE, "Import-dataset")), "" )</f>
        <v>0.88880813953488369</v>
      </c>
      <c r="BE5" s="6" cm="1">
        <f t="array" aca="1" ref="BE5" ca="1">IFERROR( INDIRECT(ADDRESS(ROW()+1, COLUMN(), 4, TRUE, "Import-dataset")) / INDIRECT(ADDRESS(ROW(), COLUMN(), 4, TRUE, "Import-dataset")), "" )</f>
        <v>0.91237113402061853</v>
      </c>
      <c r="BF5" s="6" cm="1">
        <f t="array" aca="1" ref="BF5" ca="1">IFERROR( INDIRECT(ADDRESS(ROW()+1, COLUMN(), 4, TRUE, "Import-dataset")) / INDIRECT(ADDRESS(ROW(), COLUMN(), 4, TRUE, "Import-dataset")), "" )</f>
        <v>0.96471809062608094</v>
      </c>
      <c r="BG5" s="6" cm="1">
        <f t="array" aca="1" ref="BG5" ca="1">IFERROR( INDIRECT(ADDRESS(ROW()+1, COLUMN(), 4, TRUE, "Import-dataset")) / INDIRECT(ADDRESS(ROW(), COLUMN(), 4, TRUE, "Import-dataset")), "" )</f>
        <v>0.98045879354290566</v>
      </c>
      <c r="BH5" s="6" cm="1">
        <f t="array" aca="1" ref="BH5" ca="1">IFERROR( INDIRECT(ADDRESS(ROW()+1, COLUMN(), 4, TRUE, "Import-dataset")) / INDIRECT(ADDRESS(ROW(), COLUMN(), 4, TRUE, "Import-dataset")), "" )</f>
        <v>0.94574468085106378</v>
      </c>
      <c r="BI5" s="6" cm="1">
        <f t="array" aca="1" ref="BI5" ca="1">IFERROR( INDIRECT(ADDRESS(ROW()+1, COLUMN(), 4, TRUE, "Import-dataset")) / INDIRECT(ADDRESS(ROW(), COLUMN(), 4, TRUE, "Import-dataset")), "" )</f>
        <v>0.99771079740557034</v>
      </c>
      <c r="BJ5" s="6" cm="1">
        <f t="array" aca="1" ref="BJ5" ca="1">IFERROR( INDIRECT(ADDRESS(ROW()+1, COLUMN(), 4, TRUE, "Import-dataset")) / INDIRECT(ADDRESS(ROW(), COLUMN(), 4, TRUE, "Import-dataset")), "" )</f>
        <v>0.89401519362608861</v>
      </c>
      <c r="BK5" s="6" cm="1">
        <f t="array" aca="1" ref="BK5" ca="1">IFERROR( INDIRECT(ADDRESS(ROW()+1, COLUMN(), 4, TRUE, "Import-dataset")) / INDIRECT(ADDRESS(ROW(), COLUMN(), 4, TRUE, "Import-dataset")), "" )</f>
        <v>0.99818577648766327</v>
      </c>
      <c r="BL5" s="6" cm="1">
        <f t="array" aca="1" ref="BL5" ca="1">IFERROR( INDIRECT(ADDRESS(ROW()+1, COLUMN(), 4, TRUE, "Import-dataset")) / INDIRECT(ADDRESS(ROW(), COLUMN(), 4, TRUE, "Import-dataset")), "" )</f>
        <v>1.0154094511300265</v>
      </c>
      <c r="BM5" s="6" cm="1">
        <f t="array" aca="1" ref="BM5" ca="1">IFERROR( INDIRECT(ADDRESS(ROW()+1, COLUMN(), 4, TRUE, "Import-dataset")) / INDIRECT(ADDRESS(ROW(), COLUMN(), 4, TRUE, "Import-dataset")), "" )</f>
        <v>0.99285714285714288</v>
      </c>
      <c r="BN5" s="6" cm="1">
        <f t="array" aca="1" ref="BN5" ca="1">IFERROR( INDIRECT(ADDRESS(ROW()+1, COLUMN(), 4, TRUE, "Import-dataset")) / INDIRECT(ADDRESS(ROW(), COLUMN(), 4, TRUE, "Import-dataset")), "" )</f>
        <v>0.92625368731563418</v>
      </c>
      <c r="BO5" s="6" cm="1">
        <f t="array" aca="1" ref="BO5" ca="1">IFERROR( INDIRECT(ADDRESS(ROW()+1, COLUMN(), 4, TRUE, "Import-dataset")) / INDIRECT(ADDRESS(ROW(), COLUMN(), 4, TRUE, "Import-dataset")), "" )</f>
        <v>0.97209302325581393</v>
      </c>
      <c r="BP5" s="6" cm="1">
        <f t="array" aca="1" ref="BP5" ca="1">IFERROR( INDIRECT(ADDRESS(ROW()+1, COLUMN(), 4, TRUE, "Import-dataset")) / INDIRECT(ADDRESS(ROW(), COLUMN(), 4, TRUE, "Import-dataset")), "" )</f>
        <v>1.0778301886792452</v>
      </c>
      <c r="BQ5" s="6" cm="1">
        <f t="array" aca="1" ref="BQ5" ca="1">IFERROR( INDIRECT(ADDRESS(ROW()+1, COLUMN(), 4, TRUE, "Import-dataset")) / INDIRECT(ADDRESS(ROW(), COLUMN(), 4, TRUE, "Import-dataset")), "" )</f>
        <v>1.0497076023391814</v>
      </c>
      <c r="BR5" s="6" cm="1">
        <f t="array" aca="1" ref="BR5" ca="1">IFERROR( INDIRECT(ADDRESS(ROW()+1, COLUMN(), 4, TRUE, "Import-dataset")) / INDIRECT(ADDRESS(ROW(), COLUMN(), 4, TRUE, "Import-dataset")), "" )</f>
        <v>1.0149384885764499</v>
      </c>
      <c r="BS5" s="6" cm="1">
        <f t="array" aca="1" ref="BS5" ca="1">IFERROR( INDIRECT(ADDRESS(ROW()+1, COLUMN(), 4, TRUE, "Import-dataset")) / INDIRECT(ADDRESS(ROW(), COLUMN(), 4, TRUE, "Import-dataset")), "" )</f>
        <v>0.97518610421836227</v>
      </c>
      <c r="BT5" s="6" cm="1">
        <f t="array" aca="1" ref="BT5" ca="1">IFERROR( INDIRECT(ADDRESS(ROW()+1, COLUMN(), 4, TRUE, "Import-dataset")) / INDIRECT(ADDRESS(ROW(), COLUMN(), 4, TRUE, "Import-dataset")), "" )</f>
        <v>1.0190954773869347</v>
      </c>
      <c r="BU5" s="6" cm="1">
        <f t="array" aca="1" ref="BU5" ca="1">IFERROR( INDIRECT(ADDRESS(ROW()+1, COLUMN(), 4, TRUE, "Import-dataset")) / INDIRECT(ADDRESS(ROW(), COLUMN(), 4, TRUE, "Import-dataset")), "" )</f>
        <v>1.092184368737475</v>
      </c>
      <c r="BV5" s="6" cm="1">
        <f t="array" aca="1" ref="BV5" ca="1">IFERROR( INDIRECT(ADDRESS(ROW()+1, COLUMN(), 4, TRUE, "Import-dataset")) / INDIRECT(ADDRESS(ROW(), COLUMN(), 4, TRUE, "Import-dataset")), "" )</f>
        <v>0.75729646697388631</v>
      </c>
      <c r="BW5" s="6" cm="1">
        <f t="array" aca="1" ref="BW5" ca="1">IFERROR( INDIRECT(ADDRESS(ROW()+1, COLUMN(), 4, TRUE, "Import-dataset")) / INDIRECT(ADDRESS(ROW(), COLUMN(), 4, TRUE, "Import-dataset")), "" )</f>
        <v>1.1200000000000001</v>
      </c>
      <c r="BX5" s="6" cm="1">
        <f t="array" aca="1" ref="BX5" ca="1">IFERROR( INDIRECT(ADDRESS(ROW()+1, COLUMN(), 4, TRUE, "Import-dataset")) / INDIRECT(ADDRESS(ROW(), COLUMN(), 4, TRUE, "Import-dataset")), "" )</f>
        <v>2.3333333333333335</v>
      </c>
      <c r="BY5" s="6" cm="1">
        <f t="array" aca="1" ref="BY5" ca="1">IFERROR( INDIRECT(ADDRESS(ROW()+1, COLUMN(), 4, TRUE, "Import-dataset")) / INDIRECT(ADDRESS(ROW(), COLUMN(), 4, TRUE, "Import-dataset")), "" )</f>
        <v>2.2592592592592591</v>
      </c>
      <c r="BZ5" s="6" cm="1">
        <f t="array" aca="1" ref="BZ5" ca="1">IFERROR( INDIRECT(ADDRESS(ROW()+1, COLUMN(), 4, TRUE, "Import-dataset")) / INDIRECT(ADDRESS(ROW(), COLUMN(), 4, TRUE, "Import-dataset")), "" )</f>
        <v>1.078740157480315</v>
      </c>
      <c r="CA5" s="6" cm="1">
        <f t="array" aca="1" ref="CA5" ca="1">IFERROR( INDIRECT(ADDRESS(ROW()+1, COLUMN(), 4, TRUE, "Import-dataset")) / INDIRECT(ADDRESS(ROW(), COLUMN(), 4, TRUE, "Import-dataset")), "" )</f>
        <v>0.96290138612330123</v>
      </c>
    </row>
    <row r="6" spans="1:79">
      <c r="A6" s="6" t="s">
        <v>163</v>
      </c>
      <c r="B6" s="6" cm="1">
        <f t="array" aca="1" ref="B6" ca="1">IFERROR( INDIRECT(ADDRESS(ROW()+1, COLUMN(), 4, TRUE, "Import-dataset")) / INDIRECT(ADDRESS(ROW(), COLUMN(), 4, TRUE, "Import-dataset")), "" )</f>
        <v>1.0454545454545454</v>
      </c>
      <c r="C6" s="6" cm="1">
        <f t="array" aca="1" ref="C6" ca="1">IFERROR( INDIRECT(ADDRESS(ROW()+1, COLUMN(), 4, TRUE, "Import-dataset")) / INDIRECT(ADDRESS(ROW(), COLUMN(), 4, TRUE, "Import-dataset")), "" )</f>
        <v>0.51239669421487599</v>
      </c>
      <c r="D6" s="6" cm="1">
        <f t="array" aca="1" ref="D6" ca="1">IFERROR( INDIRECT(ADDRESS(ROW()+1, COLUMN(), 4, TRUE, "Import-dataset")) / INDIRECT(ADDRESS(ROW(), COLUMN(), 4, TRUE, "Import-dataset")), "" )</f>
        <v>1.4285714285714286</v>
      </c>
      <c r="E6" s="6" cm="1">
        <f t="array" aca="1" ref="E6" ca="1">IFERROR( INDIRECT(ADDRESS(ROW()+1, COLUMN(), 4, TRUE, "Import-dataset")) / INDIRECT(ADDRESS(ROW(), COLUMN(), 4, TRUE, "Import-dataset")), "" )</f>
        <v>1.1565217391304348</v>
      </c>
      <c r="F6" s="6" cm="1">
        <f t="array" aca="1" ref="F6" ca="1">IFERROR( INDIRECT(ADDRESS(ROW()+1, COLUMN(), 4, TRUE, "Import-dataset")) / INDIRECT(ADDRESS(ROW(), COLUMN(), 4, TRUE, "Import-dataset")), "" )</f>
        <v>1.0342465753424657</v>
      </c>
      <c r="G6" s="6" cm="1">
        <f t="array" aca="1" ref="G6" ca="1">IFERROR( INDIRECT(ADDRESS(ROW()+1, COLUMN(), 4, TRUE, "Import-dataset")) / INDIRECT(ADDRESS(ROW(), COLUMN(), 4, TRUE, "Import-dataset")), "" )</f>
        <v>1.0693069306930694</v>
      </c>
      <c r="H6" s="6" cm="1">
        <f t="array" aca="1" ref="H6" ca="1">IFERROR( INDIRECT(ADDRESS(ROW()+1, COLUMN(), 4, TRUE, "Import-dataset")) / INDIRECT(ADDRESS(ROW(), COLUMN(), 4, TRUE, "Import-dataset")), "" )</f>
        <v>1.115979381443299</v>
      </c>
      <c r="I6" s="6" cm="1">
        <f t="array" aca="1" ref="I6" ca="1">IFERROR( INDIRECT(ADDRESS(ROW()+1, COLUMN(), 4, TRUE, "Import-dataset")) / INDIRECT(ADDRESS(ROW(), COLUMN(), 4, TRUE, "Import-dataset")), "" )</f>
        <v>0.93442622950819676</v>
      </c>
      <c r="J6" s="6" cm="1">
        <f t="array" aca="1" ref="J6" ca="1">IFERROR( INDIRECT(ADDRESS(ROW()+1, COLUMN(), 4, TRUE, "Import-dataset")) / INDIRECT(ADDRESS(ROW(), COLUMN(), 4, TRUE, "Import-dataset")), "" )</f>
        <v>0.98101265822784811</v>
      </c>
      <c r="K6" s="6" cm="1">
        <f t="array" aca="1" ref="K6" ca="1">IFERROR( INDIRECT(ADDRESS(ROW()+1, COLUMN(), 4, TRUE, "Import-dataset")) / INDIRECT(ADDRESS(ROW(), COLUMN(), 4, TRUE, "Import-dataset")), "" )</f>
        <v>1.2318840579710144</v>
      </c>
      <c r="L6" s="6" cm="1">
        <f t="array" aca="1" ref="L6" ca="1">IFERROR( INDIRECT(ADDRESS(ROW()+1, COLUMN(), 4, TRUE, "Import-dataset")) / INDIRECT(ADDRESS(ROW(), COLUMN(), 4, TRUE, "Import-dataset")), "" )</f>
        <v>1.1798561151079137</v>
      </c>
      <c r="M6" s="6" cm="1">
        <f t="array" aca="1" ref="M6" ca="1">IFERROR( INDIRECT(ADDRESS(ROW()+1, COLUMN(), 4, TRUE, "Import-dataset")) / INDIRECT(ADDRESS(ROW(), COLUMN(), 4, TRUE, "Import-dataset")), "" )</f>
        <v>0.96029776674937961</v>
      </c>
      <c r="N6" s="6" cm="1">
        <f t="array" aca="1" ref="N6" ca="1">IFERROR( INDIRECT(ADDRESS(ROW()+1, COLUMN(), 4, TRUE, "Import-dataset")) / INDIRECT(ADDRESS(ROW(), COLUMN(), 4, TRUE, "Import-dataset")), "" )</f>
        <v>0.95016611295681064</v>
      </c>
      <c r="O6" s="6" cm="1">
        <f t="array" aca="1" ref="O6" ca="1">IFERROR( INDIRECT(ADDRESS(ROW()+1, COLUMN(), 4, TRUE, "Import-dataset")) / INDIRECT(ADDRESS(ROW(), COLUMN(), 4, TRUE, "Import-dataset")), "" )</f>
        <v>1</v>
      </c>
      <c r="P6" s="6" cm="1">
        <f t="array" aca="1" ref="P6" ca="1">IFERROR( INDIRECT(ADDRESS(ROW()+1, COLUMN(), 4, TRUE, "Import-dataset")) / INDIRECT(ADDRESS(ROW(), COLUMN(), 4, TRUE, "Import-dataset")), "" )</f>
        <v>0.8538845331432644</v>
      </c>
      <c r="Q6" s="6" cm="1">
        <f t="array" aca="1" ref="Q6" ca="1">IFERROR( INDIRECT(ADDRESS(ROW()+1, COLUMN(), 4, TRUE, "Import-dataset")) / INDIRECT(ADDRESS(ROW(), COLUMN(), 4, TRUE, "Import-dataset")), "" )</f>
        <v>0.6428571428571429</v>
      </c>
      <c r="R6" s="6" cm="1">
        <f t="array" aca="1" ref="R6" ca="1">IFERROR( INDIRECT(ADDRESS(ROW()+1, COLUMN(), 4, TRUE, "Import-dataset")) / INDIRECT(ADDRESS(ROW(), COLUMN(), 4, TRUE, "Import-dataset")), "" )</f>
        <v>1.0943396226415094</v>
      </c>
      <c r="S6" s="6" cm="1">
        <f t="array" aca="1" ref="S6" ca="1">IFERROR( INDIRECT(ADDRESS(ROW()+1, COLUMN(), 4, TRUE, "Import-dataset")) / INDIRECT(ADDRESS(ROW(), COLUMN(), 4, TRUE, "Import-dataset")), "" )</f>
        <v>0.95180722891566261</v>
      </c>
      <c r="T6" s="6" cm="1">
        <f t="array" aca="1" ref="T6" ca="1">IFERROR( INDIRECT(ADDRESS(ROW()+1, COLUMN(), 4, TRUE, "Import-dataset")) / INDIRECT(ADDRESS(ROW(), COLUMN(), 4, TRUE, "Import-dataset")), "" )</f>
        <v>0.95833333333333337</v>
      </c>
      <c r="U6" s="6" cm="1">
        <f t="array" aca="1" ref="U6" ca="1">IFERROR( INDIRECT(ADDRESS(ROW()+1, COLUMN(), 4, TRUE, "Import-dataset")) / INDIRECT(ADDRESS(ROW(), COLUMN(), 4, TRUE, "Import-dataset")), "" )</f>
        <v>0.6280193236714976</v>
      </c>
      <c r="V6" s="6" cm="1">
        <f t="array" aca="1" ref="V6" ca="1">IFERROR( INDIRECT(ADDRESS(ROW()+1, COLUMN(), 4, TRUE, "Import-dataset")) / INDIRECT(ADDRESS(ROW(), COLUMN(), 4, TRUE, "Import-dataset")), "" )</f>
        <v>0.95035460992907805</v>
      </c>
      <c r="W6" s="6" cm="1">
        <f t="array" aca="1" ref="W6" ca="1">IFERROR( INDIRECT(ADDRESS(ROW()+1, COLUMN(), 4, TRUE, "Import-dataset")) / INDIRECT(ADDRESS(ROW(), COLUMN(), 4, TRUE, "Import-dataset")), "" )</f>
        <v>0.66129032258064513</v>
      </c>
      <c r="X6" s="6" cm="1">
        <f t="array" aca="1" ref="X6" ca="1">IFERROR( INDIRECT(ADDRESS(ROW()+1, COLUMN(), 4, TRUE, "Import-dataset")) / INDIRECT(ADDRESS(ROW(), COLUMN(), 4, TRUE, "Import-dataset")), "" )</f>
        <v>0.77702702702702697</v>
      </c>
      <c r="Y6" s="6" cm="1">
        <f t="array" aca="1" ref="Y6" ca="1">IFERROR( INDIRECT(ADDRESS(ROW()+1, COLUMN(), 4, TRUE, "Import-dataset")) / INDIRECT(ADDRESS(ROW(), COLUMN(), 4, TRUE, "Import-dataset")), "" )</f>
        <v>0.94017094017094016</v>
      </c>
      <c r="Z6" s="6" cm="1">
        <f t="array" aca="1" ref="Z6" ca="1">IFERROR( INDIRECT(ADDRESS(ROW()+1, COLUMN(), 4, TRUE, "Import-dataset")) / INDIRECT(ADDRESS(ROW(), COLUMN(), 4, TRUE, "Import-dataset")), "" )</f>
        <v>1.0505158306652438</v>
      </c>
      <c r="AA6" s="6" cm="1">
        <f t="array" aca="1" ref="AA6" ca="1">IFERROR( INDIRECT(ADDRESS(ROW()+1, COLUMN(), 4, TRUE, "Import-dataset")) / INDIRECT(ADDRESS(ROW(), COLUMN(), 4, TRUE, "Import-dataset")), "" )</f>
        <v>1.3333333333333333</v>
      </c>
      <c r="AB6" s="6" cm="1">
        <f t="array" aca="1" ref="AB6" ca="1">IFERROR( INDIRECT(ADDRESS(ROW()+1, COLUMN(), 4, TRUE, "Import-dataset")) / INDIRECT(ADDRESS(ROW(), COLUMN(), 4, TRUE, "Import-dataset")), "" )</f>
        <v>1.0541801219949767</v>
      </c>
      <c r="AC6" s="6" cm="1">
        <f t="array" aca="1" ref="AC6" ca="1">IFERROR( INDIRECT(ADDRESS(ROW()+1, COLUMN(), 4, TRUE, "Import-dataset")) / INDIRECT(ADDRESS(ROW(), COLUMN(), 4, TRUE, "Import-dataset")), "" )</f>
        <v>0.4375</v>
      </c>
      <c r="AD6" s="6" cm="1">
        <f t="array" aca="1" ref="AD6" ca="1">IFERROR( INDIRECT(ADDRESS(ROW()+1, COLUMN(), 4, TRUE, "Import-dataset")) / INDIRECT(ADDRESS(ROW(), COLUMN(), 4, TRUE, "Import-dataset")), "" )</f>
        <v>1.1120000000000001</v>
      </c>
      <c r="AE6" s="6" t="str" cm="1">
        <f t="array" aca="1" ref="AE6" ca="1">IFERROR( INDIRECT(ADDRESS(ROW()+1, COLUMN(), 4, TRUE, "Import-dataset")) / INDIRECT(ADDRESS(ROW(), COLUMN(), 4, TRUE, "Import-dataset")), "" )</f>
        <v/>
      </c>
      <c r="AF6" s="6" cm="1">
        <f t="array" aca="1" ref="AF6" ca="1">IFERROR( INDIRECT(ADDRESS(ROW()+1, COLUMN(), 4, TRUE, "Import-dataset")) / INDIRECT(ADDRESS(ROW(), COLUMN(), 4, TRUE, "Import-dataset")), "" )</f>
        <v>1.1272727272727272</v>
      </c>
      <c r="AG6" s="6" cm="1">
        <f t="array" aca="1" ref="AG6" ca="1">IFERROR( INDIRECT(ADDRESS(ROW()+1, COLUMN(), 4, TRUE, "Import-dataset")) / INDIRECT(ADDRESS(ROW(), COLUMN(), 4, TRUE, "Import-dataset")), "" )</f>
        <v>1.0833333333333333</v>
      </c>
      <c r="AH6" s="6" cm="1">
        <f t="array" aca="1" ref="AH6" ca="1">IFERROR( INDIRECT(ADDRESS(ROW()+1, COLUMN(), 4, TRUE, "Import-dataset")) / INDIRECT(ADDRESS(ROW(), COLUMN(), 4, TRUE, "Import-dataset")), "" )</f>
        <v>1.0239766081871344</v>
      </c>
      <c r="AI6" s="6" cm="1">
        <f t="array" aca="1" ref="AI6" ca="1">IFERROR( INDIRECT(ADDRESS(ROW()+1, COLUMN(), 4, TRUE, "Import-dataset")) / INDIRECT(ADDRESS(ROW(), COLUMN(), 4, TRUE, "Import-dataset")), "" )</f>
        <v>1.0609756097560976</v>
      </c>
      <c r="AJ6" s="6" cm="1">
        <f t="array" aca="1" ref="AJ6" ca="1">IFERROR( INDIRECT(ADDRESS(ROW()+1, COLUMN(), 4, TRUE, "Import-dataset")) / INDIRECT(ADDRESS(ROW(), COLUMN(), 4, TRUE, "Import-dataset")), "" )</f>
        <v>1.0330935251798561</v>
      </c>
      <c r="AK6" s="6" cm="1">
        <f t="array" aca="1" ref="AK6" ca="1">IFERROR( INDIRECT(ADDRESS(ROW()+1, COLUMN(), 4, TRUE, "Import-dataset")) / INDIRECT(ADDRESS(ROW(), COLUMN(), 4, TRUE, "Import-dataset")), "" )</f>
        <v>1.0698689956331877</v>
      </c>
      <c r="AL6" s="6" cm="1">
        <f t="array" aca="1" ref="AL6" ca="1">IFERROR( INDIRECT(ADDRESS(ROW()+1, COLUMN(), 4, TRUE, "Import-dataset")) / INDIRECT(ADDRESS(ROW(), COLUMN(), 4, TRUE, "Import-dataset")), "" )</f>
        <v>1.0365044247787611</v>
      </c>
      <c r="AM6" s="6" cm="1">
        <f t="array" aca="1" ref="AM6" ca="1">IFERROR( INDIRECT(ADDRESS(ROW()+1, COLUMN(), 4, TRUE, "Import-dataset")) / INDIRECT(ADDRESS(ROW(), COLUMN(), 4, TRUE, "Import-dataset")), "" )</f>
        <v>1.0324483775811208</v>
      </c>
      <c r="AN6" s="6" cm="1">
        <f t="array" aca="1" ref="AN6" ca="1">IFERROR( INDIRECT(ADDRESS(ROW()+1, COLUMN(), 4, TRUE, "Import-dataset")) / INDIRECT(ADDRESS(ROW(), COLUMN(), 4, TRUE, "Import-dataset")), "" )</f>
        <v>1.0881226053639848</v>
      </c>
      <c r="AO6" s="6" cm="1">
        <f t="array" aca="1" ref="AO6" ca="1">IFERROR( INDIRECT(ADDRESS(ROW()+1, COLUMN(), 4, TRUE, "Import-dataset")) / INDIRECT(ADDRESS(ROW(), COLUMN(), 4, TRUE, "Import-dataset")), "" )</f>
        <v>0.98205546492659057</v>
      </c>
      <c r="AP6" s="6" cm="1">
        <f t="array" aca="1" ref="AP6" ca="1">IFERROR( INDIRECT(ADDRESS(ROW()+1, COLUMN(), 4, TRUE, "Import-dataset")) / INDIRECT(ADDRESS(ROW(), COLUMN(), 4, TRUE, "Import-dataset")), "" )</f>
        <v>0.98910675381263613</v>
      </c>
      <c r="AQ6" s="6" cm="1">
        <f t="array" aca="1" ref="AQ6" ca="1">IFERROR( INDIRECT(ADDRESS(ROW()+1, COLUMN(), 4, TRUE, "Import-dataset")) / INDIRECT(ADDRESS(ROW(), COLUMN(), 4, TRUE, "Import-dataset")), "" )</f>
        <v>0.95813953488372094</v>
      </c>
      <c r="AR6" s="6" cm="1">
        <f t="array" aca="1" ref="AR6" ca="1">IFERROR( INDIRECT(ADDRESS(ROW()+1, COLUMN(), 4, TRUE, "Import-dataset")) / INDIRECT(ADDRESS(ROW(), COLUMN(), 4, TRUE, "Import-dataset")), "" )</f>
        <v>0.99318658280922434</v>
      </c>
      <c r="AS6" s="6" cm="1">
        <f t="array" aca="1" ref="AS6" ca="1">IFERROR( INDIRECT(ADDRESS(ROW()+1, COLUMN(), 4, TRUE, "Import-dataset")) / INDIRECT(ADDRESS(ROW(), COLUMN(), 4, TRUE, "Import-dataset")), "" )</f>
        <v>0.921875</v>
      </c>
      <c r="AT6" s="6" cm="1">
        <f t="array" aca="1" ref="AT6" ca="1">IFERROR( INDIRECT(ADDRESS(ROW()+1, COLUMN(), 4, TRUE, "Import-dataset")) / INDIRECT(ADDRESS(ROW(), COLUMN(), 4, TRUE, "Import-dataset")), "" )</f>
        <v>1.0014224751066856</v>
      </c>
      <c r="AU6" s="6" cm="1">
        <f t="array" aca="1" ref="AU6" ca="1">IFERROR( INDIRECT(ADDRESS(ROW()+1, COLUMN(), 4, TRUE, "Import-dataset")) / INDIRECT(ADDRESS(ROW(), COLUMN(), 4, TRUE, "Import-dataset")), "" )</f>
        <v>1.0180995475113122</v>
      </c>
      <c r="AV6" s="6" cm="1">
        <f t="array" aca="1" ref="AV6" ca="1">IFERROR( INDIRECT(ADDRESS(ROW()+1, COLUMN(), 4, TRUE, "Import-dataset")) / INDIRECT(ADDRESS(ROW(), COLUMN(), 4, TRUE, "Import-dataset")), "" )</f>
        <v>0.96334661354581674</v>
      </c>
      <c r="AW6" s="6" cm="1">
        <f t="array" aca="1" ref="AW6" ca="1">IFERROR( INDIRECT(ADDRESS(ROW()+1, COLUMN(), 4, TRUE, "Import-dataset")) / INDIRECT(ADDRESS(ROW(), COLUMN(), 4, TRUE, "Import-dataset")), "" )</f>
        <v>1.0274784482758621</v>
      </c>
      <c r="AX6" s="6" cm="1">
        <f t="array" aca="1" ref="AX6" ca="1">IFERROR( INDIRECT(ADDRESS(ROW()+1, COLUMN(), 4, TRUE, "Import-dataset")) / INDIRECT(ADDRESS(ROW(), COLUMN(), 4, TRUE, "Import-dataset")), "" )</f>
        <v>0.92871485943775101</v>
      </c>
      <c r="AY6" s="6" cm="1">
        <f t="array" aca="1" ref="AY6" ca="1">IFERROR( INDIRECT(ADDRESS(ROW()+1, COLUMN(), 4, TRUE, "Import-dataset")) / INDIRECT(ADDRESS(ROW(), COLUMN(), 4, TRUE, "Import-dataset")), "" )</f>
        <v>1.0731414868105515</v>
      </c>
      <c r="AZ6" s="6" cm="1">
        <f t="array" aca="1" ref="AZ6" ca="1">IFERROR( INDIRECT(ADDRESS(ROW()+1, COLUMN(), 4, TRUE, "Import-dataset")) / INDIRECT(ADDRESS(ROW(), COLUMN(), 4, TRUE, "Import-dataset")), "" )</f>
        <v>0.99463806970509383</v>
      </c>
      <c r="BA6" s="6" cm="1">
        <f t="array" aca="1" ref="BA6" ca="1">IFERROR( INDIRECT(ADDRESS(ROW()+1, COLUMN(), 4, TRUE, "Import-dataset")) / INDIRECT(ADDRESS(ROW(), COLUMN(), 4, TRUE, "Import-dataset")), "" )</f>
        <v>0.9682791435368755</v>
      </c>
      <c r="BB6" s="6" cm="1">
        <f t="array" aca="1" ref="BB6" ca="1">IFERROR( INDIRECT(ADDRESS(ROW()+1, COLUMN(), 4, TRUE, "Import-dataset")) / INDIRECT(ADDRESS(ROW(), COLUMN(), 4, TRUE, "Import-dataset")), "" )</f>
        <v>0.97783834502479783</v>
      </c>
      <c r="BC6" s="6" cm="1">
        <f t="array" aca="1" ref="BC6" ca="1">IFERROR( INDIRECT(ADDRESS(ROW()+1, COLUMN(), 4, TRUE, "Import-dataset")) / INDIRECT(ADDRESS(ROW(), COLUMN(), 4, TRUE, "Import-dataset")), "" )</f>
        <v>0.96326230712711247</v>
      </c>
      <c r="BD6" s="6" cm="1">
        <f t="array" aca="1" ref="BD6" ca="1">IFERROR( INDIRECT(ADDRESS(ROW()+1, COLUMN(), 4, TRUE, "Import-dataset")) / INDIRECT(ADDRESS(ROW(), COLUMN(), 4, TRUE, "Import-dataset")), "" )</f>
        <v>0.82706459525756337</v>
      </c>
      <c r="BE6" s="6" cm="1">
        <f t="array" aca="1" ref="BE6" ca="1">IFERROR( INDIRECT(ADDRESS(ROW()+1, COLUMN(), 4, TRUE, "Import-dataset")) / INDIRECT(ADDRESS(ROW(), COLUMN(), 4, TRUE, "Import-dataset")), "" )</f>
        <v>0.88983050847457623</v>
      </c>
      <c r="BF6" s="6" cm="1">
        <f t="array" aca="1" ref="BF6" ca="1">IFERROR( INDIRECT(ADDRESS(ROW()+1, COLUMN(), 4, TRUE, "Import-dataset")) / INDIRECT(ADDRESS(ROW(), COLUMN(), 4, TRUE, "Import-dataset")), "" )</f>
        <v>0.9910362136966655</v>
      </c>
      <c r="BG6" s="6" cm="1">
        <f t="array" aca="1" ref="BG6" ca="1">IFERROR( INDIRECT(ADDRESS(ROW()+1, COLUMN(), 4, TRUE, "Import-dataset")) / INDIRECT(ADDRESS(ROW(), COLUMN(), 4, TRUE, "Import-dataset")), "" )</f>
        <v>0.98382437897169261</v>
      </c>
      <c r="BH6" s="6" cm="1">
        <f t="array" aca="1" ref="BH6" ca="1">IFERROR( INDIRECT(ADDRESS(ROW()+1, COLUMN(), 4, TRUE, "Import-dataset")) / INDIRECT(ADDRESS(ROW(), COLUMN(), 4, TRUE, "Import-dataset")), "" )</f>
        <v>1.0253093363329584</v>
      </c>
      <c r="BI6" s="6" cm="1">
        <f t="array" aca="1" ref="BI6" ca="1">IFERROR( INDIRECT(ADDRESS(ROW()+1, COLUMN(), 4, TRUE, "Import-dataset")) / INDIRECT(ADDRESS(ROW(), COLUMN(), 4, TRUE, "Import-dataset")), "" )</f>
        <v>1.0114722753346079</v>
      </c>
      <c r="BJ6" s="6" cm="1">
        <f t="array" aca="1" ref="BJ6" ca="1">IFERROR( INDIRECT(ADDRESS(ROW()+1, COLUMN(), 4, TRUE, "Import-dataset")) / INDIRECT(ADDRESS(ROW(), COLUMN(), 4, TRUE, "Import-dataset")), "" )</f>
        <v>0.88704663212435231</v>
      </c>
      <c r="BK6" s="6" cm="1">
        <f t="array" aca="1" ref="BK6" ca="1">IFERROR( INDIRECT(ADDRESS(ROW()+1, COLUMN(), 4, TRUE, "Import-dataset")) / INDIRECT(ADDRESS(ROW(), COLUMN(), 4, TRUE, "Import-dataset")), "" )</f>
        <v>1.2064703744093057</v>
      </c>
      <c r="BL6" s="6" cm="1">
        <f t="array" aca="1" ref="BL6" ca="1">IFERROR( INDIRECT(ADDRESS(ROW()+1, COLUMN(), 4, TRUE, "Import-dataset")) / INDIRECT(ADDRESS(ROW(), COLUMN(), 4, TRUE, "Import-dataset")), "" )</f>
        <v>1.0527532880474058</v>
      </c>
      <c r="BM6" s="6" cm="1">
        <f t="array" aca="1" ref="BM6" ca="1">IFERROR( INDIRECT(ADDRESS(ROW()+1, COLUMN(), 4, TRUE, "Import-dataset")) / INDIRECT(ADDRESS(ROW(), COLUMN(), 4, TRUE, "Import-dataset")), "" )</f>
        <v>1.1079136690647482</v>
      </c>
      <c r="BN6" s="6" cm="1">
        <f t="array" aca="1" ref="BN6" ca="1">IFERROR( INDIRECT(ADDRESS(ROW()+1, COLUMN(), 4, TRUE, "Import-dataset")) / INDIRECT(ADDRESS(ROW(), COLUMN(), 4, TRUE, "Import-dataset")), "" )</f>
        <v>0.95859872611464969</v>
      </c>
      <c r="BO6" s="6" cm="1">
        <f t="array" aca="1" ref="BO6" ca="1">IFERROR( INDIRECT(ADDRESS(ROW()+1, COLUMN(), 4, TRUE, "Import-dataset")) / INDIRECT(ADDRESS(ROW(), COLUMN(), 4, TRUE, "Import-dataset")), "" )</f>
        <v>1.0574162679425838</v>
      </c>
      <c r="BP6" s="6" cm="1">
        <f t="array" aca="1" ref="BP6" ca="1">IFERROR( INDIRECT(ADDRESS(ROW()+1, COLUMN(), 4, TRUE, "Import-dataset")) / INDIRECT(ADDRESS(ROW(), COLUMN(), 4, TRUE, "Import-dataset")), "" )</f>
        <v>1.12363238512035</v>
      </c>
      <c r="BQ6" s="6" cm="1">
        <f t="array" aca="1" ref="BQ6" ca="1">IFERROR( INDIRECT(ADDRESS(ROW()+1, COLUMN(), 4, TRUE, "Import-dataset")) / INDIRECT(ADDRESS(ROW(), COLUMN(), 4, TRUE, "Import-dataset")), "" )</f>
        <v>1.0696378830083566</v>
      </c>
      <c r="BR6" s="6" cm="1">
        <f t="array" aca="1" ref="BR6" ca="1">IFERROR( INDIRECT(ADDRESS(ROW()+1, COLUMN(), 4, TRUE, "Import-dataset")) / INDIRECT(ADDRESS(ROW(), COLUMN(), 4, TRUE, "Import-dataset")), "" )</f>
        <v>1.0744588744588746</v>
      </c>
      <c r="BS6" s="6" cm="1">
        <f t="array" aca="1" ref="BS6" ca="1">IFERROR( INDIRECT(ADDRESS(ROW()+1, COLUMN(), 4, TRUE, "Import-dataset")) / INDIRECT(ADDRESS(ROW(), COLUMN(), 4, TRUE, "Import-dataset")), "" )</f>
        <v>1.0089058524173029</v>
      </c>
      <c r="BT6" s="6" cm="1">
        <f t="array" aca="1" ref="BT6" ca="1">IFERROR( INDIRECT(ADDRESS(ROW()+1, COLUMN(), 4, TRUE, "Import-dataset")) / INDIRECT(ADDRESS(ROW(), COLUMN(), 4, TRUE, "Import-dataset")), "" )</f>
        <v>1.0387902695595004</v>
      </c>
      <c r="BU6" s="6" cm="1">
        <f t="array" aca="1" ref="BU6" ca="1">IFERROR( INDIRECT(ADDRESS(ROW()+1, COLUMN(), 4, TRUE, "Import-dataset")) / INDIRECT(ADDRESS(ROW(), COLUMN(), 4, TRUE, "Import-dataset")), "" )</f>
        <v>0.91467889908256883</v>
      </c>
      <c r="BV6" s="6" cm="1">
        <f t="array" aca="1" ref="BV6" ca="1">IFERROR( INDIRECT(ADDRESS(ROW()+1, COLUMN(), 4, TRUE, "Import-dataset")) / INDIRECT(ADDRESS(ROW(), COLUMN(), 4, TRUE, "Import-dataset")), "" )</f>
        <v>5.6795131845841784E-2</v>
      </c>
      <c r="BW6" s="6" cm="1">
        <f t="array" aca="1" ref="BW6" ca="1">IFERROR( INDIRECT(ADDRESS(ROW()+1, COLUMN(), 4, TRUE, "Import-dataset")) / INDIRECT(ADDRESS(ROW(), COLUMN(), 4, TRUE, "Import-dataset")), "" )</f>
        <v>0.39285714285714285</v>
      </c>
      <c r="BX6" s="6" cm="1">
        <f t="array" aca="1" ref="BX6" ca="1">IFERROR( INDIRECT(ADDRESS(ROW()+1, COLUMN(), 4, TRUE, "Import-dataset")) / INDIRECT(ADDRESS(ROW(), COLUMN(), 4, TRUE, "Import-dataset")), "" )</f>
        <v>0</v>
      </c>
      <c r="BY6" s="6" cm="1">
        <f t="array" aca="1" ref="BY6" ca="1">IFERROR( INDIRECT(ADDRESS(ROW()+1, COLUMN(), 4, TRUE, "Import-dataset")) / INDIRECT(ADDRESS(ROW(), COLUMN(), 4, TRUE, "Import-dataset")), "" )</f>
        <v>2.0281030444964872</v>
      </c>
      <c r="BZ6" s="6" cm="1">
        <f t="array" aca="1" ref="BZ6" ca="1">IFERROR( INDIRECT(ADDRESS(ROW()+1, COLUMN(), 4, TRUE, "Import-dataset")) / INDIRECT(ADDRESS(ROW(), COLUMN(), 4, TRUE, "Import-dataset")), "" )</f>
        <v>0.67883211678832112</v>
      </c>
      <c r="CA6" s="6" cm="1">
        <f t="array" aca="1" ref="CA6" ca="1">IFERROR( INDIRECT(ADDRESS(ROW()+1, COLUMN(), 4, TRUE, "Import-dataset")) / INDIRECT(ADDRESS(ROW(), COLUMN(), 4, TRUE, "Import-dataset")), "" )</f>
        <v>0.99724943784131059</v>
      </c>
    </row>
    <row r="7" spans="1:79">
      <c r="A7" s="6" t="s">
        <v>164</v>
      </c>
      <c r="B7" s="6" cm="1">
        <f t="array" aca="1" ref="B7" ca="1">IFERROR( INDIRECT(ADDRESS(ROW()+1, COLUMN(), 4, TRUE, "Import-dataset")) / INDIRECT(ADDRESS(ROW(), COLUMN(), 4, TRUE, "Import-dataset")), "" )</f>
        <v>1.0714642678660671</v>
      </c>
      <c r="C7" s="6" cm="1">
        <f t="array" aca="1" ref="C7" ca="1">IFERROR( INDIRECT(ADDRESS(ROW()+1, COLUMN(), 4, TRUE, "Import-dataset")) / INDIRECT(ADDRESS(ROW(), COLUMN(), 4, TRUE, "Import-dataset")), "" )</f>
        <v>0.95161290322580649</v>
      </c>
      <c r="D7" s="6" cm="1">
        <f t="array" aca="1" ref="D7" ca="1">IFERROR( INDIRECT(ADDRESS(ROW()+1, COLUMN(), 4, TRUE, "Import-dataset")) / INDIRECT(ADDRESS(ROW(), COLUMN(), 4, TRUE, "Import-dataset")), "" )</f>
        <v>0.97499999999999998</v>
      </c>
      <c r="E7" s="6" cm="1">
        <f t="array" aca="1" ref="E7" ca="1">IFERROR( INDIRECT(ADDRESS(ROW()+1, COLUMN(), 4, TRUE, "Import-dataset")) / INDIRECT(ADDRESS(ROW(), COLUMN(), 4, TRUE, "Import-dataset")), "" )</f>
        <v>1.1428571428571428</v>
      </c>
      <c r="F7" s="6" cm="1">
        <f t="array" aca="1" ref="F7" ca="1">IFERROR( INDIRECT(ADDRESS(ROW()+1, COLUMN(), 4, TRUE, "Import-dataset")) / INDIRECT(ADDRESS(ROW(), COLUMN(), 4, TRUE, "Import-dataset")), "" )</f>
        <v>1.0662251655629138</v>
      </c>
      <c r="G7" s="6" cm="1">
        <f t="array" aca="1" ref="G7" ca="1">IFERROR( INDIRECT(ADDRESS(ROW()+1, COLUMN(), 4, TRUE, "Import-dataset")) / INDIRECT(ADDRESS(ROW(), COLUMN(), 4, TRUE, "Import-dataset")), "" )</f>
        <v>1.212962962962963</v>
      </c>
      <c r="H7" s="6" cm="1">
        <f t="array" aca="1" ref="H7" ca="1">IFERROR( INDIRECT(ADDRESS(ROW()+1, COLUMN(), 4, TRUE, "Import-dataset")) / INDIRECT(ADDRESS(ROW(), COLUMN(), 4, TRUE, "Import-dataset")), "" )</f>
        <v>1.0969976905311778</v>
      </c>
      <c r="I7" s="6" cm="1">
        <f t="array" aca="1" ref="I7" ca="1">IFERROR( INDIRECT(ADDRESS(ROW()+1, COLUMN(), 4, TRUE, "Import-dataset")) / INDIRECT(ADDRESS(ROW(), COLUMN(), 4, TRUE, "Import-dataset")), "" )</f>
        <v>1.2807017543859649</v>
      </c>
      <c r="J7" s="6" cm="1">
        <f t="array" aca="1" ref="J7" ca="1">IFERROR( INDIRECT(ADDRESS(ROW()+1, COLUMN(), 4, TRUE, "Import-dataset")) / INDIRECT(ADDRESS(ROW(), COLUMN(), 4, TRUE, "Import-dataset")), "" )</f>
        <v>1.0580645161290323</v>
      </c>
      <c r="K7" s="6" cm="1">
        <f t="array" aca="1" ref="K7" ca="1">IFERROR( INDIRECT(ADDRESS(ROW()+1, COLUMN(), 4, TRUE, "Import-dataset")) / INDIRECT(ADDRESS(ROW(), COLUMN(), 4, TRUE, "Import-dataset")), "" )</f>
        <v>0.82352941176470584</v>
      </c>
      <c r="L7" s="6" cm="1">
        <f t="array" aca="1" ref="L7" ca="1">IFERROR( INDIRECT(ADDRESS(ROW()+1, COLUMN(), 4, TRUE, "Import-dataset")) / INDIRECT(ADDRESS(ROW(), COLUMN(), 4, TRUE, "Import-dataset")), "" )</f>
        <v>1.0304878048780488</v>
      </c>
      <c r="M7" s="6" cm="1">
        <f t="array" aca="1" ref="M7" ca="1">IFERROR( INDIRECT(ADDRESS(ROW()+1, COLUMN(), 4, TRUE, "Import-dataset")) / INDIRECT(ADDRESS(ROW(), COLUMN(), 4, TRUE, "Import-dataset")), "" )</f>
        <v>1.069767441860465</v>
      </c>
      <c r="N7" s="6" cm="1">
        <f t="array" aca="1" ref="N7" ca="1">IFERROR( INDIRECT(ADDRESS(ROW()+1, COLUMN(), 4, TRUE, "Import-dataset")) / INDIRECT(ADDRESS(ROW(), COLUMN(), 4, TRUE, "Import-dataset")), "" )</f>
        <v>1.0594405594405594</v>
      </c>
      <c r="O7" s="6" cm="1">
        <f t="array" aca="1" ref="O7" ca="1">IFERROR( INDIRECT(ADDRESS(ROW()+1, COLUMN(), 4, TRUE, "Import-dataset")) / INDIRECT(ADDRESS(ROW(), COLUMN(), 4, TRUE, "Import-dataset")), "" )</f>
        <v>1.0490196078431373</v>
      </c>
      <c r="P7" s="6" cm="1">
        <f t="array" aca="1" ref="P7" ca="1">IFERROR( INDIRECT(ADDRESS(ROW()+1, COLUMN(), 4, TRUE, "Import-dataset")) / INDIRECT(ADDRESS(ROW(), COLUMN(), 4, TRUE, "Import-dataset")), "" )</f>
        <v>1.1886477462437395</v>
      </c>
      <c r="Q7" s="6" cm="1">
        <f t="array" aca="1" ref="Q7" ca="1">IFERROR( INDIRECT(ADDRESS(ROW()+1, COLUMN(), 4, TRUE, "Import-dataset")) / INDIRECT(ADDRESS(ROW(), COLUMN(), 4, TRUE, "Import-dataset")), "" )</f>
        <v>0</v>
      </c>
      <c r="R7" s="6" cm="1">
        <f t="array" aca="1" ref="R7" ca="1">IFERROR( INDIRECT(ADDRESS(ROW()+1, COLUMN(), 4, TRUE, "Import-dataset")) / INDIRECT(ADDRESS(ROW(), COLUMN(), 4, TRUE, "Import-dataset")), "" )</f>
        <v>1</v>
      </c>
      <c r="S7" s="6" cm="1">
        <f t="array" aca="1" ref="S7" ca="1">IFERROR( INDIRECT(ADDRESS(ROW()+1, COLUMN(), 4, TRUE, "Import-dataset")) / INDIRECT(ADDRESS(ROW(), COLUMN(), 4, TRUE, "Import-dataset")), "" )</f>
        <v>1.1772151898734178</v>
      </c>
      <c r="T7" s="6" cm="1">
        <f t="array" aca="1" ref="T7" ca="1">IFERROR( INDIRECT(ADDRESS(ROW()+1, COLUMN(), 4, TRUE, "Import-dataset")) / INDIRECT(ADDRESS(ROW(), COLUMN(), 4, TRUE, "Import-dataset")), "" )</f>
        <v>1.1807780320366132</v>
      </c>
      <c r="U7" s="6" cm="1">
        <f t="array" aca="1" ref="U7" ca="1">IFERROR( INDIRECT(ADDRESS(ROW()+1, COLUMN(), 4, TRUE, "Import-dataset")) / INDIRECT(ADDRESS(ROW(), COLUMN(), 4, TRUE, "Import-dataset")), "" )</f>
        <v>1.176923076923077</v>
      </c>
      <c r="V7" s="6" cm="1">
        <f t="array" aca="1" ref="V7" ca="1">IFERROR( INDIRECT(ADDRESS(ROW()+1, COLUMN(), 4, TRUE, "Import-dataset")) / INDIRECT(ADDRESS(ROW(), COLUMN(), 4, TRUE, "Import-dataset")), "" )</f>
        <v>1.0597014925373134</v>
      </c>
      <c r="W7" s="6" cm="1">
        <f t="array" aca="1" ref="W7" ca="1">IFERROR( INDIRECT(ADDRESS(ROW()+1, COLUMN(), 4, TRUE, "Import-dataset")) / INDIRECT(ADDRESS(ROW(), COLUMN(), 4, TRUE, "Import-dataset")), "" )</f>
        <v>1.2520325203252032</v>
      </c>
      <c r="X7" s="6" cm="1">
        <f t="array" aca="1" ref="X7" ca="1">IFERROR( INDIRECT(ADDRESS(ROW()+1, COLUMN(), 4, TRUE, "Import-dataset")) / INDIRECT(ADDRESS(ROW(), COLUMN(), 4, TRUE, "Import-dataset")), "" )</f>
        <v>1.4782608695652173</v>
      </c>
      <c r="Y7" s="6" cm="1">
        <f t="array" aca="1" ref="Y7" ca="1">IFERROR( INDIRECT(ADDRESS(ROW()+1, COLUMN(), 4, TRUE, "Import-dataset")) / INDIRECT(ADDRESS(ROW(), COLUMN(), 4, TRUE, "Import-dataset")), "" )</f>
        <v>1.209090909090909</v>
      </c>
      <c r="Z7" s="6" cm="1">
        <f t="array" aca="1" ref="Z7" ca="1">IFERROR( INDIRECT(ADDRESS(ROW()+1, COLUMN(), 4, TRUE, "Import-dataset")) / INDIRECT(ADDRESS(ROW(), COLUMN(), 4, TRUE, "Import-dataset")), "" )</f>
        <v>1.0985438537080934</v>
      </c>
      <c r="AA7" s="6" cm="1">
        <f t="array" aca="1" ref="AA7" ca="1">IFERROR( INDIRECT(ADDRESS(ROW()+1, COLUMN(), 4, TRUE, "Import-dataset")) / INDIRECT(ADDRESS(ROW(), COLUMN(), 4, TRUE, "Import-dataset")), "" )</f>
        <v>1.25</v>
      </c>
      <c r="AB7" s="6" cm="1">
        <f t="array" aca="1" ref="AB7" ca="1">IFERROR( INDIRECT(ADDRESS(ROW()+1, COLUMN(), 4, TRUE, "Import-dataset")) / INDIRECT(ADDRESS(ROW(), COLUMN(), 4, TRUE, "Import-dataset")), "" )</f>
        <v>1.0966643975493533</v>
      </c>
      <c r="AC7" s="6" cm="1">
        <f t="array" aca="1" ref="AC7" ca="1">IFERROR( INDIRECT(ADDRESS(ROW()+1, COLUMN(), 4, TRUE, "Import-dataset")) / INDIRECT(ADDRESS(ROW(), COLUMN(), 4, TRUE, "Import-dataset")), "" )</f>
        <v>2.1428571428571428</v>
      </c>
      <c r="AD7" s="6" cm="1">
        <f t="array" aca="1" ref="AD7" ca="1">IFERROR( INDIRECT(ADDRESS(ROW()+1, COLUMN(), 4, TRUE, "Import-dataset")) / INDIRECT(ADDRESS(ROW(), COLUMN(), 4, TRUE, "Import-dataset")), "" )</f>
        <v>1.2661870503597121</v>
      </c>
      <c r="AE7" s="6" t="str" cm="1">
        <f t="array" aca="1" ref="AE7" ca="1">IFERROR( INDIRECT(ADDRESS(ROW()+1, COLUMN(), 4, TRUE, "Import-dataset")) / INDIRECT(ADDRESS(ROW(), COLUMN(), 4, TRUE, "Import-dataset")), "" )</f>
        <v/>
      </c>
      <c r="AF7" s="6" cm="1">
        <f t="array" aca="1" ref="AF7" ca="1">IFERROR( INDIRECT(ADDRESS(ROW()+1, COLUMN(), 4, TRUE, "Import-dataset")) / INDIRECT(ADDRESS(ROW(), COLUMN(), 4, TRUE, "Import-dataset")), "" )</f>
        <v>1.2580645161290323</v>
      </c>
      <c r="AG7" s="6" cm="1">
        <f t="array" aca="1" ref="AG7" ca="1">IFERROR( INDIRECT(ADDRESS(ROW()+1, COLUMN(), 4, TRUE, "Import-dataset")) / INDIRECT(ADDRESS(ROW(), COLUMN(), 4, TRUE, "Import-dataset")), "" )</f>
        <v>1.3846153846153846</v>
      </c>
      <c r="AH7" s="6" cm="1">
        <f t="array" aca="1" ref="AH7" ca="1">IFERROR( INDIRECT(ADDRESS(ROW()+1, COLUMN(), 4, TRUE, "Import-dataset")) / INDIRECT(ADDRESS(ROW(), COLUMN(), 4, TRUE, "Import-dataset")), "" )</f>
        <v>1.1846563868265754</v>
      </c>
      <c r="AI7" s="6" cm="1">
        <f t="array" aca="1" ref="AI7" ca="1">IFERROR( INDIRECT(ADDRESS(ROW()+1, COLUMN(), 4, TRUE, "Import-dataset")) / INDIRECT(ADDRESS(ROW(), COLUMN(), 4, TRUE, "Import-dataset")), "" )</f>
        <v>1.2298850574712643</v>
      </c>
      <c r="AJ7" s="6" cm="1">
        <f t="array" aca="1" ref="AJ7" ca="1">IFERROR( INDIRECT(ADDRESS(ROW()+1, COLUMN(), 4, TRUE, "Import-dataset")) / INDIRECT(ADDRESS(ROW(), COLUMN(), 4, TRUE, "Import-dataset")), "" )</f>
        <v>0.97493036211699169</v>
      </c>
      <c r="AK7" s="6" cm="1">
        <f t="array" aca="1" ref="AK7" ca="1">IFERROR( INDIRECT(ADDRESS(ROW()+1, COLUMN(), 4, TRUE, "Import-dataset")) / INDIRECT(ADDRESS(ROW(), COLUMN(), 4, TRUE, "Import-dataset")), "" )</f>
        <v>1.2448979591836735</v>
      </c>
      <c r="AL7" s="6" cm="1">
        <f t="array" aca="1" ref="AL7" ca="1">IFERROR( INDIRECT(ADDRESS(ROW()+1, COLUMN(), 4, TRUE, "Import-dataset")) / INDIRECT(ADDRESS(ROW(), COLUMN(), 4, TRUE, "Import-dataset")), "" )</f>
        <v>1.3607257203842049</v>
      </c>
      <c r="AM7" s="6" cm="1">
        <f t="array" aca="1" ref="AM7" ca="1">IFERROR( INDIRECT(ADDRESS(ROW()+1, COLUMN(), 4, TRUE, "Import-dataset")) / INDIRECT(ADDRESS(ROW(), COLUMN(), 4, TRUE, "Import-dataset")), "" )</f>
        <v>1.2514285714285713</v>
      </c>
      <c r="AN7" s="6" cm="1">
        <f t="array" aca="1" ref="AN7" ca="1">IFERROR( INDIRECT(ADDRESS(ROW()+1, COLUMN(), 4, TRUE, "Import-dataset")) / INDIRECT(ADDRESS(ROW(), COLUMN(), 4, TRUE, "Import-dataset")), "" )</f>
        <v>1.091549295774648</v>
      </c>
      <c r="AO7" s="6" cm="1">
        <f t="array" aca="1" ref="AO7" ca="1">IFERROR( INDIRECT(ADDRESS(ROW()+1, COLUMN(), 4, TRUE, "Import-dataset")) / INDIRECT(ADDRESS(ROW(), COLUMN(), 4, TRUE, "Import-dataset")), "" )</f>
        <v>1.0797342192691031</v>
      </c>
      <c r="AP7" s="6" cm="1">
        <f t="array" aca="1" ref="AP7" ca="1">IFERROR( INDIRECT(ADDRESS(ROW()+1, COLUMN(), 4, TRUE, "Import-dataset")) / INDIRECT(ADDRESS(ROW(), COLUMN(), 4, TRUE, "Import-dataset")), "" )</f>
        <v>1.169603524229075</v>
      </c>
      <c r="AQ7" s="6" cm="1">
        <f t="array" aca="1" ref="AQ7" ca="1">IFERROR( INDIRECT(ADDRESS(ROW()+1, COLUMN(), 4, TRUE, "Import-dataset")) / INDIRECT(ADDRESS(ROW(), COLUMN(), 4, TRUE, "Import-dataset")), "" )</f>
        <v>1.1763754045307444</v>
      </c>
      <c r="AR7" s="6" cm="1">
        <f t="array" aca="1" ref="AR7" ca="1">IFERROR( INDIRECT(ADDRESS(ROW()+1, COLUMN(), 4, TRUE, "Import-dataset")) / INDIRECT(ADDRESS(ROW(), COLUMN(), 4, TRUE, "Import-dataset")), "" )</f>
        <v>1.1131926121372031</v>
      </c>
      <c r="AS7" s="6" cm="1">
        <f t="array" aca="1" ref="AS7" ca="1">IFERROR( INDIRECT(ADDRESS(ROW()+1, COLUMN(), 4, TRUE, "Import-dataset")) / INDIRECT(ADDRESS(ROW(), COLUMN(), 4, TRUE, "Import-dataset")), "" )</f>
        <v>1.1186440677966101</v>
      </c>
      <c r="AT7" s="6" cm="1">
        <f t="array" aca="1" ref="AT7" ca="1">IFERROR( INDIRECT(ADDRESS(ROW()+1, COLUMN(), 4, TRUE, "Import-dataset")) / INDIRECT(ADDRESS(ROW(), COLUMN(), 4, TRUE, "Import-dataset")), "" )</f>
        <v>1.109375</v>
      </c>
      <c r="AU7" s="6" cm="1">
        <f t="array" aca="1" ref="AU7" ca="1">IFERROR( INDIRECT(ADDRESS(ROW()+1, COLUMN(), 4, TRUE, "Import-dataset")) / INDIRECT(ADDRESS(ROW(), COLUMN(), 4, TRUE, "Import-dataset")), "" )</f>
        <v>1.0888888888888888</v>
      </c>
      <c r="AV7" s="6" cm="1">
        <f t="array" aca="1" ref="AV7" ca="1">IFERROR( INDIRECT(ADDRESS(ROW()+1, COLUMN(), 4, TRUE, "Import-dataset")) / INDIRECT(ADDRESS(ROW(), COLUMN(), 4, TRUE, "Import-dataset")), "" )</f>
        <v>1.1472291149710505</v>
      </c>
      <c r="AW7" s="6" cm="1">
        <f t="array" aca="1" ref="AW7" ca="1">IFERROR( INDIRECT(ADDRESS(ROW()+1, COLUMN(), 4, TRUE, "Import-dataset")) / INDIRECT(ADDRESS(ROW(), COLUMN(), 4, TRUE, "Import-dataset")), "" )</f>
        <v>1.0959622443628736</v>
      </c>
      <c r="AX7" s="6" cm="1">
        <f t="array" aca="1" ref="AX7" ca="1">IFERROR( INDIRECT(ADDRESS(ROW()+1, COLUMN(), 4, TRUE, "Import-dataset")) / INDIRECT(ADDRESS(ROW(), COLUMN(), 4, TRUE, "Import-dataset")), "" )</f>
        <v>1.107027027027027</v>
      </c>
      <c r="AY7" s="6" cm="1">
        <f t="array" aca="1" ref="AY7" ca="1">IFERROR( INDIRECT(ADDRESS(ROW()+1, COLUMN(), 4, TRUE, "Import-dataset")) / INDIRECT(ADDRESS(ROW(), COLUMN(), 4, TRUE, "Import-dataset")), "" )</f>
        <v>0.95642458100558658</v>
      </c>
      <c r="AZ7" s="6" cm="1">
        <f t="array" aca="1" ref="AZ7" ca="1">IFERROR( INDIRECT(ADDRESS(ROW()+1, COLUMN(), 4, TRUE, "Import-dataset")) / INDIRECT(ADDRESS(ROW(), COLUMN(), 4, TRUE, "Import-dataset")), "" )</f>
        <v>1.1859838274932615</v>
      </c>
      <c r="BA7" s="6" cm="1">
        <f t="array" aca="1" ref="BA7" ca="1">IFERROR( INDIRECT(ADDRESS(ROW()+1, COLUMN(), 4, TRUE, "Import-dataset")) / INDIRECT(ADDRESS(ROW(), COLUMN(), 4, TRUE, "Import-dataset")), "" )</f>
        <v>1.2104832104832104</v>
      </c>
      <c r="BB7" s="6" cm="1">
        <f t="array" aca="1" ref="BB7" ca="1">IFERROR( INDIRECT(ADDRESS(ROW()+1, COLUMN(), 4, TRUE, "Import-dataset")) / INDIRECT(ADDRESS(ROW(), COLUMN(), 4, TRUE, "Import-dataset")), "" )</f>
        <v>1.0845784784098698</v>
      </c>
      <c r="BC7" s="6" cm="1">
        <f t="array" aca="1" ref="BC7" ca="1">IFERROR( INDIRECT(ADDRESS(ROW()+1, COLUMN(), 4, TRUE, "Import-dataset")) / INDIRECT(ADDRESS(ROW(), COLUMN(), 4, TRUE, "Import-dataset")), "" )</f>
        <v>1.0259344012204423</v>
      </c>
      <c r="BD7" s="6" cm="1">
        <f t="array" aca="1" ref="BD7" ca="1">IFERROR( INDIRECT(ADDRESS(ROW()+1, COLUMN(), 4, TRUE, "Import-dataset")) / INDIRECT(ADDRESS(ROW(), COLUMN(), 4, TRUE, "Import-dataset")), "" )</f>
        <v>1.161641127039051</v>
      </c>
      <c r="BE7" s="6" cm="1">
        <f t="array" aca="1" ref="BE7" ca="1">IFERROR( INDIRECT(ADDRESS(ROW()+1, COLUMN(), 4, TRUE, "Import-dataset")) / INDIRECT(ADDRESS(ROW(), COLUMN(), 4, TRUE, "Import-dataset")), "" )</f>
        <v>0.99682539682539684</v>
      </c>
      <c r="BF7" s="6" cm="1">
        <f t="array" aca="1" ref="BF7" ca="1">IFERROR( INDIRECT(ADDRESS(ROW()+1, COLUMN(), 4, TRUE, "Import-dataset")) / INDIRECT(ADDRESS(ROW(), COLUMN(), 4, TRUE, "Import-dataset")), "" )</f>
        <v>1.0463096960926195</v>
      </c>
      <c r="BG7" s="6" cm="1">
        <f t="array" aca="1" ref="BG7" ca="1">IFERROR( INDIRECT(ADDRESS(ROW()+1, COLUMN(), 4, TRUE, "Import-dataset")) / INDIRECT(ADDRESS(ROW(), COLUMN(), 4, TRUE, "Import-dataset")), "" )</f>
        <v>1.1594245449207281</v>
      </c>
      <c r="BH7" s="6" cm="1">
        <f t="array" aca="1" ref="BH7" ca="1">IFERROR( INDIRECT(ADDRESS(ROW()+1, COLUMN(), 4, TRUE, "Import-dataset")) / INDIRECT(ADDRESS(ROW(), COLUMN(), 4, TRUE, "Import-dataset")), "" )</f>
        <v>1.2002194185408668</v>
      </c>
      <c r="BI7" s="6" cm="1">
        <f t="array" aca="1" ref="BI7" ca="1">IFERROR( INDIRECT(ADDRESS(ROW()+1, COLUMN(), 4, TRUE, "Import-dataset")) / INDIRECT(ADDRESS(ROW(), COLUMN(), 4, TRUE, "Import-dataset")), "" )</f>
        <v>1.1693761814744801</v>
      </c>
      <c r="BJ7" s="6" cm="1">
        <f t="array" aca="1" ref="BJ7" ca="1">IFERROR( INDIRECT(ADDRESS(ROW()+1, COLUMN(), 4, TRUE, "Import-dataset")) / INDIRECT(ADDRESS(ROW(), COLUMN(), 4, TRUE, "Import-dataset")), "" )</f>
        <v>1.3028037383177571</v>
      </c>
      <c r="BK7" s="6" cm="1">
        <f t="array" aca="1" ref="BK7" ca="1">IFERROR( INDIRECT(ADDRESS(ROW()+1, COLUMN(), 4, TRUE, "Import-dataset")) / INDIRECT(ADDRESS(ROW(), COLUMN(), 4, TRUE, "Import-dataset")), "" )</f>
        <v>0.61012353118409157</v>
      </c>
      <c r="BL7" s="6" cm="1">
        <f t="array" aca="1" ref="BL7" ca="1">IFERROR( INDIRECT(ADDRESS(ROW()+1, COLUMN(), 4, TRUE, "Import-dataset")) / INDIRECT(ADDRESS(ROW(), COLUMN(), 4, TRUE, "Import-dataset")), "" )</f>
        <v>1.1685886875343219</v>
      </c>
      <c r="BM7" s="6" cm="1">
        <f t="array" aca="1" ref="BM7" ca="1">IFERROR( INDIRECT(ADDRESS(ROW()+1, COLUMN(), 4, TRUE, "Import-dataset")) / INDIRECT(ADDRESS(ROW(), COLUMN(), 4, TRUE, "Import-dataset")), "" )</f>
        <v>1.0779220779220779</v>
      </c>
      <c r="BN7" s="6" cm="1">
        <f t="array" aca="1" ref="BN7" ca="1">IFERROR( INDIRECT(ADDRESS(ROW()+1, COLUMN(), 4, TRUE, "Import-dataset")) / INDIRECT(ADDRESS(ROW(), COLUMN(), 4, TRUE, "Import-dataset")), "" )</f>
        <v>1.1362126245847175</v>
      </c>
      <c r="BO7" s="6" cm="1">
        <f t="array" aca="1" ref="BO7" ca="1">IFERROR( INDIRECT(ADDRESS(ROW()+1, COLUMN(), 4, TRUE, "Import-dataset")) / INDIRECT(ADDRESS(ROW(), COLUMN(), 4, TRUE, "Import-dataset")), "" )</f>
        <v>1.2352941176470589</v>
      </c>
      <c r="BP7" s="6" cm="1">
        <f t="array" aca="1" ref="BP7" ca="1">IFERROR( INDIRECT(ADDRESS(ROW()+1, COLUMN(), 4, TRUE, "Import-dataset")) / INDIRECT(ADDRESS(ROW(), COLUMN(), 4, TRUE, "Import-dataset")), "" )</f>
        <v>1.1762414800389485</v>
      </c>
      <c r="BQ7" s="6" cm="1">
        <f t="array" aca="1" ref="BQ7" ca="1">IFERROR( INDIRECT(ADDRESS(ROW()+1, COLUMN(), 4, TRUE, "Import-dataset")) / INDIRECT(ADDRESS(ROW(), COLUMN(), 4, TRUE, "Import-dataset")), "" )</f>
        <v>1.2526041666666667</v>
      </c>
      <c r="BR7" s="6" cm="1">
        <f t="array" aca="1" ref="BR7" ca="1">IFERROR( INDIRECT(ADDRESS(ROW()+1, COLUMN(), 4, TRUE, "Import-dataset")) / INDIRECT(ADDRESS(ROW(), COLUMN(), 4, TRUE, "Import-dataset")), "" )</f>
        <v>1.1635777598710717</v>
      </c>
      <c r="BS7" s="6" cm="1">
        <f t="array" aca="1" ref="BS7" ca="1">IFERROR( INDIRECT(ADDRESS(ROW()+1, COLUMN(), 4, TRUE, "Import-dataset")) / INDIRECT(ADDRESS(ROW(), COLUMN(), 4, TRUE, "Import-dataset")), "" )</f>
        <v>1.1740226986128626</v>
      </c>
      <c r="BT7" s="6" cm="1">
        <f t="array" aca="1" ref="BT7" ca="1">IFERROR( INDIRECT(ADDRESS(ROW()+1, COLUMN(), 4, TRUE, "Import-dataset")) / INDIRECT(ADDRESS(ROW(), COLUMN(), 4, TRUE, "Import-dataset")), "" )</f>
        <v>1.1613924050632911</v>
      </c>
      <c r="BU7" s="6" cm="1">
        <f t="array" aca="1" ref="BU7" ca="1">IFERROR( INDIRECT(ADDRESS(ROW()+1, COLUMN(), 4, TRUE, "Import-dataset")) / INDIRECT(ADDRESS(ROW(), COLUMN(), 4, TRUE, "Import-dataset")), "" )</f>
        <v>1.2026078234704112</v>
      </c>
      <c r="BV7" s="6" cm="1">
        <f t="array" aca="1" ref="BV7" ca="1">IFERROR( INDIRECT(ADDRESS(ROW()+1, COLUMN(), 4, TRUE, "Import-dataset")) / INDIRECT(ADDRESS(ROW(), COLUMN(), 4, TRUE, "Import-dataset")), "" )</f>
        <v>0.9642857142857143</v>
      </c>
      <c r="BW7" s="6" cm="1">
        <f t="array" aca="1" ref="BW7" ca="1">IFERROR( INDIRECT(ADDRESS(ROW()+1, COLUMN(), 4, TRUE, "Import-dataset")) / INDIRECT(ADDRESS(ROW(), COLUMN(), 4, TRUE, "Import-dataset")), "" )</f>
        <v>9.0909090909090912E-2</v>
      </c>
      <c r="BX7" s="6" t="str" cm="1">
        <f t="array" aca="1" ref="BX7" ca="1">IFERROR( INDIRECT(ADDRESS(ROW()+1, COLUMN(), 4, TRUE, "Import-dataset")) / INDIRECT(ADDRESS(ROW(), COLUMN(), 4, TRUE, "Import-dataset")), "" )</f>
        <v/>
      </c>
      <c r="BY7" s="6" cm="1">
        <f t="array" aca="1" ref="BY7" ca="1">IFERROR( INDIRECT(ADDRESS(ROW()+1, COLUMN(), 4, TRUE, "Import-dataset")) / INDIRECT(ADDRESS(ROW(), COLUMN(), 4, TRUE, "Import-dataset")), "" )</f>
        <v>1.2748267898383372</v>
      </c>
      <c r="BZ7" s="6" cm="1">
        <f t="array" aca="1" ref="BZ7" ca="1">IFERROR( INDIRECT(ADDRESS(ROW()+1, COLUMN(), 4, TRUE, "Import-dataset")) / INDIRECT(ADDRESS(ROW(), COLUMN(), 4, TRUE, "Import-dataset")), "" )</f>
        <v>0.70967741935483875</v>
      </c>
      <c r="CA7" s="6" cm="1">
        <f t="array" aca="1" ref="CA7" ca="1">IFERROR( INDIRECT(ADDRESS(ROW()+1, COLUMN(), 4, TRUE, "Import-dataset")) / INDIRECT(ADDRESS(ROW(), COLUMN(), 4, TRUE, "Import-dataset")), "" )</f>
        <v>1.1175132371001189</v>
      </c>
    </row>
    <row r="8" spans="1:79">
      <c r="A8" s="6" t="s">
        <v>165</v>
      </c>
      <c r="B8" s="6" cm="1">
        <f t="array" aca="1" ref="B8" ca="1">IFERROR( INDIRECT(ADDRESS(ROW()+1, COLUMN(), 4, TRUE, "Import-dataset")) / INDIRECT(ADDRESS(ROW(), COLUMN(), 4, TRUE, "Import-dataset")), "" )</f>
        <v>1.1128731343283582</v>
      </c>
      <c r="C8" s="6" cm="1">
        <f t="array" aca="1" ref="C8" ca="1">IFERROR( INDIRECT(ADDRESS(ROW()+1, COLUMN(), 4, TRUE, "Import-dataset")) / INDIRECT(ADDRESS(ROW(), COLUMN(), 4, TRUE, "Import-dataset")), "" )</f>
        <v>1.1016949152542372</v>
      </c>
      <c r="D8" s="6" cm="1">
        <f t="array" aca="1" ref="D8" ca="1">IFERROR( INDIRECT(ADDRESS(ROW()+1, COLUMN(), 4, TRUE, "Import-dataset")) / INDIRECT(ADDRESS(ROW(), COLUMN(), 4, TRUE, "Import-dataset")), "" )</f>
        <v>1</v>
      </c>
      <c r="E8" s="6" cm="1">
        <f t="array" aca="1" ref="E8" ca="1">IFERROR( INDIRECT(ADDRESS(ROW()+1, COLUMN(), 4, TRUE, "Import-dataset")) / INDIRECT(ADDRESS(ROW(), COLUMN(), 4, TRUE, "Import-dataset")), "" )</f>
        <v>1.0460526315789473</v>
      </c>
      <c r="F8" s="6" cm="1">
        <f t="array" aca="1" ref="F8" ca="1">IFERROR( INDIRECT(ADDRESS(ROW()+1, COLUMN(), 4, TRUE, "Import-dataset")) / INDIRECT(ADDRESS(ROW(), COLUMN(), 4, TRUE, "Import-dataset")), "" )</f>
        <v>1.1138716356107661</v>
      </c>
      <c r="G8" s="6" cm="1">
        <f t="array" aca="1" ref="G8" ca="1">IFERROR( INDIRECT(ADDRESS(ROW()+1, COLUMN(), 4, TRUE, "Import-dataset")) / INDIRECT(ADDRESS(ROW(), COLUMN(), 4, TRUE, "Import-dataset")), "" )</f>
        <v>1.0610687022900764</v>
      </c>
      <c r="H8" s="6" cm="1">
        <f t="array" aca="1" ref="H8" ca="1">IFERROR( INDIRECT(ADDRESS(ROW()+1, COLUMN(), 4, TRUE, "Import-dataset")) / INDIRECT(ADDRESS(ROW(), COLUMN(), 4, TRUE, "Import-dataset")), "" )</f>
        <v>1.0547368421052632</v>
      </c>
      <c r="I8" s="6" cm="1">
        <f t="array" aca="1" ref="I8" ca="1">IFERROR( INDIRECT(ADDRESS(ROW()+1, COLUMN(), 4, TRUE, "Import-dataset")) / INDIRECT(ADDRESS(ROW(), COLUMN(), 4, TRUE, "Import-dataset")), "" )</f>
        <v>1</v>
      </c>
      <c r="J8" s="6" cm="1">
        <f t="array" aca="1" ref="J8" ca="1">IFERROR( INDIRECT(ADDRESS(ROW()+1, COLUMN(), 4, TRUE, "Import-dataset")) / INDIRECT(ADDRESS(ROW(), COLUMN(), 4, TRUE, "Import-dataset")), "" )</f>
        <v>1.0914634146341464</v>
      </c>
      <c r="K8" s="6" cm="1">
        <f t="array" aca="1" ref="K8" ca="1">IFERROR( INDIRECT(ADDRESS(ROW()+1, COLUMN(), 4, TRUE, "Import-dataset")) / INDIRECT(ADDRESS(ROW(), COLUMN(), 4, TRUE, "Import-dataset")), "" )</f>
        <v>1.2428571428571429</v>
      </c>
      <c r="L8" s="6" cm="1">
        <f t="array" aca="1" ref="L8" ca="1">IFERROR( INDIRECT(ADDRESS(ROW()+1, COLUMN(), 4, TRUE, "Import-dataset")) / INDIRECT(ADDRESS(ROW(), COLUMN(), 4, TRUE, "Import-dataset")), "" )</f>
        <v>1.2485207100591715</v>
      </c>
      <c r="M8" s="6" cm="1">
        <f t="array" aca="1" ref="M8" ca="1">IFERROR( INDIRECT(ADDRESS(ROW()+1, COLUMN(), 4, TRUE, "Import-dataset")) / INDIRECT(ADDRESS(ROW(), COLUMN(), 4, TRUE, "Import-dataset")), "" )</f>
        <v>1.0966183574879227</v>
      </c>
      <c r="N8" s="6" cm="1">
        <f t="array" aca="1" ref="N8" ca="1">IFERROR( INDIRECT(ADDRESS(ROW()+1, COLUMN(), 4, TRUE, "Import-dataset")) / INDIRECT(ADDRESS(ROW(), COLUMN(), 4, TRUE, "Import-dataset")), "" )</f>
        <v>1.0495049504950495</v>
      </c>
      <c r="O8" s="6" cm="1">
        <f t="array" aca="1" ref="O8" ca="1">IFERROR( INDIRECT(ADDRESS(ROW()+1, COLUMN(), 4, TRUE, "Import-dataset")) / INDIRECT(ADDRESS(ROW(), COLUMN(), 4, TRUE, "Import-dataset")), "" )</f>
        <v>1.2429906542056075</v>
      </c>
      <c r="P8" s="6" cm="1">
        <f t="array" aca="1" ref="P8" ca="1">IFERROR( INDIRECT(ADDRESS(ROW()+1, COLUMN(), 4, TRUE, "Import-dataset")) / INDIRECT(ADDRESS(ROW(), COLUMN(), 4, TRUE, "Import-dataset")), "" )</f>
        <v>1.086376404494382</v>
      </c>
      <c r="Q8" s="6" t="str" cm="1">
        <f t="array" aca="1" ref="Q8" ca="1">IFERROR( INDIRECT(ADDRESS(ROW()+1, COLUMN(), 4, TRUE, "Import-dataset")) / INDIRECT(ADDRESS(ROW(), COLUMN(), 4, TRUE, "Import-dataset")), "" )</f>
        <v/>
      </c>
      <c r="R8" s="6" cm="1">
        <f t="array" aca="1" ref="R8" ca="1">IFERROR( INDIRECT(ADDRESS(ROW()+1, COLUMN(), 4, TRUE, "Import-dataset")) / INDIRECT(ADDRESS(ROW(), COLUMN(), 4, TRUE, "Import-dataset")), "" )</f>
        <v>1.1206896551724137</v>
      </c>
      <c r="S8" s="6" cm="1">
        <f t="array" aca="1" ref="S8" ca="1">IFERROR( INDIRECT(ADDRESS(ROW()+1, COLUMN(), 4, TRUE, "Import-dataset")) / INDIRECT(ADDRESS(ROW(), COLUMN(), 4, TRUE, "Import-dataset")), "" )</f>
        <v>1.1935483870967742</v>
      </c>
      <c r="T8" s="6" cm="1">
        <f t="array" aca="1" ref="T8" ca="1">IFERROR( INDIRECT(ADDRESS(ROW()+1, COLUMN(), 4, TRUE, "Import-dataset")) / INDIRECT(ADDRESS(ROW(), COLUMN(), 4, TRUE, "Import-dataset")), "" )</f>
        <v>1.2635658914728682</v>
      </c>
      <c r="U8" s="6" cm="1">
        <f t="array" aca="1" ref="U8" ca="1">IFERROR( INDIRECT(ADDRESS(ROW()+1, COLUMN(), 4, TRUE, "Import-dataset")) / INDIRECT(ADDRESS(ROW(), COLUMN(), 4, TRUE, "Import-dataset")), "" )</f>
        <v>0.92156862745098034</v>
      </c>
      <c r="V8" s="6" cm="1">
        <f t="array" aca="1" ref="V8" ca="1">IFERROR( INDIRECT(ADDRESS(ROW()+1, COLUMN(), 4, TRUE, "Import-dataset")) / INDIRECT(ADDRESS(ROW(), COLUMN(), 4, TRUE, "Import-dataset")), "" )</f>
        <v>1.0774647887323943</v>
      </c>
      <c r="W8" s="6" cm="1">
        <f t="array" aca="1" ref="W8" ca="1">IFERROR( INDIRECT(ADDRESS(ROW()+1, COLUMN(), 4, TRUE, "Import-dataset")) / INDIRECT(ADDRESS(ROW(), COLUMN(), 4, TRUE, "Import-dataset")), "" )</f>
        <v>0.90259740259740262</v>
      </c>
      <c r="X8" s="6" cm="1">
        <f t="array" aca="1" ref="X8" ca="1">IFERROR( INDIRECT(ADDRESS(ROW()+1, COLUMN(), 4, TRUE, "Import-dataset")) / INDIRECT(ADDRESS(ROW(), COLUMN(), 4, TRUE, "Import-dataset")), "" )</f>
        <v>0.75294117647058822</v>
      </c>
      <c r="Y8" s="6" cm="1">
        <f t="array" aca="1" ref="Y8" ca="1">IFERROR( INDIRECT(ADDRESS(ROW()+1, COLUMN(), 4, TRUE, "Import-dataset")) / INDIRECT(ADDRESS(ROW(), COLUMN(), 4, TRUE, "Import-dataset")), "" )</f>
        <v>1.1654135338345866</v>
      </c>
      <c r="Z8" s="6" cm="1">
        <f t="array" aca="1" ref="Z8" ca="1">IFERROR( INDIRECT(ADDRESS(ROW()+1, COLUMN(), 4, TRUE, "Import-dataset")) / INDIRECT(ADDRESS(ROW(), COLUMN(), 4, TRUE, "Import-dataset")), "" )</f>
        <v>1.1781750924784218</v>
      </c>
      <c r="AA8" s="6" cm="1">
        <f t="array" aca="1" ref="AA8" ca="1">IFERROR( INDIRECT(ADDRESS(ROW()+1, COLUMN(), 4, TRUE, "Import-dataset")) / INDIRECT(ADDRESS(ROW(), COLUMN(), 4, TRUE, "Import-dataset")), "" )</f>
        <v>3.2</v>
      </c>
      <c r="AB8" s="6" cm="1">
        <f t="array" aca="1" ref="AB8" ca="1">IFERROR( INDIRECT(ADDRESS(ROW()+1, COLUMN(), 4, TRUE, "Import-dataset")) / INDIRECT(ADDRESS(ROW(), COLUMN(), 4, TRUE, "Import-dataset")), "" )</f>
        <v>1.1734947237740534</v>
      </c>
      <c r="AC8" s="6" cm="1">
        <f t="array" aca="1" ref="AC8" ca="1">IFERROR( INDIRECT(ADDRESS(ROW()+1, COLUMN(), 4, TRUE, "Import-dataset")) / INDIRECT(ADDRESS(ROW(), COLUMN(), 4, TRUE, "Import-dataset")), "" )</f>
        <v>1.4666666666666666</v>
      </c>
      <c r="AD8" s="6" cm="1">
        <f t="array" aca="1" ref="AD8" ca="1">IFERROR( INDIRECT(ADDRESS(ROW()+1, COLUMN(), 4, TRUE, "Import-dataset")) / INDIRECT(ADDRESS(ROW(), COLUMN(), 4, TRUE, "Import-dataset")), "" )</f>
        <v>1.125</v>
      </c>
      <c r="AE8" s="6" t="str" cm="1">
        <f t="array" aca="1" ref="AE8" ca="1">IFERROR( INDIRECT(ADDRESS(ROW()+1, COLUMN(), 4, TRUE, "Import-dataset")) / INDIRECT(ADDRESS(ROW(), COLUMN(), 4, TRUE, "Import-dataset")), "" )</f>
        <v/>
      </c>
      <c r="AF8" s="6" cm="1">
        <f t="array" aca="1" ref="AF8" ca="1">IFERROR( INDIRECT(ADDRESS(ROW()+1, COLUMN(), 4, TRUE, "Import-dataset")) / INDIRECT(ADDRESS(ROW(), COLUMN(), 4, TRUE, "Import-dataset")), "" )</f>
        <v>1.1474358974358974</v>
      </c>
      <c r="AG8" s="6" cm="1">
        <f t="array" aca="1" ref="AG8" ca="1">IFERROR( INDIRECT(ADDRESS(ROW()+1, COLUMN(), 4, TRUE, "Import-dataset")) / INDIRECT(ADDRESS(ROW(), COLUMN(), 4, TRUE, "Import-dataset")), "" )</f>
        <v>0.94444444444444442</v>
      </c>
      <c r="AH8" s="6" cm="1">
        <f t="array" aca="1" ref="AH8" ca="1">IFERROR( INDIRECT(ADDRESS(ROW()+1, COLUMN(), 4, TRUE, "Import-dataset")) / INDIRECT(ADDRESS(ROW(), COLUMN(), 4, TRUE, "Import-dataset")), "" )</f>
        <v>1.0991483207456212</v>
      </c>
      <c r="AI8" s="6" cm="1">
        <f t="array" aca="1" ref="AI8" ca="1">IFERROR( INDIRECT(ADDRESS(ROW()+1, COLUMN(), 4, TRUE, "Import-dataset")) / INDIRECT(ADDRESS(ROW(), COLUMN(), 4, TRUE, "Import-dataset")), "" )</f>
        <v>1.1612149532710281</v>
      </c>
      <c r="AJ8" s="6" cm="1">
        <f t="array" aca="1" ref="AJ8" ca="1">IFERROR( INDIRECT(ADDRESS(ROW()+1, COLUMN(), 4, TRUE, "Import-dataset")) / INDIRECT(ADDRESS(ROW(), COLUMN(), 4, TRUE, "Import-dataset")), "" )</f>
        <v>0.83142857142857141</v>
      </c>
      <c r="AK8" s="6" cm="1">
        <f t="array" aca="1" ref="AK8" ca="1">IFERROR( INDIRECT(ADDRESS(ROW()+1, COLUMN(), 4, TRUE, "Import-dataset")) / INDIRECT(ADDRESS(ROW(), COLUMN(), 4, TRUE, "Import-dataset")), "" )</f>
        <v>1.098360655737705</v>
      </c>
      <c r="AL8" s="6" cm="1">
        <f t="array" aca="1" ref="AL8" ca="1">IFERROR( INDIRECT(ADDRESS(ROW()+1, COLUMN(), 4, TRUE, "Import-dataset")) / INDIRECT(ADDRESS(ROW(), COLUMN(), 4, TRUE, "Import-dataset")), "" )</f>
        <v>1.0925490196078431</v>
      </c>
      <c r="AM8" s="6" cm="1">
        <f t="array" aca="1" ref="AM8" ca="1">IFERROR( INDIRECT(ADDRESS(ROW()+1, COLUMN(), 4, TRUE, "Import-dataset")) / INDIRECT(ADDRESS(ROW(), COLUMN(), 4, TRUE, "Import-dataset")), "" )</f>
        <v>1.1210045662100456</v>
      </c>
      <c r="AN8" s="6" cm="1">
        <f t="array" aca="1" ref="AN8" ca="1">IFERROR( INDIRECT(ADDRESS(ROW()+1, COLUMN(), 4, TRUE, "Import-dataset")) / INDIRECT(ADDRESS(ROW(), COLUMN(), 4, TRUE, "Import-dataset")), "" )</f>
        <v>1.2129032258064516</v>
      </c>
      <c r="AO8" s="6" cm="1">
        <f t="array" aca="1" ref="AO8" ca="1">IFERROR( INDIRECT(ADDRESS(ROW()+1, COLUMN(), 4, TRUE, "Import-dataset")) / INDIRECT(ADDRESS(ROW(), COLUMN(), 4, TRUE, "Import-dataset")), "" )</f>
        <v>1.1200000000000001</v>
      </c>
      <c r="AP8" s="6" cm="1">
        <f t="array" aca="1" ref="AP8" ca="1">IFERROR( INDIRECT(ADDRESS(ROW()+1, COLUMN(), 4, TRUE, "Import-dataset")) / INDIRECT(ADDRESS(ROW(), COLUMN(), 4, TRUE, "Import-dataset")), "" )</f>
        <v>1.1412429378531073</v>
      </c>
      <c r="AQ8" s="6" cm="1">
        <f t="array" aca="1" ref="AQ8" ca="1">IFERROR( INDIRECT(ADDRESS(ROW()+1, COLUMN(), 4, TRUE, "Import-dataset")) / INDIRECT(ADDRESS(ROW(), COLUMN(), 4, TRUE, "Import-dataset")), "" )</f>
        <v>1.156808803301238</v>
      </c>
      <c r="AR8" s="6" cm="1">
        <f t="array" aca="1" ref="AR8" ca="1">IFERROR( INDIRECT(ADDRESS(ROW()+1, COLUMN(), 4, TRUE, "Import-dataset")) / INDIRECT(ADDRESS(ROW(), COLUMN(), 4, TRUE, "Import-dataset")), "" )</f>
        <v>1.0829580469305522</v>
      </c>
      <c r="AS8" s="6" cm="1">
        <f t="array" aca="1" ref="AS8" ca="1">IFERROR( INDIRECT(ADDRESS(ROW()+1, COLUMN(), 4, TRUE, "Import-dataset")) / INDIRECT(ADDRESS(ROW(), COLUMN(), 4, TRUE, "Import-dataset")), "" )</f>
        <v>1.0378787878787878</v>
      </c>
      <c r="AT8" s="6" cm="1">
        <f t="array" aca="1" ref="AT8" ca="1">IFERROR( INDIRECT(ADDRESS(ROW()+1, COLUMN(), 4, TRUE, "Import-dataset")) / INDIRECT(ADDRESS(ROW(), COLUMN(), 4, TRUE, "Import-dataset")), "" )</f>
        <v>1.1306017925736236</v>
      </c>
      <c r="AU8" s="6" cm="1">
        <f t="array" aca="1" ref="AU8" ca="1">IFERROR( INDIRECT(ADDRESS(ROW()+1, COLUMN(), 4, TRUE, "Import-dataset")) / INDIRECT(ADDRESS(ROW(), COLUMN(), 4, TRUE, "Import-dataset")), "" )</f>
        <v>1.1183673469387756</v>
      </c>
      <c r="AV8" s="6" cm="1">
        <f t="array" aca="1" ref="AV8" ca="1">IFERROR( INDIRECT(ADDRESS(ROW()+1, COLUMN(), 4, TRUE, "Import-dataset")) / INDIRECT(ADDRESS(ROW(), COLUMN(), 4, TRUE, "Import-dataset")), "" )</f>
        <v>1.0706560922855084</v>
      </c>
      <c r="AW8" s="6" cm="1">
        <f t="array" aca="1" ref="AW8" ca="1">IFERROR( INDIRECT(ADDRESS(ROW()+1, COLUMN(), 4, TRUE, "Import-dataset")) / INDIRECT(ADDRESS(ROW(), COLUMN(), 4, TRUE, "Import-dataset")), "" )</f>
        <v>1.0564593301435408</v>
      </c>
      <c r="AX8" s="6" cm="1">
        <f t="array" aca="1" ref="AX8" ca="1">IFERROR( INDIRECT(ADDRESS(ROW()+1, COLUMN(), 4, TRUE, "Import-dataset")) / INDIRECT(ADDRESS(ROW(), COLUMN(), 4, TRUE, "Import-dataset")), "" )</f>
        <v>1.013671875</v>
      </c>
      <c r="AY8" s="6" cm="1">
        <f t="array" aca="1" ref="AY8" ca="1">IFERROR( INDIRECT(ADDRESS(ROW()+1, COLUMN(), 4, TRUE, "Import-dataset")) / INDIRECT(ADDRESS(ROW(), COLUMN(), 4, TRUE, "Import-dataset")), "" )</f>
        <v>1.2126168224299065</v>
      </c>
      <c r="AZ8" s="6" cm="1">
        <f t="array" aca="1" ref="AZ8" ca="1">IFERROR( INDIRECT(ADDRESS(ROW()+1, COLUMN(), 4, TRUE, "Import-dataset")) / INDIRECT(ADDRESS(ROW(), COLUMN(), 4, TRUE, "Import-dataset")), "" )</f>
        <v>1.0818181818181818</v>
      </c>
      <c r="BA8" s="6" cm="1">
        <f t="array" aca="1" ref="BA8" ca="1">IFERROR( INDIRECT(ADDRESS(ROW()+1, COLUMN(), 4, TRUE, "Import-dataset")) / INDIRECT(ADDRESS(ROW(), COLUMN(), 4, TRUE, "Import-dataset")), "" )</f>
        <v>1.0811907983761839</v>
      </c>
      <c r="BB8" s="6" cm="1">
        <f t="array" aca="1" ref="BB8" ca="1">IFERROR( INDIRECT(ADDRESS(ROW()+1, COLUMN(), 4, TRUE, "Import-dataset")) / INDIRECT(ADDRESS(ROW(), COLUMN(), 4, TRUE, "Import-dataset")), "" )</f>
        <v>1.1581142568250757</v>
      </c>
      <c r="BC8" s="6" cm="1">
        <f t="array" aca="1" ref="BC8" ca="1">IFERROR( INDIRECT(ADDRESS(ROW()+1, COLUMN(), 4, TRUE, "Import-dataset")) / INDIRECT(ADDRESS(ROW(), COLUMN(), 4, TRUE, "Import-dataset")), "" )</f>
        <v>1.237918215613383</v>
      </c>
      <c r="BD8" s="6" cm="1">
        <f t="array" aca="1" ref="BD8" ca="1">IFERROR( INDIRECT(ADDRESS(ROW()+1, COLUMN(), 4, TRUE, "Import-dataset")) / INDIRECT(ADDRESS(ROW(), COLUMN(), 4, TRUE, "Import-dataset")), "" )</f>
        <v>1.1561702127659574</v>
      </c>
      <c r="BE8" s="6" cm="1">
        <f t="array" aca="1" ref="BE8" ca="1">IFERROR( INDIRECT(ADDRESS(ROW()+1, COLUMN(), 4, TRUE, "Import-dataset")) / INDIRECT(ADDRESS(ROW(), COLUMN(), 4, TRUE, "Import-dataset")), "" )</f>
        <v>1.0318471337579618</v>
      </c>
      <c r="BF8" s="6" cm="1">
        <f t="array" aca="1" ref="BF8" ca="1">IFERROR( INDIRECT(ADDRESS(ROW()+1, COLUMN(), 4, TRUE, "Import-dataset")) / INDIRECT(ADDRESS(ROW(), COLUMN(), 4, TRUE, "Import-dataset")), "" )</f>
        <v>1.1843015214384509</v>
      </c>
      <c r="BG8" s="6" cm="1">
        <f t="array" aca="1" ref="BG8" ca="1">IFERROR( INDIRECT(ADDRESS(ROW()+1, COLUMN(), 4, TRUE, "Import-dataset")) / INDIRECT(ADDRESS(ROW(), COLUMN(), 4, TRUE, "Import-dataset")), "" )</f>
        <v>1.158774373259053</v>
      </c>
      <c r="BH8" s="6" cm="1">
        <f t="array" aca="1" ref="BH8" ca="1">IFERROR( INDIRECT(ADDRESS(ROW()+1, COLUMN(), 4, TRUE, "Import-dataset")) / INDIRECT(ADDRESS(ROW(), COLUMN(), 4, TRUE, "Import-dataset")), "" )</f>
        <v>1.1371115173674589</v>
      </c>
      <c r="BI8" s="6" cm="1">
        <f t="array" aca="1" ref="BI8" ca="1">IFERROR( INDIRECT(ADDRESS(ROW()+1, COLUMN(), 4, TRUE, "Import-dataset")) / INDIRECT(ADDRESS(ROW(), COLUMN(), 4, TRUE, "Import-dataset")), "" )</f>
        <v>1.2130617523440026</v>
      </c>
      <c r="BJ8" s="6" cm="1">
        <f t="array" aca="1" ref="BJ8" ca="1">IFERROR( INDIRECT(ADDRESS(ROW()+1, COLUMN(), 4, TRUE, "Import-dataset")) / INDIRECT(ADDRESS(ROW(), COLUMN(), 4, TRUE, "Import-dataset")), "" )</f>
        <v>1.2006814921090387</v>
      </c>
      <c r="BK8" s="6" cm="1">
        <f t="array" aca="1" ref="BK8" ca="1">IFERROR( INDIRECT(ADDRESS(ROW()+1, COLUMN(), 4, TRUE, "Import-dataset")) / INDIRECT(ADDRESS(ROW(), COLUMN(), 4, TRUE, "Import-dataset")), "" )</f>
        <v>0.91061728395061725</v>
      </c>
      <c r="BL8" s="6" cm="1">
        <f t="array" aca="1" ref="BL8" ca="1">IFERROR( INDIRECT(ADDRESS(ROW()+1, COLUMN(), 4, TRUE, "Import-dataset")) / INDIRECT(ADDRESS(ROW(), COLUMN(), 4, TRUE, "Import-dataset")), "" )</f>
        <v>1.1063204887218046</v>
      </c>
      <c r="BM8" s="6" cm="1">
        <f t="array" aca="1" ref="BM8" ca="1">IFERROR( INDIRECT(ADDRESS(ROW()+1, COLUMN(), 4, TRUE, "Import-dataset")) / INDIRECT(ADDRESS(ROW(), COLUMN(), 4, TRUE, "Import-dataset")), "" )</f>
        <v>1.0963855421686748</v>
      </c>
      <c r="BN8" s="6" cm="1">
        <f t="array" aca="1" ref="BN8" ca="1">IFERROR( INDIRECT(ADDRESS(ROW()+1, COLUMN(), 4, TRUE, "Import-dataset")) / INDIRECT(ADDRESS(ROW(), COLUMN(), 4, TRUE, "Import-dataset")), "" )</f>
        <v>1.0789473684210527</v>
      </c>
      <c r="BO8" s="6" cm="1">
        <f t="array" aca="1" ref="BO8" ca="1">IFERROR( INDIRECT(ADDRESS(ROW()+1, COLUMN(), 4, TRUE, "Import-dataset")) / INDIRECT(ADDRESS(ROW(), COLUMN(), 4, TRUE, "Import-dataset")), "" )</f>
        <v>0.99633699633699635</v>
      </c>
      <c r="BP8" s="6" cm="1">
        <f t="array" aca="1" ref="BP8" ca="1">IFERROR( INDIRECT(ADDRESS(ROW()+1, COLUMN(), 4, TRUE, "Import-dataset")) / INDIRECT(ADDRESS(ROW(), COLUMN(), 4, TRUE, "Import-dataset")), "" )</f>
        <v>1.2036423841059603</v>
      </c>
      <c r="BQ8" s="6" cm="1">
        <f t="array" aca="1" ref="BQ8" ca="1">IFERROR( INDIRECT(ADDRESS(ROW()+1, COLUMN(), 4, TRUE, "Import-dataset")) / INDIRECT(ADDRESS(ROW(), COLUMN(), 4, TRUE, "Import-dataset")), "" )</f>
        <v>1.0706860706860706</v>
      </c>
      <c r="BR8" s="6" cm="1">
        <f t="array" aca="1" ref="BR8" ca="1">IFERROR( INDIRECT(ADDRESS(ROW()+1, COLUMN(), 4, TRUE, "Import-dataset")) / INDIRECT(ADDRESS(ROW(), COLUMN(), 4, TRUE, "Import-dataset")), "" )</f>
        <v>1.1412742382271468</v>
      </c>
      <c r="BS8" s="6" cm="1">
        <f t="array" aca="1" ref="BS8" ca="1">IFERROR( INDIRECT(ADDRESS(ROW()+1, COLUMN(), 4, TRUE, "Import-dataset")) / INDIRECT(ADDRESS(ROW(), COLUMN(), 4, TRUE, "Import-dataset")), "" )</f>
        <v>1.0998925886143931</v>
      </c>
      <c r="BT8" s="6" cm="1">
        <f t="array" aca="1" ref="BT8" ca="1">IFERROR( INDIRECT(ADDRESS(ROW()+1, COLUMN(), 4, TRUE, "Import-dataset")) / INDIRECT(ADDRESS(ROW(), COLUMN(), 4, TRUE, "Import-dataset")), "" )</f>
        <v>1.0782016348773842</v>
      </c>
      <c r="BU8" s="6" cm="1">
        <f t="array" aca="1" ref="BU8" ca="1">IFERROR( INDIRECT(ADDRESS(ROW()+1, COLUMN(), 4, TRUE, "Import-dataset")) / INDIRECT(ADDRESS(ROW(), COLUMN(), 4, TRUE, "Import-dataset")), "" )</f>
        <v>0.92410341951626351</v>
      </c>
      <c r="BV8" s="6" cm="1">
        <f t="array" aca="1" ref="BV8" ca="1">IFERROR( INDIRECT(ADDRESS(ROW()+1, COLUMN(), 4, TRUE, "Import-dataset")) / INDIRECT(ADDRESS(ROW(), COLUMN(), 4, TRUE, "Import-dataset")), "" )</f>
        <v>1.3703703703703705</v>
      </c>
      <c r="BW8" s="6" cm="1">
        <f t="array" aca="1" ref="BW8" ca="1">IFERROR( INDIRECT(ADDRESS(ROW()+1, COLUMN(), 4, TRUE, "Import-dataset")) / INDIRECT(ADDRESS(ROW(), COLUMN(), 4, TRUE, "Import-dataset")), "" )</f>
        <v>1</v>
      </c>
      <c r="BX8" s="6" t="str" cm="1">
        <f t="array" aca="1" ref="BX8" ca="1">IFERROR( INDIRECT(ADDRESS(ROW()+1, COLUMN(), 4, TRUE, "Import-dataset")) / INDIRECT(ADDRESS(ROW(), COLUMN(), 4, TRUE, "Import-dataset")), "" )</f>
        <v/>
      </c>
      <c r="BY8" s="6" cm="1">
        <f t="array" aca="1" ref="BY8" ca="1">IFERROR( INDIRECT(ADDRESS(ROW()+1, COLUMN(), 4, TRUE, "Import-dataset")) / INDIRECT(ADDRESS(ROW(), COLUMN(), 4, TRUE, "Import-dataset")), "" )</f>
        <v>0.90851449275362317</v>
      </c>
      <c r="BZ8" s="6" cm="1">
        <f t="array" aca="1" ref="BZ8" ca="1">IFERROR( INDIRECT(ADDRESS(ROW()+1, COLUMN(), 4, TRUE, "Import-dataset")) / INDIRECT(ADDRESS(ROW(), COLUMN(), 4, TRUE, "Import-dataset")), "" )</f>
        <v>1.0303030303030303</v>
      </c>
      <c r="CA8" s="6" cm="1">
        <f t="array" aca="1" ref="CA8" ca="1">IFERROR( INDIRECT(ADDRESS(ROW()+1, COLUMN(), 4, TRUE, "Import-dataset")) / INDIRECT(ADDRESS(ROW(), COLUMN(), 4, TRUE, "Import-dataset")), "" )</f>
        <v>1.1242163291777763</v>
      </c>
    </row>
    <row r="9" spans="1:79">
      <c r="A9" s="6" t="s">
        <v>166</v>
      </c>
      <c r="B9" s="6" cm="1">
        <f t="array" aca="1" ref="B9" ca="1">IFERROR( INDIRECT(ADDRESS(ROW()+1, COLUMN(), 4, TRUE, "Import-dataset")) / INDIRECT(ADDRESS(ROW(), COLUMN(), 4, TRUE, "Import-dataset")), "" )</f>
        <v>1.0813076278290026</v>
      </c>
      <c r="C9" s="6" cm="1">
        <f t="array" aca="1" ref="C9" ca="1">IFERROR( INDIRECT(ADDRESS(ROW()+1, COLUMN(), 4, TRUE, "Import-dataset")) / INDIRECT(ADDRESS(ROW(), COLUMN(), 4, TRUE, "Import-dataset")), "" )</f>
        <v>1.2461538461538462</v>
      </c>
      <c r="D9" s="6" cm="1">
        <f t="array" aca="1" ref="D9" ca="1">IFERROR( INDIRECT(ADDRESS(ROW()+1, COLUMN(), 4, TRUE, "Import-dataset")) / INDIRECT(ADDRESS(ROW(), COLUMN(), 4, TRUE, "Import-dataset")), "" )</f>
        <v>1.0769230769230769</v>
      </c>
      <c r="E9" s="6" cm="1">
        <f t="array" aca="1" ref="E9" ca="1">IFERROR( INDIRECT(ADDRESS(ROW()+1, COLUMN(), 4, TRUE, "Import-dataset")) / INDIRECT(ADDRESS(ROW(), COLUMN(), 4, TRUE, "Import-dataset")), "" )</f>
        <v>1.0125786163522013</v>
      </c>
      <c r="F9" s="6" cm="1">
        <f t="array" aca="1" ref="F9" ca="1">IFERROR( INDIRECT(ADDRESS(ROW()+1, COLUMN(), 4, TRUE, "Import-dataset")) / INDIRECT(ADDRESS(ROW(), COLUMN(), 4, TRUE, "Import-dataset")), "" )</f>
        <v>1.0817843866171004</v>
      </c>
      <c r="G9" s="6" cm="1">
        <f t="array" aca="1" ref="G9" ca="1">IFERROR( INDIRECT(ADDRESS(ROW()+1, COLUMN(), 4, TRUE, "Import-dataset")) / INDIRECT(ADDRESS(ROW(), COLUMN(), 4, TRUE, "Import-dataset")), "" )</f>
        <v>1.064748201438849</v>
      </c>
      <c r="H9" s="6" cm="1">
        <f t="array" aca="1" ref="H9" ca="1">IFERROR( INDIRECT(ADDRESS(ROW()+1, COLUMN(), 4, TRUE, "Import-dataset")) / INDIRECT(ADDRESS(ROW(), COLUMN(), 4, TRUE, "Import-dataset")), "" )</f>
        <v>1.0059880239520957</v>
      </c>
      <c r="I9" s="6" cm="1">
        <f t="array" aca="1" ref="I9" ca="1">IFERROR( INDIRECT(ADDRESS(ROW()+1, COLUMN(), 4, TRUE, "Import-dataset")) / INDIRECT(ADDRESS(ROW(), COLUMN(), 4, TRUE, "Import-dataset")), "" )</f>
        <v>1.0273972602739727</v>
      </c>
      <c r="J9" s="6" cm="1">
        <f t="array" aca="1" ref="J9" ca="1">IFERROR( INDIRECT(ADDRESS(ROW()+1, COLUMN(), 4, TRUE, "Import-dataset")) / INDIRECT(ADDRESS(ROW(), COLUMN(), 4, TRUE, "Import-dataset")), "" )</f>
        <v>1.2206703910614525</v>
      </c>
      <c r="K9" s="6" cm="1">
        <f t="array" aca="1" ref="K9" ca="1">IFERROR( INDIRECT(ADDRESS(ROW()+1, COLUMN(), 4, TRUE, "Import-dataset")) / INDIRECT(ADDRESS(ROW(), COLUMN(), 4, TRUE, "Import-dataset")), "" )</f>
        <v>1.2298850574712643</v>
      </c>
      <c r="L9" s="6" cm="1">
        <f t="array" aca="1" ref="L9" ca="1">IFERROR( INDIRECT(ADDRESS(ROW()+1, COLUMN(), 4, TRUE, "Import-dataset")) / INDIRECT(ADDRESS(ROW(), COLUMN(), 4, TRUE, "Import-dataset")), "" )</f>
        <v>1.0568720379146919</v>
      </c>
      <c r="M9" s="6" cm="1">
        <f t="array" aca="1" ref="M9" ca="1">IFERROR( INDIRECT(ADDRESS(ROW()+1, COLUMN(), 4, TRUE, "Import-dataset")) / INDIRECT(ADDRESS(ROW(), COLUMN(), 4, TRUE, "Import-dataset")), "" )</f>
        <v>1.1013215859030836</v>
      </c>
      <c r="N9" s="6" cm="1">
        <f t="array" aca="1" ref="N9" ca="1">IFERROR( INDIRECT(ADDRESS(ROW()+1, COLUMN(), 4, TRUE, "Import-dataset")) / INDIRECT(ADDRESS(ROW(), COLUMN(), 4, TRUE, "Import-dataset")), "" )</f>
        <v>1.0628930817610063</v>
      </c>
      <c r="O9" s="6" cm="1">
        <f t="array" aca="1" ref="O9" ca="1">IFERROR( INDIRECT(ADDRESS(ROW()+1, COLUMN(), 4, TRUE, "Import-dataset")) / INDIRECT(ADDRESS(ROW(), COLUMN(), 4, TRUE, "Import-dataset")), "" )</f>
        <v>1.2255639097744362</v>
      </c>
      <c r="P9" s="6" cm="1">
        <f t="array" aca="1" ref="P9" ca="1">IFERROR( INDIRECT(ADDRESS(ROW()+1, COLUMN(), 4, TRUE, "Import-dataset")) / INDIRECT(ADDRESS(ROW(), COLUMN(), 4, TRUE, "Import-dataset")), "" )</f>
        <v>1.0665804783451842</v>
      </c>
      <c r="Q9" s="6" cm="1">
        <f t="array" aca="1" ref="Q9" ca="1">IFERROR( INDIRECT(ADDRESS(ROW()+1, COLUMN(), 4, TRUE, "Import-dataset")) / INDIRECT(ADDRESS(ROW(), COLUMN(), 4, TRUE, "Import-dataset")), "" )</f>
        <v>1</v>
      </c>
      <c r="R9" s="6" cm="1">
        <f t="array" aca="1" ref="R9" ca="1">IFERROR( INDIRECT(ADDRESS(ROW()+1, COLUMN(), 4, TRUE, "Import-dataset")) / INDIRECT(ADDRESS(ROW(), COLUMN(), 4, TRUE, "Import-dataset")), "" )</f>
        <v>1.6153846153846154</v>
      </c>
      <c r="S9" s="6" cm="1">
        <f t="array" aca="1" ref="S9" ca="1">IFERROR( INDIRECT(ADDRESS(ROW()+1, COLUMN(), 4, TRUE, "Import-dataset")) / INDIRECT(ADDRESS(ROW(), COLUMN(), 4, TRUE, "Import-dataset")), "" )</f>
        <v>1.1531531531531531</v>
      </c>
      <c r="T9" s="6" cm="1">
        <f t="array" aca="1" ref="T9" ca="1">IFERROR( INDIRECT(ADDRESS(ROW()+1, COLUMN(), 4, TRUE, "Import-dataset")) / INDIRECT(ADDRESS(ROW(), COLUMN(), 4, TRUE, "Import-dataset")), "" )</f>
        <v>0.92791411042944782</v>
      </c>
      <c r="U9" s="6" cm="1">
        <f t="array" aca="1" ref="U9" ca="1">IFERROR( INDIRECT(ADDRESS(ROW()+1, COLUMN(), 4, TRUE, "Import-dataset")) / INDIRECT(ADDRESS(ROW(), COLUMN(), 4, TRUE, "Import-dataset")), "" )</f>
        <v>0.92907801418439717</v>
      </c>
      <c r="V9" s="6" cm="1">
        <f t="array" aca="1" ref="V9" ca="1">IFERROR( INDIRECT(ADDRESS(ROW()+1, COLUMN(), 4, TRUE, "Import-dataset")) / INDIRECT(ADDRESS(ROW(), COLUMN(), 4, TRUE, "Import-dataset")), "" )</f>
        <v>1.1372549019607843</v>
      </c>
      <c r="W9" s="6" cm="1">
        <f t="array" aca="1" ref="W9" ca="1">IFERROR( INDIRECT(ADDRESS(ROW()+1, COLUMN(), 4, TRUE, "Import-dataset")) / INDIRECT(ADDRESS(ROW(), COLUMN(), 4, TRUE, "Import-dataset")), "" )</f>
        <v>1.1726618705035972</v>
      </c>
      <c r="X9" s="6" cm="1">
        <f t="array" aca="1" ref="X9" ca="1">IFERROR( INDIRECT(ADDRESS(ROW()+1, COLUMN(), 4, TRUE, "Import-dataset")) / INDIRECT(ADDRESS(ROW(), COLUMN(), 4, TRUE, "Import-dataset")), "" )</f>
        <v>1.3203125</v>
      </c>
      <c r="Y9" s="6" cm="1">
        <f t="array" aca="1" ref="Y9" ca="1">IFERROR( INDIRECT(ADDRESS(ROW()+1, COLUMN(), 4, TRUE, "Import-dataset")) / INDIRECT(ADDRESS(ROW(), COLUMN(), 4, TRUE, "Import-dataset")), "" )</f>
        <v>1.1032258064516129</v>
      </c>
      <c r="Z9" s="6" cm="1">
        <f t="array" aca="1" ref="Z9" ca="1">IFERROR( INDIRECT(ADDRESS(ROW()+1, COLUMN(), 4, TRUE, "Import-dataset")) / INDIRECT(ADDRESS(ROW(), COLUMN(), 4, TRUE, "Import-dataset")), "" )</f>
        <v>0.85400313971742547</v>
      </c>
      <c r="AA9" s="6" cm="1">
        <f t="array" aca="1" ref="AA9" ca="1">IFERROR( INDIRECT(ADDRESS(ROW()+1, COLUMN(), 4, TRUE, "Import-dataset")) / INDIRECT(ADDRESS(ROW(), COLUMN(), 4, TRUE, "Import-dataset")), "" )</f>
        <v>1.625</v>
      </c>
      <c r="AB9" s="6" cm="1">
        <f t="array" aca="1" ref="AB9" ca="1">IFERROR( INDIRECT(ADDRESS(ROW()+1, COLUMN(), 4, TRUE, "Import-dataset")) / INDIRECT(ADDRESS(ROW(), COLUMN(), 4, TRUE, "Import-dataset")), "" )</f>
        <v>0.84951071145199686</v>
      </c>
      <c r="AC9" s="6" cm="1">
        <f t="array" aca="1" ref="AC9" ca="1">IFERROR( INDIRECT(ADDRESS(ROW()+1, COLUMN(), 4, TRUE, "Import-dataset")) / INDIRECT(ADDRESS(ROW(), COLUMN(), 4, TRUE, "Import-dataset")), "" )</f>
        <v>1.1818181818181819</v>
      </c>
      <c r="AD9" s="6" cm="1">
        <f t="array" aca="1" ref="AD9" ca="1">IFERROR( INDIRECT(ADDRESS(ROW()+1, COLUMN(), 4, TRUE, "Import-dataset")) / INDIRECT(ADDRESS(ROW(), COLUMN(), 4, TRUE, "Import-dataset")), "" )</f>
        <v>1.0656565656565657</v>
      </c>
      <c r="AE9" s="6" t="str" cm="1">
        <f t="array" aca="1" ref="AE9" ca="1">IFERROR( INDIRECT(ADDRESS(ROW()+1, COLUMN(), 4, TRUE, "Import-dataset")) / INDIRECT(ADDRESS(ROW(), COLUMN(), 4, TRUE, "Import-dataset")), "" )</f>
        <v/>
      </c>
      <c r="AF9" s="6" cm="1">
        <f t="array" aca="1" ref="AF9" ca="1">IFERROR( INDIRECT(ADDRESS(ROW()+1, COLUMN(), 4, TRUE, "Import-dataset")) / INDIRECT(ADDRESS(ROW(), COLUMN(), 4, TRUE, "Import-dataset")), "" )</f>
        <v>1.0446927374301676</v>
      </c>
      <c r="AG9" s="6" cm="1">
        <f t="array" aca="1" ref="AG9" ca="1">IFERROR( INDIRECT(ADDRESS(ROW()+1, COLUMN(), 4, TRUE, "Import-dataset")) / INDIRECT(ADDRESS(ROW(), COLUMN(), 4, TRUE, "Import-dataset")), "" )</f>
        <v>1.1764705882352942</v>
      </c>
      <c r="AH9" s="6" cm="1">
        <f t="array" aca="1" ref="AH9" ca="1">IFERROR( INDIRECT(ADDRESS(ROW()+1, COLUMN(), 4, TRUE, "Import-dataset")) / INDIRECT(ADDRESS(ROW(), COLUMN(), 4, TRUE, "Import-dataset")), "" )</f>
        <v>1.0752923976608186</v>
      </c>
      <c r="AI9" s="6" cm="1">
        <f t="array" aca="1" ref="AI9" ca="1">IFERROR( INDIRECT(ADDRESS(ROW()+1, COLUMN(), 4, TRUE, "Import-dataset")) / INDIRECT(ADDRESS(ROW(), COLUMN(), 4, TRUE, "Import-dataset")), "" )</f>
        <v>1.1441985244802146</v>
      </c>
      <c r="AJ9" s="6" cm="1">
        <f t="array" aca="1" ref="AJ9" ca="1">IFERROR( INDIRECT(ADDRESS(ROW()+1, COLUMN(), 4, TRUE, "Import-dataset")) / INDIRECT(ADDRESS(ROW(), COLUMN(), 4, TRUE, "Import-dataset")), "" )</f>
        <v>0.79381443298969068</v>
      </c>
      <c r="AK9" s="6" cm="1">
        <f t="array" aca="1" ref="AK9" ca="1">IFERROR( INDIRECT(ADDRESS(ROW()+1, COLUMN(), 4, TRUE, "Import-dataset")) / INDIRECT(ADDRESS(ROW(), COLUMN(), 4, TRUE, "Import-dataset")), "" )</f>
        <v>1.0597014925373134</v>
      </c>
      <c r="AL9" s="6" cm="1">
        <f t="array" aca="1" ref="AL9" ca="1">IFERROR( INDIRECT(ADDRESS(ROW()+1, COLUMN(), 4, TRUE, "Import-dataset")) / INDIRECT(ADDRESS(ROW(), COLUMN(), 4, TRUE, "Import-dataset")), "" )</f>
        <v>1.0796841349605169</v>
      </c>
      <c r="AM9" s="6" cm="1">
        <f t="array" aca="1" ref="AM9" ca="1">IFERROR( INDIRECT(ADDRESS(ROW()+1, COLUMN(), 4, TRUE, "Import-dataset")) / INDIRECT(ADDRESS(ROW(), COLUMN(), 4, TRUE, "Import-dataset")), "" )</f>
        <v>1.1140529531568228</v>
      </c>
      <c r="AN9" s="6" cm="1">
        <f t="array" aca="1" ref="AN9" ca="1">IFERROR( INDIRECT(ADDRESS(ROW()+1, COLUMN(), 4, TRUE, "Import-dataset")) / INDIRECT(ADDRESS(ROW(), COLUMN(), 4, TRUE, "Import-dataset")), "" )</f>
        <v>1.178191489361702</v>
      </c>
      <c r="AO9" s="6" cm="1">
        <f t="array" aca="1" ref="AO9" ca="1">IFERROR( INDIRECT(ADDRESS(ROW()+1, COLUMN(), 4, TRUE, "Import-dataset")) / INDIRECT(ADDRESS(ROW(), COLUMN(), 4, TRUE, "Import-dataset")), "" )</f>
        <v>1.1043956043956045</v>
      </c>
      <c r="AP9" s="6" cm="1">
        <f t="array" aca="1" ref="AP9" ca="1">IFERROR( INDIRECT(ADDRESS(ROW()+1, COLUMN(), 4, TRUE, "Import-dataset")) / INDIRECT(ADDRESS(ROW(), COLUMN(), 4, TRUE, "Import-dataset")), "" )</f>
        <v>1.0990099009900991</v>
      </c>
      <c r="AQ9" s="6" cm="1">
        <f t="array" aca="1" ref="AQ9" ca="1">IFERROR( INDIRECT(ADDRESS(ROW()+1, COLUMN(), 4, TRUE, "Import-dataset")) / INDIRECT(ADDRESS(ROW(), COLUMN(), 4, TRUE, "Import-dataset")), "" )</f>
        <v>1.0368608799048751</v>
      </c>
      <c r="AR9" s="6" cm="1">
        <f t="array" aca="1" ref="AR9" ca="1">IFERROR( INDIRECT(ADDRESS(ROW()+1, COLUMN(), 4, TRUE, "Import-dataset")) / INDIRECT(ADDRESS(ROW(), COLUMN(), 4, TRUE, "Import-dataset")), "" )</f>
        <v>1.0961917268548917</v>
      </c>
      <c r="AS9" s="6" cm="1">
        <f t="array" aca="1" ref="AS9" ca="1">IFERROR( INDIRECT(ADDRESS(ROW()+1, COLUMN(), 4, TRUE, "Import-dataset")) / INDIRECT(ADDRESS(ROW(), COLUMN(), 4, TRUE, "Import-dataset")), "" )</f>
        <v>1.1386861313868613</v>
      </c>
      <c r="AT9" s="6" cm="1">
        <f t="array" aca="1" ref="AT9" ca="1">IFERROR( INDIRECT(ADDRESS(ROW()+1, COLUMN(), 4, TRUE, "Import-dataset")) / INDIRECT(ADDRESS(ROW(), COLUMN(), 4, TRUE, "Import-dataset")), "" )</f>
        <v>1.130237825594564</v>
      </c>
      <c r="AU9" s="6" cm="1">
        <f t="array" aca="1" ref="AU9" ca="1">IFERROR( INDIRECT(ADDRESS(ROW()+1, COLUMN(), 4, TRUE, "Import-dataset")) / INDIRECT(ADDRESS(ROW(), COLUMN(), 4, TRUE, "Import-dataset")), "" )</f>
        <v>1.1131386861313868</v>
      </c>
      <c r="AV9" s="6" cm="1">
        <f t="array" aca="1" ref="AV9" ca="1">IFERROR( INDIRECT(ADDRESS(ROW()+1, COLUMN(), 4, TRUE, "Import-dataset")) / INDIRECT(ADDRESS(ROW(), COLUMN(), 4, TRUE, "Import-dataset")), "" )</f>
        <v>1.1037037037037036</v>
      </c>
      <c r="AW9" s="6" cm="1">
        <f t="array" aca="1" ref="AW9" ca="1">IFERROR( INDIRECT(ADDRESS(ROW()+1, COLUMN(), 4, TRUE, "Import-dataset")) / INDIRECT(ADDRESS(ROW(), COLUMN(), 4, TRUE, "Import-dataset")), "" )</f>
        <v>1.0724637681159421</v>
      </c>
      <c r="AX9" s="6" cm="1">
        <f t="array" aca="1" ref="AX9" ca="1">IFERROR( INDIRECT(ADDRESS(ROW()+1, COLUMN(), 4, TRUE, "Import-dataset")) / INDIRECT(ADDRESS(ROW(), COLUMN(), 4, TRUE, "Import-dataset")), "" )</f>
        <v>1.1021194605009634</v>
      </c>
      <c r="AY9" s="6" cm="1">
        <f t="array" aca="1" ref="AY9" ca="1">IFERROR( INDIRECT(ADDRESS(ROW()+1, COLUMN(), 4, TRUE, "Import-dataset")) / INDIRECT(ADDRESS(ROW(), COLUMN(), 4, TRUE, "Import-dataset")), "" )</f>
        <v>1.0606936416184971</v>
      </c>
      <c r="AZ9" s="6" cm="1">
        <f t="array" aca="1" ref="AZ9" ca="1">IFERROR( INDIRECT(ADDRESS(ROW()+1, COLUMN(), 4, TRUE, "Import-dataset")) / INDIRECT(ADDRESS(ROW(), COLUMN(), 4, TRUE, "Import-dataset")), "" )</f>
        <v>1.2352941176470589</v>
      </c>
      <c r="BA9" s="6" cm="1">
        <f t="array" aca="1" ref="BA9" ca="1">IFERROR( INDIRECT(ADDRESS(ROW()+1, COLUMN(), 4, TRUE, "Import-dataset")) / INDIRECT(ADDRESS(ROW(), COLUMN(), 4, TRUE, "Import-dataset")), "" )</f>
        <v>1.0763454317897372</v>
      </c>
      <c r="BB9" s="6" cm="1">
        <f t="array" aca="1" ref="BB9" ca="1">IFERROR( INDIRECT(ADDRESS(ROW()+1, COLUMN(), 4, TRUE, "Import-dataset")) / INDIRECT(ADDRESS(ROW(), COLUMN(), 4, TRUE, "Import-dataset")), "" )</f>
        <v>1.1433300592964459</v>
      </c>
      <c r="BC9" s="6" cm="1">
        <f t="array" aca="1" ref="BC9" ca="1">IFERROR( INDIRECT(ADDRESS(ROW()+1, COLUMN(), 4, TRUE, "Import-dataset")) / INDIRECT(ADDRESS(ROW(), COLUMN(), 4, TRUE, "Import-dataset")), "" )</f>
        <v>1.0564564564564565</v>
      </c>
      <c r="BD9" s="6" cm="1">
        <f t="array" aca="1" ref="BD9" ca="1">IFERROR( INDIRECT(ADDRESS(ROW()+1, COLUMN(), 4, TRUE, "Import-dataset")) / INDIRECT(ADDRESS(ROW(), COLUMN(), 4, TRUE, "Import-dataset")), "" )</f>
        <v>1.229665071770335</v>
      </c>
      <c r="BE9" s="6" cm="1">
        <f t="array" aca="1" ref="BE9" ca="1">IFERROR( INDIRECT(ADDRESS(ROW()+1, COLUMN(), 4, TRUE, "Import-dataset")) / INDIRECT(ADDRESS(ROW(), COLUMN(), 4, TRUE, "Import-dataset")), "" )</f>
        <v>1.345679012345679</v>
      </c>
      <c r="BF9" s="6" cm="1">
        <f t="array" aca="1" ref="BF9" ca="1">IFERROR( INDIRECT(ADDRESS(ROW()+1, COLUMN(), 4, TRUE, "Import-dataset")) / INDIRECT(ADDRESS(ROW(), COLUMN(), 4, TRUE, "Import-dataset")), "" )</f>
        <v>1.1421897810218977</v>
      </c>
      <c r="BG9" s="6" cm="1">
        <f t="array" aca="1" ref="BG9" ca="1">IFERROR( INDIRECT(ADDRESS(ROW()+1, COLUMN(), 4, TRUE, "Import-dataset")) / INDIRECT(ADDRESS(ROW(), COLUMN(), 4, TRUE, "Import-dataset")), "" )</f>
        <v>1.1365821678321679</v>
      </c>
      <c r="BH9" s="6" cm="1">
        <f t="array" aca="1" ref="BH9" ca="1">IFERROR( INDIRECT(ADDRESS(ROW()+1, COLUMN(), 4, TRUE, "Import-dataset")) / INDIRECT(ADDRESS(ROW(), COLUMN(), 4, TRUE, "Import-dataset")), "" )</f>
        <v>1.155144694533762</v>
      </c>
      <c r="BI9" s="6" cm="1">
        <f t="array" aca="1" ref="BI9" ca="1">IFERROR( INDIRECT(ADDRESS(ROW()+1, COLUMN(), 4, TRUE, "Import-dataset")) / INDIRECT(ADDRESS(ROW(), COLUMN(), 4, TRUE, "Import-dataset")), "" )</f>
        <v>1.166044776119403</v>
      </c>
      <c r="BJ9" s="6" cm="1">
        <f t="array" aca="1" ref="BJ9" ca="1">IFERROR( INDIRECT(ADDRESS(ROW()+1, COLUMN(), 4, TRUE, "Import-dataset")) / INDIRECT(ADDRESS(ROW(), COLUMN(), 4, TRUE, "Import-dataset")), "" )</f>
        <v>1.1893950709484691</v>
      </c>
      <c r="BK9" s="6" cm="1">
        <f t="array" aca="1" ref="BK9" ca="1">IFERROR( INDIRECT(ADDRESS(ROW()+1, COLUMN(), 4, TRUE, "Import-dataset")) / INDIRECT(ADDRESS(ROW(), COLUMN(), 4, TRUE, "Import-dataset")), "" )</f>
        <v>0.84924078091106292</v>
      </c>
      <c r="BL9" s="6" cm="1">
        <f t="array" aca="1" ref="BL9" ca="1">IFERROR( INDIRECT(ADDRESS(ROW()+1, COLUMN(), 4, TRUE, "Import-dataset")) / INDIRECT(ADDRESS(ROW(), COLUMN(), 4, TRUE, "Import-dataset")), "" )</f>
        <v>1.086333227142402</v>
      </c>
      <c r="BM9" s="6" cm="1">
        <f t="array" aca="1" ref="BM9" ca="1">IFERROR( INDIRECT(ADDRESS(ROW()+1, COLUMN(), 4, TRUE, "Import-dataset")) / INDIRECT(ADDRESS(ROW(), COLUMN(), 4, TRUE, "Import-dataset")), "" )</f>
        <v>1.1318681318681318</v>
      </c>
      <c r="BN9" s="6" cm="1">
        <f t="array" aca="1" ref="BN9" ca="1">IFERROR( INDIRECT(ADDRESS(ROW()+1, COLUMN(), 4, TRUE, "Import-dataset")) / INDIRECT(ADDRESS(ROW(), COLUMN(), 4, TRUE, "Import-dataset")), "" )</f>
        <v>1.1517615176151761</v>
      </c>
      <c r="BO9" s="6" cm="1">
        <f t="array" aca="1" ref="BO9" ca="1">IFERROR( INDIRECT(ADDRESS(ROW()+1, COLUMN(), 4, TRUE, "Import-dataset")) / INDIRECT(ADDRESS(ROW(), COLUMN(), 4, TRUE, "Import-dataset")), "" )</f>
        <v>1.1544117647058822</v>
      </c>
      <c r="BP9" s="6" cm="1">
        <f t="array" aca="1" ref="BP9" ca="1">IFERROR( INDIRECT(ADDRESS(ROW()+1, COLUMN(), 4, TRUE, "Import-dataset")) / INDIRECT(ADDRESS(ROW(), COLUMN(), 4, TRUE, "Import-dataset")), "" )</f>
        <v>1.0639614855570838</v>
      </c>
      <c r="BQ9" s="6" cm="1">
        <f t="array" aca="1" ref="BQ9" ca="1">IFERROR( INDIRECT(ADDRESS(ROW()+1, COLUMN(), 4, TRUE, "Import-dataset")) / INDIRECT(ADDRESS(ROW(), COLUMN(), 4, TRUE, "Import-dataset")), "" )</f>
        <v>1.0815533980582523</v>
      </c>
      <c r="BR9" s="6" cm="1">
        <f t="array" aca="1" ref="BR9" ca="1">IFERROR( INDIRECT(ADDRESS(ROW()+1, COLUMN(), 4, TRUE, "Import-dataset")) / INDIRECT(ADDRESS(ROW(), COLUMN(), 4, TRUE, "Import-dataset")), "" )</f>
        <v>1.0691747572815533</v>
      </c>
      <c r="BS9" s="6" cm="1">
        <f t="array" aca="1" ref="BS9" ca="1">IFERROR( INDIRECT(ADDRESS(ROW()+1, COLUMN(), 4, TRUE, "Import-dataset")) / INDIRECT(ADDRESS(ROW(), COLUMN(), 4, TRUE, "Import-dataset")), "" )</f>
        <v>1.11328125</v>
      </c>
      <c r="BT9" s="6" cm="1">
        <f t="array" aca="1" ref="BT9" ca="1">IFERROR( INDIRECT(ADDRESS(ROW()+1, COLUMN(), 4, TRUE, "Import-dataset")) / INDIRECT(ADDRESS(ROW(), COLUMN(), 4, TRUE, "Import-dataset")), "" )</f>
        <v>1.0811220621683093</v>
      </c>
      <c r="BU9" s="6" cm="1">
        <f t="array" aca="1" ref="BU9" ca="1">IFERROR( INDIRECT(ADDRESS(ROW()+1, COLUMN(), 4, TRUE, "Import-dataset")) / INDIRECT(ADDRESS(ROW(), COLUMN(), 4, TRUE, "Import-dataset")), "" )</f>
        <v>0.77978339350180503</v>
      </c>
      <c r="BV9" s="6" cm="1">
        <f t="array" aca="1" ref="BV9" ca="1">IFERROR( INDIRECT(ADDRESS(ROW()+1, COLUMN(), 4, TRUE, "Import-dataset")) / INDIRECT(ADDRESS(ROW(), COLUMN(), 4, TRUE, "Import-dataset")), "" )</f>
        <v>0.67567567567567566</v>
      </c>
      <c r="BW9" s="6" cm="1">
        <f t="array" aca="1" ref="BW9" ca="1">IFERROR( INDIRECT(ADDRESS(ROW()+1, COLUMN(), 4, TRUE, "Import-dataset")) / INDIRECT(ADDRESS(ROW(), COLUMN(), 4, TRUE, "Import-dataset")), "" )</f>
        <v>1</v>
      </c>
      <c r="BX9" s="6" t="str" cm="1">
        <f t="array" aca="1" ref="BX9" ca="1">IFERROR( INDIRECT(ADDRESS(ROW()+1, COLUMN(), 4, TRUE, "Import-dataset")) / INDIRECT(ADDRESS(ROW(), COLUMN(), 4, TRUE, "Import-dataset")), "" )</f>
        <v/>
      </c>
      <c r="BY9" s="6" cm="1">
        <f t="array" aca="1" ref="BY9" ca="1">IFERROR( INDIRECT(ADDRESS(ROW()+1, COLUMN(), 4, TRUE, "Import-dataset")) / INDIRECT(ADDRESS(ROW(), COLUMN(), 4, TRUE, "Import-dataset")), "" )</f>
        <v>0.77068793619142573</v>
      </c>
      <c r="BZ9" s="6" cm="1">
        <f t="array" aca="1" ref="BZ9" ca="1">IFERROR( INDIRECT(ADDRESS(ROW()+1, COLUMN(), 4, TRUE, "Import-dataset")) / INDIRECT(ADDRESS(ROW(), COLUMN(), 4, TRUE, "Import-dataset")), "" )</f>
        <v>0.91176470588235292</v>
      </c>
      <c r="CA9" s="6" cm="1">
        <f t="array" aca="1" ref="CA9" ca="1">IFERROR( INDIRECT(ADDRESS(ROW()+1, COLUMN(), 4, TRUE, "Import-dataset")) / INDIRECT(ADDRESS(ROW(), COLUMN(), 4, TRUE, "Import-dataset")), "" )</f>
        <v>1.0912776629328718</v>
      </c>
    </row>
    <row r="10" spans="1:79">
      <c r="A10" s="6" t="s">
        <v>167</v>
      </c>
      <c r="B10" s="6" cm="1">
        <f t="array" aca="1" ref="B10" ca="1">IFERROR( INDIRECT(ADDRESS(ROW()+1, COLUMN(), 4, TRUE, "Import-dataset")) / INDIRECT(ADDRESS(ROW(), COLUMN(), 4, TRUE, "Import-dataset")), "" )</f>
        <v>1.1410852713178294</v>
      </c>
      <c r="C10" s="6" cm="1">
        <f t="array" aca="1" ref="C10" ca="1">IFERROR( INDIRECT(ADDRESS(ROW()+1, COLUMN(), 4, TRUE, "Import-dataset")) / INDIRECT(ADDRESS(ROW(), COLUMN(), 4, TRUE, "Import-dataset")), "" )</f>
        <v>1.308641975308642</v>
      </c>
      <c r="D10" s="6" cm="1">
        <f t="array" aca="1" ref="D10" ca="1">IFERROR( INDIRECT(ADDRESS(ROW()+1, COLUMN(), 4, TRUE, "Import-dataset")) / INDIRECT(ADDRESS(ROW(), COLUMN(), 4, TRUE, "Import-dataset")), "" )</f>
        <v>1.2142857142857142</v>
      </c>
      <c r="E10" s="6" cm="1">
        <f t="array" aca="1" ref="E10" ca="1">IFERROR( INDIRECT(ADDRESS(ROW()+1, COLUMN(), 4, TRUE, "Import-dataset")) / INDIRECT(ADDRESS(ROW(), COLUMN(), 4, TRUE, "Import-dataset")), "" )</f>
        <v>1.1490683229813665</v>
      </c>
      <c r="F10" s="6" cm="1">
        <f t="array" aca="1" ref="F10" ca="1">IFERROR( INDIRECT(ADDRESS(ROW()+1, COLUMN(), 4, TRUE, "Import-dataset")) / INDIRECT(ADDRESS(ROW(), COLUMN(), 4, TRUE, "Import-dataset")), "" )</f>
        <v>1.0274914089347078</v>
      </c>
      <c r="G10" s="6" cm="1">
        <f t="array" aca="1" ref="G10" ca="1">IFERROR( INDIRECT(ADDRESS(ROW()+1, COLUMN(), 4, TRUE, "Import-dataset")) / INDIRECT(ADDRESS(ROW(), COLUMN(), 4, TRUE, "Import-dataset")), "" )</f>
        <v>1.472972972972973</v>
      </c>
      <c r="H10" s="6" cm="1">
        <f t="array" aca="1" ref="H10" ca="1">IFERROR( INDIRECT(ADDRESS(ROW()+1, COLUMN(), 4, TRUE, "Import-dataset")) / INDIRECT(ADDRESS(ROW(), COLUMN(), 4, TRUE, "Import-dataset")), "" )</f>
        <v>1.1408730158730158</v>
      </c>
      <c r="I10" s="6" cm="1">
        <f t="array" aca="1" ref="I10" ca="1">IFERROR( INDIRECT(ADDRESS(ROW()+1, COLUMN(), 4, TRUE, "Import-dataset")) / INDIRECT(ADDRESS(ROW(), COLUMN(), 4, TRUE, "Import-dataset")), "" )</f>
        <v>1.1733333333333333</v>
      </c>
      <c r="J10" s="6" cm="1">
        <f t="array" aca="1" ref="J10" ca="1">IFERROR( INDIRECT(ADDRESS(ROW()+1, COLUMN(), 4, TRUE, "Import-dataset")) / INDIRECT(ADDRESS(ROW(), COLUMN(), 4, TRUE, "Import-dataset")), "" )</f>
        <v>1.2013729977116705</v>
      </c>
      <c r="K10" s="6" cm="1">
        <f t="array" aca="1" ref="K10" ca="1">IFERROR( INDIRECT(ADDRESS(ROW()+1, COLUMN(), 4, TRUE, "Import-dataset")) / INDIRECT(ADDRESS(ROW(), COLUMN(), 4, TRUE, "Import-dataset")), "" )</f>
        <v>0.9719626168224299</v>
      </c>
      <c r="L10" s="6" cm="1">
        <f t="array" aca="1" ref="L10" ca="1">IFERROR( INDIRECT(ADDRESS(ROW()+1, COLUMN(), 4, TRUE, "Import-dataset")) / INDIRECT(ADDRESS(ROW(), COLUMN(), 4, TRUE, "Import-dataset")), "" )</f>
        <v>1.1143497757847534</v>
      </c>
      <c r="M10" s="6" cm="1">
        <f t="array" aca="1" ref="M10" ca="1">IFERROR( INDIRECT(ADDRESS(ROW()+1, COLUMN(), 4, TRUE, "Import-dataset")) / INDIRECT(ADDRESS(ROW(), COLUMN(), 4, TRUE, "Import-dataset")), "" )</f>
        <v>1.006</v>
      </c>
      <c r="N10" s="6" cm="1">
        <f t="array" aca="1" ref="N10" ca="1">IFERROR( INDIRECT(ADDRESS(ROW()+1, COLUMN(), 4, TRUE, "Import-dataset")) / INDIRECT(ADDRESS(ROW(), COLUMN(), 4, TRUE, "Import-dataset")), "" )</f>
        <v>1.0088757396449703</v>
      </c>
      <c r="O10" s="6" cm="1">
        <f t="array" aca="1" ref="O10" ca="1">IFERROR( INDIRECT(ADDRESS(ROW()+1, COLUMN(), 4, TRUE, "Import-dataset")) / INDIRECT(ADDRESS(ROW(), COLUMN(), 4, TRUE, "Import-dataset")), "" )</f>
        <v>1</v>
      </c>
      <c r="P10" s="6" cm="1">
        <f t="array" aca="1" ref="P10" ca="1">IFERROR( INDIRECT(ADDRESS(ROW()+1, COLUMN(), 4, TRUE, "Import-dataset")) / INDIRECT(ADDRESS(ROW(), COLUMN(), 4, TRUE, "Import-dataset")), "" )</f>
        <v>1.0612121212121213</v>
      </c>
      <c r="Q10" s="6" cm="1">
        <f t="array" aca="1" ref="Q10" ca="1">IFERROR( INDIRECT(ADDRESS(ROW()+1, COLUMN(), 4, TRUE, "Import-dataset")) / INDIRECT(ADDRESS(ROW(), COLUMN(), 4, TRUE, "Import-dataset")), "" )</f>
        <v>0.25</v>
      </c>
      <c r="R10" s="6" cm="1">
        <f t="array" aca="1" ref="R10" ca="1">IFERROR( INDIRECT(ADDRESS(ROW()+1, COLUMN(), 4, TRUE, "Import-dataset")) / INDIRECT(ADDRESS(ROW(), COLUMN(), 4, TRUE, "Import-dataset")), "" )</f>
        <v>1.2476190476190476</v>
      </c>
      <c r="S10" s="6" cm="1">
        <f t="array" aca="1" ref="S10" ca="1">IFERROR( INDIRECT(ADDRESS(ROW()+1, COLUMN(), 4, TRUE, "Import-dataset")) / INDIRECT(ADDRESS(ROW(), COLUMN(), 4, TRUE, "Import-dataset")), "" )</f>
        <v>1.296875</v>
      </c>
      <c r="T10" s="6" cm="1">
        <f t="array" aca="1" ref="T10" ca="1">IFERROR( INDIRECT(ADDRESS(ROW()+1, COLUMN(), 4, TRUE, "Import-dataset")) / INDIRECT(ADDRESS(ROW(), COLUMN(), 4, TRUE, "Import-dataset")), "" )</f>
        <v>0.86280991735537194</v>
      </c>
      <c r="U10" s="6" cm="1">
        <f t="array" aca="1" ref="U10" ca="1">IFERROR( INDIRECT(ADDRESS(ROW()+1, COLUMN(), 4, TRUE, "Import-dataset")) / INDIRECT(ADDRESS(ROW(), COLUMN(), 4, TRUE, "Import-dataset")), "" )</f>
        <v>1.5648854961832062</v>
      </c>
      <c r="V10" s="6" cm="1">
        <f t="array" aca="1" ref="V10" ca="1">IFERROR( INDIRECT(ADDRESS(ROW()+1, COLUMN(), 4, TRUE, "Import-dataset")) / INDIRECT(ADDRESS(ROW(), COLUMN(), 4, TRUE, "Import-dataset")), "" )</f>
        <v>1.0459770114942528</v>
      </c>
      <c r="W10" s="6" cm="1">
        <f t="array" aca="1" ref="W10" ca="1">IFERROR( INDIRECT(ADDRESS(ROW()+1, COLUMN(), 4, TRUE, "Import-dataset")) / INDIRECT(ADDRESS(ROW(), COLUMN(), 4, TRUE, "Import-dataset")), "" )</f>
        <v>0.96319018404907975</v>
      </c>
      <c r="X10" s="6" cm="1">
        <f t="array" aca="1" ref="X10" ca="1">IFERROR( INDIRECT(ADDRESS(ROW()+1, COLUMN(), 4, TRUE, "Import-dataset")) / INDIRECT(ADDRESS(ROW(), COLUMN(), 4, TRUE, "Import-dataset")), "" )</f>
        <v>1.0769230769230769</v>
      </c>
      <c r="Y10" s="6" cm="1">
        <f t="array" aca="1" ref="Y10" ca="1">IFERROR( INDIRECT(ADDRESS(ROW()+1, COLUMN(), 4, TRUE, "Import-dataset")) / INDIRECT(ADDRESS(ROW(), COLUMN(), 4, TRUE, "Import-dataset")), "" )</f>
        <v>1.1695906432748537</v>
      </c>
      <c r="Z10" s="6" cm="1">
        <f t="array" aca="1" ref="Z10" ca="1">IFERROR( INDIRECT(ADDRESS(ROW()+1, COLUMN(), 4, TRUE, "Import-dataset")) / INDIRECT(ADDRESS(ROW(), COLUMN(), 4, TRUE, "Import-dataset")), "" )</f>
        <v>1.1908700980392157</v>
      </c>
      <c r="AA10" s="6" cm="1">
        <f t="array" aca="1" ref="AA10" ca="1">IFERROR( INDIRECT(ADDRESS(ROW()+1, COLUMN(), 4, TRUE, "Import-dataset")) / INDIRECT(ADDRESS(ROW(), COLUMN(), 4, TRUE, "Import-dataset")), "" )</f>
        <v>0.53846153846153844</v>
      </c>
      <c r="AB10" s="6" cm="1">
        <f t="array" aca="1" ref="AB10" ca="1">IFERROR( INDIRECT(ADDRESS(ROW()+1, COLUMN(), 4, TRUE, "Import-dataset")) / INDIRECT(ADDRESS(ROW(), COLUMN(), 4, TRUE, "Import-dataset")), "" )</f>
        <v>1.1902241594022416</v>
      </c>
      <c r="AC10" s="6" cm="1">
        <f t="array" aca="1" ref="AC10" ca="1">IFERROR( INDIRECT(ADDRESS(ROW()+1, COLUMN(), 4, TRUE, "Import-dataset")) / INDIRECT(ADDRESS(ROW(), COLUMN(), 4, TRUE, "Import-dataset")), "" )</f>
        <v>1.9230769230769231</v>
      </c>
      <c r="AD10" s="6" cm="1">
        <f t="array" aca="1" ref="AD10" ca="1">IFERROR( INDIRECT(ADDRESS(ROW()+1, COLUMN(), 4, TRUE, "Import-dataset")) / INDIRECT(ADDRESS(ROW(), COLUMN(), 4, TRUE, "Import-dataset")), "" )</f>
        <v>1.1895734597156398</v>
      </c>
      <c r="AE10" s="6" cm="1">
        <f t="array" aca="1" ref="AE10" ca="1">IFERROR( INDIRECT(ADDRESS(ROW()+1, COLUMN(), 4, TRUE, "Import-dataset")) / INDIRECT(ADDRESS(ROW(), COLUMN(), 4, TRUE, "Import-dataset")), "" )</f>
        <v>1</v>
      </c>
      <c r="AF10" s="6" cm="1">
        <f t="array" aca="1" ref="AF10" ca="1">IFERROR( INDIRECT(ADDRESS(ROW()+1, COLUMN(), 4, TRUE, "Import-dataset")) / INDIRECT(ADDRESS(ROW(), COLUMN(), 4, TRUE, "Import-dataset")), "" )</f>
        <v>1.2085561497326203</v>
      </c>
      <c r="AG10" s="6" cm="1">
        <f t="array" aca="1" ref="AG10" ca="1">IFERROR( INDIRECT(ADDRESS(ROW()+1, COLUMN(), 4, TRUE, "Import-dataset")) / INDIRECT(ADDRESS(ROW(), COLUMN(), 4, TRUE, "Import-dataset")), "" )</f>
        <v>1.1499999999999999</v>
      </c>
      <c r="AH10" s="6" cm="1">
        <f t="array" aca="1" ref="AH10" ca="1">IFERROR( INDIRECT(ADDRESS(ROW()+1, COLUMN(), 4, TRUE, "Import-dataset")) / INDIRECT(ADDRESS(ROW(), COLUMN(), 4, TRUE, "Import-dataset")), "" )</f>
        <v>1.1690006798096533</v>
      </c>
      <c r="AI10" s="6" cm="1">
        <f t="array" aca="1" ref="AI10" ca="1">IFERROR( INDIRECT(ADDRESS(ROW()+1, COLUMN(), 4, TRUE, "Import-dataset")) / INDIRECT(ADDRESS(ROW(), COLUMN(), 4, TRUE, "Import-dataset")), "" )</f>
        <v>1.0914419695193436</v>
      </c>
      <c r="AJ10" s="6" cm="1">
        <f t="array" aca="1" ref="AJ10" ca="1">IFERROR( INDIRECT(ADDRESS(ROW()+1, COLUMN(), 4, TRUE, "Import-dataset")) / INDIRECT(ADDRESS(ROW(), COLUMN(), 4, TRUE, "Import-dataset")), "" )</f>
        <v>1.725108225108225</v>
      </c>
      <c r="AK10" s="6" cm="1">
        <f t="array" aca="1" ref="AK10" ca="1">IFERROR( INDIRECT(ADDRESS(ROW()+1, COLUMN(), 4, TRUE, "Import-dataset")) / INDIRECT(ADDRESS(ROW(), COLUMN(), 4, TRUE, "Import-dataset")), "" )</f>
        <v>1.0422535211267605</v>
      </c>
      <c r="AL10" s="6" cm="1">
        <f t="array" aca="1" ref="AL10" ca="1">IFERROR( INDIRECT(ADDRESS(ROW()+1, COLUMN(), 4, TRUE, "Import-dataset")) / INDIRECT(ADDRESS(ROW(), COLUMN(), 4, TRUE, "Import-dataset")), "" )</f>
        <v>1.1243351063829787</v>
      </c>
      <c r="AM10" s="6" cm="1">
        <f t="array" aca="1" ref="AM10" ca="1">IFERROR( INDIRECT(ADDRESS(ROW()+1, COLUMN(), 4, TRUE, "Import-dataset")) / INDIRECT(ADDRESS(ROW(), COLUMN(), 4, TRUE, "Import-dataset")), "" )</f>
        <v>1.093235831809872</v>
      </c>
      <c r="AN10" s="6" cm="1">
        <f t="array" aca="1" ref="AN10" ca="1">IFERROR( INDIRECT(ADDRESS(ROW()+1, COLUMN(), 4, TRUE, "Import-dataset")) / INDIRECT(ADDRESS(ROW(), COLUMN(), 4, TRUE, "Import-dataset")), "" )</f>
        <v>1.3182844243792324</v>
      </c>
      <c r="AO10" s="6" cm="1">
        <f t="array" aca="1" ref="AO10" ca="1">IFERROR( INDIRECT(ADDRESS(ROW()+1, COLUMN(), 4, TRUE, "Import-dataset")) / INDIRECT(ADDRESS(ROW(), COLUMN(), 4, TRUE, "Import-dataset")), "" )</f>
        <v>1.2189054726368158</v>
      </c>
      <c r="AP10" s="6" cm="1">
        <f t="array" aca="1" ref="AP10" ca="1">IFERROR( INDIRECT(ADDRESS(ROW()+1, COLUMN(), 4, TRUE, "Import-dataset")) / INDIRECT(ADDRESS(ROW(), COLUMN(), 4, TRUE, "Import-dataset")), "" )</f>
        <v>1.1621621621621621</v>
      </c>
      <c r="AQ10" s="6" cm="1">
        <f t="array" aca="1" ref="AQ10" ca="1">IFERROR( INDIRECT(ADDRESS(ROW()+1, COLUMN(), 4, TRUE, "Import-dataset")) / INDIRECT(ADDRESS(ROW(), COLUMN(), 4, TRUE, "Import-dataset")), "" )</f>
        <v>1.0814220183486238</v>
      </c>
      <c r="AR10" s="6" cm="1">
        <f t="array" aca="1" ref="AR10" ca="1">IFERROR( INDIRECT(ADDRESS(ROW()+1, COLUMN(), 4, TRUE, "Import-dataset")) / INDIRECT(ADDRESS(ROW(), COLUMN(), 4, TRUE, "Import-dataset")), "" )</f>
        <v>1.1329739442946991</v>
      </c>
      <c r="AS10" s="6" cm="1">
        <f t="array" aca="1" ref="AS10" ca="1">IFERROR( INDIRECT(ADDRESS(ROW()+1, COLUMN(), 4, TRUE, "Import-dataset")) / INDIRECT(ADDRESS(ROW(), COLUMN(), 4, TRUE, "Import-dataset")), "" )</f>
        <v>1.0769230769230769</v>
      </c>
      <c r="AT10" s="6" cm="1">
        <f t="array" aca="1" ref="AT10" ca="1">IFERROR( INDIRECT(ADDRESS(ROW()+1, COLUMN(), 4, TRUE, "Import-dataset")) / INDIRECT(ADDRESS(ROW(), COLUMN(), 4, TRUE, "Import-dataset")), "" )</f>
        <v>1.0861723446893787</v>
      </c>
      <c r="AU10" s="6" cm="1">
        <f t="array" aca="1" ref="AU10" ca="1">IFERROR( INDIRECT(ADDRESS(ROW()+1, COLUMN(), 4, TRUE, "Import-dataset")) / INDIRECT(ADDRESS(ROW(), COLUMN(), 4, TRUE, "Import-dataset")), "" )</f>
        <v>1.0721311475409836</v>
      </c>
      <c r="AV10" s="6" cm="1">
        <f t="array" aca="1" ref="AV10" ca="1">IFERROR( INDIRECT(ADDRESS(ROW()+1, COLUMN(), 4, TRUE, "Import-dataset")) / INDIRECT(ADDRESS(ROW(), COLUMN(), 4, TRUE, "Import-dataset")), "" )</f>
        <v>1.24954240390482</v>
      </c>
      <c r="AW10" s="6" cm="1">
        <f t="array" aca="1" ref="AW10" ca="1">IFERROR( INDIRECT(ADDRESS(ROW()+1, COLUMN(), 4, TRUE, "Import-dataset")) / INDIRECT(ADDRESS(ROW(), COLUMN(), 4, TRUE, "Import-dataset")), "" )</f>
        <v>1.0202702702702702</v>
      </c>
      <c r="AX10" s="6" cm="1">
        <f t="array" aca="1" ref="AX10" ca="1">IFERROR( INDIRECT(ADDRESS(ROW()+1, COLUMN(), 4, TRUE, "Import-dataset")) / INDIRECT(ADDRESS(ROW(), COLUMN(), 4, TRUE, "Import-dataset")), "" )</f>
        <v>1.0585664335664335</v>
      </c>
      <c r="AY10" s="6" cm="1">
        <f t="array" aca="1" ref="AY10" ca="1">IFERROR( INDIRECT(ADDRESS(ROW()+1, COLUMN(), 4, TRUE, "Import-dataset")) / INDIRECT(ADDRESS(ROW(), COLUMN(), 4, TRUE, "Import-dataset")), "" )</f>
        <v>1.3251589464123523</v>
      </c>
      <c r="AZ10" s="6" cm="1">
        <f t="array" aca="1" ref="AZ10" ca="1">IFERROR( INDIRECT(ADDRESS(ROW()+1, COLUMN(), 4, TRUE, "Import-dataset")) / INDIRECT(ADDRESS(ROW(), COLUMN(), 4, TRUE, "Import-dataset")), "" )</f>
        <v>1.1717687074829932</v>
      </c>
      <c r="BA10" s="6" cm="1">
        <f t="array" aca="1" ref="BA10" ca="1">IFERROR( INDIRECT(ADDRESS(ROW()+1, COLUMN(), 4, TRUE, "Import-dataset")) / INDIRECT(ADDRESS(ROW(), COLUMN(), 4, TRUE, "Import-dataset")), "" )</f>
        <v>1.1343023255813953</v>
      </c>
      <c r="BB10" s="6" cm="1">
        <f t="array" aca="1" ref="BB10" ca="1">IFERROR( INDIRECT(ADDRESS(ROW()+1, COLUMN(), 4, TRUE, "Import-dataset")) / INDIRECT(ADDRESS(ROW(), COLUMN(), 4, TRUE, "Import-dataset")), "" )</f>
        <v>1.1579751185211111</v>
      </c>
      <c r="BC10" s="6" cm="1">
        <f t="array" aca="1" ref="BC10" ca="1">IFERROR( INDIRECT(ADDRESS(ROW()+1, COLUMN(), 4, TRUE, "Import-dataset")) / INDIRECT(ADDRESS(ROW(), COLUMN(), 4, TRUE, "Import-dataset")), "" )</f>
        <v>1.0488914155770324</v>
      </c>
      <c r="BD10" s="6" cm="1">
        <f t="array" aca="1" ref="BD10" ca="1">IFERROR( INDIRECT(ADDRESS(ROW()+1, COLUMN(), 4, TRUE, "Import-dataset")) / INDIRECT(ADDRESS(ROW(), COLUMN(), 4, TRUE, "Import-dataset")), "" )</f>
        <v>1.1715055372642922</v>
      </c>
      <c r="BE10" s="6" cm="1">
        <f t="array" aca="1" ref="BE10" ca="1">IFERROR( INDIRECT(ADDRESS(ROW()+1, COLUMN(), 4, TRUE, "Import-dataset")) / INDIRECT(ADDRESS(ROW(), COLUMN(), 4, TRUE, "Import-dataset")), "" )</f>
        <v>1.2798165137614679</v>
      </c>
      <c r="BF10" s="6" cm="1">
        <f t="array" aca="1" ref="BF10" ca="1">IFERROR( INDIRECT(ADDRESS(ROW()+1, COLUMN(), 4, TRUE, "Import-dataset")) / INDIRECT(ADDRESS(ROW(), COLUMN(), 4, TRUE, "Import-dataset")), "" )</f>
        <v>1.1193762781186094</v>
      </c>
      <c r="BG10" s="6" cm="1">
        <f t="array" aca="1" ref="BG10" ca="1">IFERROR( INDIRECT(ADDRESS(ROW()+1, COLUMN(), 4, TRUE, "Import-dataset")) / INDIRECT(ADDRESS(ROW(), COLUMN(), 4, TRUE, "Import-dataset")), "" )</f>
        <v>1.1476639107863873</v>
      </c>
      <c r="BH10" s="6" cm="1">
        <f t="array" aca="1" ref="BH10" ca="1">IFERROR( INDIRECT(ADDRESS(ROW()+1, COLUMN(), 4, TRUE, "Import-dataset")) / INDIRECT(ADDRESS(ROW(), COLUMN(), 4, TRUE, "Import-dataset")), "" )</f>
        <v>1.2818371607515657</v>
      </c>
      <c r="BI10" s="6" cm="1">
        <f t="array" aca="1" ref="BI10" ca="1">IFERROR( INDIRECT(ADDRESS(ROW()+1, COLUMN(), 4, TRUE, "Import-dataset")) / INDIRECT(ADDRESS(ROW(), COLUMN(), 4, TRUE, "Import-dataset")), "" )</f>
        <v>1.2109714285714286</v>
      </c>
      <c r="BJ10" s="6" cm="1">
        <f t="array" aca="1" ref="BJ10" ca="1">IFERROR( INDIRECT(ADDRESS(ROW()+1, COLUMN(), 4, TRUE, "Import-dataset")) / INDIRECT(ADDRESS(ROW(), COLUMN(), 4, TRUE, "Import-dataset")), "" )</f>
        <v>1.0590229812884591</v>
      </c>
      <c r="BK10" s="6" cm="1">
        <f t="array" aca="1" ref="BK10" ca="1">IFERROR( INDIRECT(ADDRESS(ROW()+1, COLUMN(), 4, TRUE, "Import-dataset")) / INDIRECT(ADDRESS(ROW(), COLUMN(), 4, TRUE, "Import-dataset")), "" )</f>
        <v>1.4770114942528736</v>
      </c>
      <c r="BL10" s="6" cm="1">
        <f t="array" aca="1" ref="BL10" ca="1">IFERROR( INDIRECT(ADDRESS(ROW()+1, COLUMN(), 4, TRUE, "Import-dataset")) / INDIRECT(ADDRESS(ROW(), COLUMN(), 4, TRUE, "Import-dataset")), "" )</f>
        <v>1.0716520039100683</v>
      </c>
      <c r="BM10" s="6" cm="1">
        <f t="array" aca="1" ref="BM10" ca="1">IFERROR( INDIRECT(ADDRESS(ROW()+1, COLUMN(), 4, TRUE, "Import-dataset")) / INDIRECT(ADDRESS(ROW(), COLUMN(), 4, TRUE, "Import-dataset")), "" )</f>
        <v>1.058252427184466</v>
      </c>
      <c r="BN10" s="6" cm="1">
        <f t="array" aca="1" ref="BN10" ca="1">IFERROR( INDIRECT(ADDRESS(ROW()+1, COLUMN(), 4, TRUE, "Import-dataset")) / INDIRECT(ADDRESS(ROW(), COLUMN(), 4, TRUE, "Import-dataset")), "" )</f>
        <v>1.0752941176470587</v>
      </c>
      <c r="BO10" s="6" cm="1">
        <f t="array" aca="1" ref="BO10" ca="1">IFERROR( INDIRECT(ADDRESS(ROW()+1, COLUMN(), 4, TRUE, "Import-dataset")) / INDIRECT(ADDRESS(ROW(), COLUMN(), 4, TRUE, "Import-dataset")), "" )</f>
        <v>1.1433121019108281</v>
      </c>
      <c r="BP10" s="6" cm="1">
        <f t="array" aca="1" ref="BP10" ca="1">IFERROR( INDIRECT(ADDRESS(ROW()+1, COLUMN(), 4, TRUE, "Import-dataset")) / INDIRECT(ADDRESS(ROW(), COLUMN(), 4, TRUE, "Import-dataset")), "" )</f>
        <v>1.1008403361344539</v>
      </c>
      <c r="BQ10" s="6" cm="1">
        <f t="array" aca="1" ref="BQ10" ca="1">IFERROR( INDIRECT(ADDRESS(ROW()+1, COLUMN(), 4, TRUE, "Import-dataset")) / INDIRECT(ADDRESS(ROW(), COLUMN(), 4, TRUE, "Import-dataset")), "" )</f>
        <v>1.0197486535008977</v>
      </c>
      <c r="BR10" s="6" cm="1">
        <f t="array" aca="1" ref="BR10" ca="1">IFERROR( INDIRECT(ADDRESS(ROW()+1, COLUMN(), 4, TRUE, "Import-dataset")) / INDIRECT(ADDRESS(ROW(), COLUMN(), 4, TRUE, "Import-dataset")), "" )</f>
        <v>1.0709421112372304</v>
      </c>
      <c r="BS10" s="6" cm="1">
        <f t="array" aca="1" ref="BS10" ca="1">IFERROR( INDIRECT(ADDRESS(ROW()+1, COLUMN(), 4, TRUE, "Import-dataset")) / INDIRECT(ADDRESS(ROW(), COLUMN(), 4, TRUE, "Import-dataset")), "" )</f>
        <v>1.0789473684210527</v>
      </c>
      <c r="BT10" s="6" cm="1">
        <f t="array" aca="1" ref="BT10" ca="1">IFERROR( INDIRECT(ADDRESS(ROW()+1, COLUMN(), 4, TRUE, "Import-dataset")) / INDIRECT(ADDRESS(ROW(), COLUMN(), 4, TRUE, "Import-dataset")), "" )</f>
        <v>1.0614773258532024</v>
      </c>
      <c r="BU10" s="6" cm="1">
        <f t="array" aca="1" ref="BU10" ca="1">IFERROR( INDIRECT(ADDRESS(ROW()+1, COLUMN(), 4, TRUE, "Import-dataset")) / INDIRECT(ADDRESS(ROW(), COLUMN(), 4, TRUE, "Import-dataset")), "" )</f>
        <v>0.95833333333333337</v>
      </c>
      <c r="BV10" s="6" cm="1">
        <f t="array" aca="1" ref="BV10" ca="1">IFERROR( INDIRECT(ADDRESS(ROW()+1, COLUMN(), 4, TRUE, "Import-dataset")) / INDIRECT(ADDRESS(ROW(), COLUMN(), 4, TRUE, "Import-dataset")), "" )</f>
        <v>1.08</v>
      </c>
      <c r="BW10" s="6" cm="1">
        <f t="array" aca="1" ref="BW10" ca="1">IFERROR( INDIRECT(ADDRESS(ROW()+1, COLUMN(), 4, TRUE, "Import-dataset")) / INDIRECT(ADDRESS(ROW(), COLUMN(), 4, TRUE, "Import-dataset")), "" )</f>
        <v>1</v>
      </c>
      <c r="BX10" s="6" t="str" cm="1">
        <f t="array" aca="1" ref="BX10" ca="1">IFERROR( INDIRECT(ADDRESS(ROW()+1, COLUMN(), 4, TRUE, "Import-dataset")) / INDIRECT(ADDRESS(ROW(), COLUMN(), 4, TRUE, "Import-dataset")), "" )</f>
        <v/>
      </c>
      <c r="BY10" s="6" cm="1">
        <f t="array" aca="1" ref="BY10" ca="1">IFERROR( INDIRECT(ADDRESS(ROW()+1, COLUMN(), 4, TRUE, "Import-dataset")) / INDIRECT(ADDRESS(ROW(), COLUMN(), 4, TRUE, "Import-dataset")), "" )</f>
        <v>0.94566623544631312</v>
      </c>
      <c r="BZ10" s="6" cm="1">
        <f t="array" aca="1" ref="BZ10" ca="1">IFERROR( INDIRECT(ADDRESS(ROW()+1, COLUMN(), 4, TRUE, "Import-dataset")) / INDIRECT(ADDRESS(ROW(), COLUMN(), 4, TRUE, "Import-dataset")), "" )</f>
        <v>1.096774193548387</v>
      </c>
      <c r="CA10" s="6" cm="1">
        <f t="array" aca="1" ref="CA10" ca="1">IFERROR( INDIRECT(ADDRESS(ROW()+1, COLUMN(), 4, TRUE, "Import-dataset")) / INDIRECT(ADDRESS(ROW(), COLUMN(), 4, TRUE, "Import-dataset")), "" )</f>
        <v>1.1375937972657455</v>
      </c>
    </row>
    <row r="11" spans="1:79">
      <c r="A11" s="6" t="s">
        <v>168</v>
      </c>
      <c r="B11" s="6" cm="1">
        <f t="array" aca="1" ref="B11" ca="1">IFERROR( INDIRECT(ADDRESS(ROW()+1, COLUMN(), 4, TRUE, "Import-dataset")) / INDIRECT(ADDRESS(ROW(), COLUMN(), 4, TRUE, "Import-dataset")), "" )</f>
        <v>0.99116847826086951</v>
      </c>
      <c r="C11" s="6" cm="1">
        <f t="array" aca="1" ref="C11" ca="1">IFERROR( INDIRECT(ADDRESS(ROW()+1, COLUMN(), 4, TRUE, "Import-dataset")) / INDIRECT(ADDRESS(ROW(), COLUMN(), 4, TRUE, "Import-dataset")), "" )</f>
        <v>0.86792452830188682</v>
      </c>
      <c r="D11" s="6" cm="1">
        <f t="array" aca="1" ref="D11" ca="1">IFERROR( INDIRECT(ADDRESS(ROW()+1, COLUMN(), 4, TRUE, "Import-dataset")) / INDIRECT(ADDRESS(ROW(), COLUMN(), 4, TRUE, "Import-dataset")), "" )</f>
        <v>1.0980392156862746</v>
      </c>
      <c r="E11" s="6" cm="1">
        <f t="array" aca="1" ref="E11" ca="1">IFERROR( INDIRECT(ADDRESS(ROW()+1, COLUMN(), 4, TRUE, "Import-dataset")) / INDIRECT(ADDRESS(ROW(), COLUMN(), 4, TRUE, "Import-dataset")), "" )</f>
        <v>1.0864864864864865</v>
      </c>
      <c r="F11" s="6" cm="1">
        <f t="array" aca="1" ref="F11" ca="1">IFERROR( INDIRECT(ADDRESS(ROW()+1, COLUMN(), 4, TRUE, "Import-dataset")) / INDIRECT(ADDRESS(ROW(), COLUMN(), 4, TRUE, "Import-dataset")), "" )</f>
        <v>1.0117056856187292</v>
      </c>
      <c r="G11" s="6" cm="1">
        <f t="array" aca="1" ref="G11" ca="1">IFERROR( INDIRECT(ADDRESS(ROW()+1, COLUMN(), 4, TRUE, "Import-dataset")) / INDIRECT(ADDRESS(ROW(), COLUMN(), 4, TRUE, "Import-dataset")), "" )</f>
        <v>0.75688073394495414</v>
      </c>
      <c r="H11" s="6" cm="1">
        <f t="array" aca="1" ref="H11" ca="1">IFERROR( INDIRECT(ADDRESS(ROW()+1, COLUMN(), 4, TRUE, "Import-dataset")) / INDIRECT(ADDRESS(ROW(), COLUMN(), 4, TRUE, "Import-dataset")), "" )</f>
        <v>1.0382608695652173</v>
      </c>
      <c r="I11" s="6" cm="1">
        <f t="array" aca="1" ref="I11" ca="1">IFERROR( INDIRECT(ADDRESS(ROW()+1, COLUMN(), 4, TRUE, "Import-dataset")) / INDIRECT(ADDRESS(ROW(), COLUMN(), 4, TRUE, "Import-dataset")), "" )</f>
        <v>0.98863636363636365</v>
      </c>
      <c r="J11" s="6" cm="1">
        <f t="array" aca="1" ref="J11" ca="1">IFERROR( INDIRECT(ADDRESS(ROW()+1, COLUMN(), 4, TRUE, "Import-dataset")) / INDIRECT(ADDRESS(ROW(), COLUMN(), 4, TRUE, "Import-dataset")), "" )</f>
        <v>0.92190476190476189</v>
      </c>
      <c r="K11" s="6" cm="1">
        <f t="array" aca="1" ref="K11" ca="1">IFERROR( INDIRECT(ADDRESS(ROW()+1, COLUMN(), 4, TRUE, "Import-dataset")) / INDIRECT(ADDRESS(ROW(), COLUMN(), 4, TRUE, "Import-dataset")), "" )</f>
        <v>1.0096153846153846</v>
      </c>
      <c r="L11" s="6" cm="1">
        <f t="array" aca="1" ref="L11" ca="1">IFERROR( INDIRECT(ADDRESS(ROW()+1, COLUMN(), 4, TRUE, "Import-dataset")) / INDIRECT(ADDRESS(ROW(), COLUMN(), 4, TRUE, "Import-dataset")), "" )</f>
        <v>1.0603621730382293</v>
      </c>
      <c r="M11" s="6" cm="1">
        <f t="array" aca="1" ref="M11" ca="1">IFERROR( INDIRECT(ADDRESS(ROW()+1, COLUMN(), 4, TRUE, "Import-dataset")) / INDIRECT(ADDRESS(ROW(), COLUMN(), 4, TRUE, "Import-dataset")), "" )</f>
        <v>1.0159045725646123</v>
      </c>
      <c r="N11" s="6" cm="1">
        <f t="array" aca="1" ref="N11" ca="1">IFERROR( INDIRECT(ADDRESS(ROW()+1, COLUMN(), 4, TRUE, "Import-dataset")) / INDIRECT(ADDRESS(ROW(), COLUMN(), 4, TRUE, "Import-dataset")), "" )</f>
        <v>1</v>
      </c>
      <c r="O11" s="6" cm="1">
        <f t="array" aca="1" ref="O11" ca="1">IFERROR( INDIRECT(ADDRESS(ROW()+1, COLUMN(), 4, TRUE, "Import-dataset")) / INDIRECT(ADDRESS(ROW(), COLUMN(), 4, TRUE, "Import-dataset")), "" )</f>
        <v>1.0429447852760736</v>
      </c>
      <c r="P11" s="6" cm="1">
        <f t="array" aca="1" ref="P11" ca="1">IFERROR( INDIRECT(ADDRESS(ROW()+1, COLUMN(), 4, TRUE, "Import-dataset")) / INDIRECT(ADDRESS(ROW(), COLUMN(), 4, TRUE, "Import-dataset")), "" )</f>
        <v>0.86350656767561396</v>
      </c>
      <c r="Q11" s="6" cm="1">
        <f t="array" aca="1" ref="Q11" ca="1">IFERROR( INDIRECT(ADDRESS(ROW()+1, COLUMN(), 4, TRUE, "Import-dataset")) / INDIRECT(ADDRESS(ROW(), COLUMN(), 4, TRUE, "Import-dataset")), "" )</f>
        <v>0</v>
      </c>
      <c r="R11" s="6" cm="1">
        <f t="array" aca="1" ref="R11" ca="1">IFERROR( INDIRECT(ADDRESS(ROW()+1, COLUMN(), 4, TRUE, "Import-dataset")) / INDIRECT(ADDRESS(ROW(), COLUMN(), 4, TRUE, "Import-dataset")), "" )</f>
        <v>0.76335877862595425</v>
      </c>
      <c r="S11" s="6" cm="1">
        <f t="array" aca="1" ref="S11" ca="1">IFERROR( INDIRECT(ADDRESS(ROW()+1, COLUMN(), 4, TRUE, "Import-dataset")) / INDIRECT(ADDRESS(ROW(), COLUMN(), 4, TRUE, "Import-dataset")), "" )</f>
        <v>0.86746987951807231</v>
      </c>
      <c r="T11" s="6" cm="1">
        <f t="array" aca="1" ref="T11" ca="1">IFERROR( INDIRECT(ADDRESS(ROW()+1, COLUMN(), 4, TRUE, "Import-dataset")) / INDIRECT(ADDRESS(ROW(), COLUMN(), 4, TRUE, "Import-dataset")), "" )</f>
        <v>0.80268199233716475</v>
      </c>
      <c r="U11" s="6" cm="1">
        <f t="array" aca="1" ref="U11" ca="1">IFERROR( INDIRECT(ADDRESS(ROW()+1, COLUMN(), 4, TRUE, "Import-dataset")) / INDIRECT(ADDRESS(ROW(), COLUMN(), 4, TRUE, "Import-dataset")), "" )</f>
        <v>0.75609756097560976</v>
      </c>
      <c r="V11" s="6" cm="1">
        <f t="array" aca="1" ref="V11" ca="1">IFERROR( INDIRECT(ADDRESS(ROW()+1, COLUMN(), 4, TRUE, "Import-dataset")) / INDIRECT(ADDRESS(ROW(), COLUMN(), 4, TRUE, "Import-dataset")), "" )</f>
        <v>0.91208791208791207</v>
      </c>
      <c r="W11" s="6" cm="1">
        <f t="array" aca="1" ref="W11" ca="1">IFERROR( INDIRECT(ADDRESS(ROW()+1, COLUMN(), 4, TRUE, "Import-dataset")) / INDIRECT(ADDRESS(ROW(), COLUMN(), 4, TRUE, "Import-dataset")), "" )</f>
        <v>0.83439490445859876</v>
      </c>
      <c r="X11" s="6" cm="1">
        <f t="array" aca="1" ref="X11" ca="1">IFERROR( INDIRECT(ADDRESS(ROW()+1, COLUMN(), 4, TRUE, "Import-dataset")) / INDIRECT(ADDRESS(ROW(), COLUMN(), 4, TRUE, "Import-dataset")), "" )</f>
        <v>0.93956043956043955</v>
      </c>
      <c r="Y11" s="6" cm="1">
        <f t="array" aca="1" ref="Y11" ca="1">IFERROR( INDIRECT(ADDRESS(ROW()+1, COLUMN(), 4, TRUE, "Import-dataset")) / INDIRECT(ADDRESS(ROW(), COLUMN(), 4, TRUE, "Import-dataset")), "" )</f>
        <v>1.085</v>
      </c>
      <c r="Z11" s="6" cm="1">
        <f t="array" aca="1" ref="Z11" ca="1">IFERROR( INDIRECT(ADDRESS(ROW()+1, COLUMN(), 4, TRUE, "Import-dataset")) / INDIRECT(ADDRESS(ROW(), COLUMN(), 4, TRUE, "Import-dataset")), "" )</f>
        <v>1.260612297401595</v>
      </c>
      <c r="AA11" s="6" cm="1">
        <f t="array" aca="1" ref="AA11" ca="1">IFERROR( INDIRECT(ADDRESS(ROW()+1, COLUMN(), 4, TRUE, "Import-dataset")) / INDIRECT(ADDRESS(ROW(), COLUMN(), 4, TRUE, "Import-dataset")), "" )</f>
        <v>1.0714285714285714</v>
      </c>
      <c r="AB11" s="6" cm="1">
        <f t="array" aca="1" ref="AB11" ca="1">IFERROR( INDIRECT(ADDRESS(ROW()+1, COLUMN(), 4, TRUE, "Import-dataset")) / INDIRECT(ADDRESS(ROW(), COLUMN(), 4, TRUE, "Import-dataset")), "" )</f>
        <v>1.2555584619408842</v>
      </c>
      <c r="AC11" s="6" cm="1">
        <f t="array" aca="1" ref="AC11" ca="1">IFERROR( INDIRECT(ADDRESS(ROW()+1, COLUMN(), 4, TRUE, "Import-dataset")) / INDIRECT(ADDRESS(ROW(), COLUMN(), 4, TRUE, "Import-dataset")), "" )</f>
        <v>1.66</v>
      </c>
      <c r="AD11" s="6" cm="1">
        <f t="array" aca="1" ref="AD11" ca="1">IFERROR( INDIRECT(ADDRESS(ROW()+1, COLUMN(), 4, TRUE, "Import-dataset")) / INDIRECT(ADDRESS(ROW(), COLUMN(), 4, TRUE, "Import-dataset")), "" )</f>
        <v>1.0637450199203187</v>
      </c>
      <c r="AE11" s="6" cm="1">
        <f t="array" aca="1" ref="AE11" ca="1">IFERROR( INDIRECT(ADDRESS(ROW()+1, COLUMN(), 4, TRUE, "Import-dataset")) / INDIRECT(ADDRESS(ROW(), COLUMN(), 4, TRUE, "Import-dataset")), "" )</f>
        <v>2</v>
      </c>
      <c r="AF11" s="6" cm="1">
        <f t="array" aca="1" ref="AF11" ca="1">IFERROR( INDIRECT(ADDRESS(ROW()+1, COLUMN(), 4, TRUE, "Import-dataset")) / INDIRECT(ADDRESS(ROW(), COLUMN(), 4, TRUE, "Import-dataset")), "" )</f>
        <v>1.0442477876106195</v>
      </c>
      <c r="AG11" s="6" cm="1">
        <f t="array" aca="1" ref="AG11" ca="1">IFERROR( INDIRECT(ADDRESS(ROW()+1, COLUMN(), 4, TRUE, "Import-dataset")) / INDIRECT(ADDRESS(ROW(), COLUMN(), 4, TRUE, "Import-dataset")), "" )</f>
        <v>1</v>
      </c>
      <c r="AH11" s="6" cm="1">
        <f t="array" aca="1" ref="AH11" ca="1">IFERROR( INDIRECT(ADDRESS(ROW()+1, COLUMN(), 4, TRUE, "Import-dataset")) / INDIRECT(ADDRESS(ROW(), COLUMN(), 4, TRUE, "Import-dataset")), "" )</f>
        <v>1.0555943242614561</v>
      </c>
      <c r="AI11" s="6" cm="1">
        <f t="array" aca="1" ref="AI11" ca="1">IFERROR( INDIRECT(ADDRESS(ROW()+1, COLUMN(), 4, TRUE, "Import-dataset")) / INDIRECT(ADDRESS(ROW(), COLUMN(), 4, TRUE, "Import-dataset")), "" )</f>
        <v>1.0778732545649838</v>
      </c>
      <c r="AJ11" s="6" cm="1">
        <f t="array" aca="1" ref="AJ11" ca="1">IFERROR( INDIRECT(ADDRESS(ROW()+1, COLUMN(), 4, TRUE, "Import-dataset")) / INDIRECT(ADDRESS(ROW(), COLUMN(), 4, TRUE, "Import-dataset")), "" )</f>
        <v>0.9974905897114178</v>
      </c>
      <c r="AK11" s="6" cm="1">
        <f t="array" aca="1" ref="AK11" ca="1">IFERROR( INDIRECT(ADDRESS(ROW()+1, COLUMN(), 4, TRUE, "Import-dataset")) / INDIRECT(ADDRESS(ROW(), COLUMN(), 4, TRUE, "Import-dataset")), "" )</f>
        <v>1.0918918918918918</v>
      </c>
      <c r="AL11" s="6" cm="1">
        <f t="array" aca="1" ref="AL11" ca="1">IFERROR( INDIRECT(ADDRESS(ROW()+1, COLUMN(), 4, TRUE, "Import-dataset")) / INDIRECT(ADDRESS(ROW(), COLUMN(), 4, TRUE, "Import-dataset")), "" )</f>
        <v>1.1454760496747487</v>
      </c>
      <c r="AM11" s="6" cm="1">
        <f t="array" aca="1" ref="AM11" ca="1">IFERROR( INDIRECT(ADDRESS(ROW()+1, COLUMN(), 4, TRUE, "Import-dataset")) / INDIRECT(ADDRESS(ROW(), COLUMN(), 4, TRUE, "Import-dataset")), "" )</f>
        <v>1.0418060200668897</v>
      </c>
      <c r="AN11" s="6" cm="1">
        <f t="array" aca="1" ref="AN11" ca="1">IFERROR( INDIRECT(ADDRESS(ROW()+1, COLUMN(), 4, TRUE, "Import-dataset")) / INDIRECT(ADDRESS(ROW(), COLUMN(), 4, TRUE, "Import-dataset")), "" )</f>
        <v>1.2773972602739727</v>
      </c>
      <c r="AO11" s="6" cm="1">
        <f t="array" aca="1" ref="AO11" ca="1">IFERROR( INDIRECT(ADDRESS(ROW()+1, COLUMN(), 4, TRUE, "Import-dataset")) / INDIRECT(ADDRESS(ROW(), COLUMN(), 4, TRUE, "Import-dataset")), "" )</f>
        <v>0.88673469387755099</v>
      </c>
      <c r="AP11" s="6" cm="1">
        <f t="array" aca="1" ref="AP11" ca="1">IFERROR( INDIRECT(ADDRESS(ROW()+1, COLUMN(), 4, TRUE, "Import-dataset")) / INDIRECT(ADDRESS(ROW(), COLUMN(), 4, TRUE, "Import-dataset")), "" )</f>
        <v>0.92894056847545214</v>
      </c>
      <c r="AQ11" s="6" cm="1">
        <f t="array" aca="1" ref="AQ11" ca="1">IFERROR( INDIRECT(ADDRESS(ROW()+1, COLUMN(), 4, TRUE, "Import-dataset")) / INDIRECT(ADDRESS(ROW(), COLUMN(), 4, TRUE, "Import-dataset")), "" )</f>
        <v>1.0371155885471899</v>
      </c>
      <c r="AR11" s="6" cm="1">
        <f t="array" aca="1" ref="AR11" ca="1">IFERROR( INDIRECT(ADDRESS(ROW()+1, COLUMN(), 4, TRUE, "Import-dataset")) / INDIRECT(ADDRESS(ROW(), COLUMN(), 4, TRUE, "Import-dataset")), "" )</f>
        <v>0.93497224425059478</v>
      </c>
      <c r="AS11" s="6" cm="1">
        <f t="array" aca="1" ref="AS11" ca="1">IFERROR( INDIRECT(ADDRESS(ROW()+1, COLUMN(), 4, TRUE, "Import-dataset")) / INDIRECT(ADDRESS(ROW(), COLUMN(), 4, TRUE, "Import-dataset")), "" )</f>
        <v>0.9464285714285714</v>
      </c>
      <c r="AT11" s="6" cm="1">
        <f t="array" aca="1" ref="AT11" ca="1">IFERROR( INDIRECT(ADDRESS(ROW()+1, COLUMN(), 4, TRUE, "Import-dataset")) / INDIRECT(ADDRESS(ROW(), COLUMN(), 4, TRUE, "Import-dataset")), "" )</f>
        <v>1.0322878228782288</v>
      </c>
      <c r="AU11" s="6" cm="1">
        <f t="array" aca="1" ref="AU11" ca="1">IFERROR( INDIRECT(ADDRESS(ROW()+1, COLUMN(), 4, TRUE, "Import-dataset")) / INDIRECT(ADDRESS(ROW(), COLUMN(), 4, TRUE, "Import-dataset")), "" )</f>
        <v>0.97553516819571862</v>
      </c>
      <c r="AV11" s="6" cm="1">
        <f t="array" aca="1" ref="AV11" ca="1">IFERROR( INDIRECT(ADDRESS(ROW()+1, COLUMN(), 4, TRUE, "Import-dataset")) / INDIRECT(ADDRESS(ROW(), COLUMN(), 4, TRUE, "Import-dataset")), "" )</f>
        <v>0.8642578125</v>
      </c>
      <c r="AW11" s="6" cm="1">
        <f t="array" aca="1" ref="AW11" ca="1">IFERROR( INDIRECT(ADDRESS(ROW()+1, COLUMN(), 4, TRUE, "Import-dataset")) / INDIRECT(ADDRESS(ROW(), COLUMN(), 4, TRUE, "Import-dataset")), "" )</f>
        <v>0.95985099337748347</v>
      </c>
      <c r="AX11" s="6" cm="1">
        <f t="array" aca="1" ref="AX11" ca="1">IFERROR( INDIRECT(ADDRESS(ROW()+1, COLUMN(), 4, TRUE, "Import-dataset")) / INDIRECT(ADDRESS(ROW(), COLUMN(), 4, TRUE, "Import-dataset")), "" )</f>
        <v>0.99752270850536751</v>
      </c>
      <c r="AY11" s="6" cm="1">
        <f t="array" aca="1" ref="AY11" ca="1">IFERROR( INDIRECT(ADDRESS(ROW()+1, COLUMN(), 4, TRUE, "Import-dataset")) / INDIRECT(ADDRESS(ROW(), COLUMN(), 4, TRUE, "Import-dataset")), "" )</f>
        <v>0.86634681288553805</v>
      </c>
      <c r="AZ11" s="6" cm="1">
        <f t="array" aca="1" ref="AZ11" ca="1">IFERROR( INDIRECT(ADDRESS(ROW()+1, COLUMN(), 4, TRUE, "Import-dataset")) / INDIRECT(ADDRESS(ROW(), COLUMN(), 4, TRUE, "Import-dataset")), "" )</f>
        <v>0.87227866473149496</v>
      </c>
      <c r="BA11" s="6" cm="1">
        <f t="array" aca="1" ref="BA11" ca="1">IFERROR( INDIRECT(ADDRESS(ROW()+1, COLUMN(), 4, TRUE, "Import-dataset")) / INDIRECT(ADDRESS(ROW(), COLUMN(), 4, TRUE, "Import-dataset")), "" )</f>
        <v>0.94874423372629424</v>
      </c>
      <c r="BB11" s="6" cm="1">
        <f t="array" aca="1" ref="BB11" ca="1">IFERROR( INDIRECT(ADDRESS(ROW()+1, COLUMN(), 4, TRUE, "Import-dataset")) / INDIRECT(ADDRESS(ROW(), COLUMN(), 4, TRUE, "Import-dataset")), "" )</f>
        <v>1.0114029785129417</v>
      </c>
      <c r="BC11" s="6" cm="1">
        <f t="array" aca="1" ref="BC11" ca="1">IFERROR( INDIRECT(ADDRESS(ROW()+1, COLUMN(), 4, TRUE, "Import-dataset")) / INDIRECT(ADDRESS(ROW(), COLUMN(), 4, TRUE, "Import-dataset")), "" )</f>
        <v>1.1040650406504064</v>
      </c>
      <c r="BD11" s="6" cm="1">
        <f t="array" aca="1" ref="BD11" ca="1">IFERROR( INDIRECT(ADDRESS(ROW()+1, COLUMN(), 4, TRUE, "Import-dataset")) / INDIRECT(ADDRESS(ROW(), COLUMN(), 4, TRUE, "Import-dataset")), "" )</f>
        <v>1.0493101686254471</v>
      </c>
      <c r="BE11" s="6" cm="1">
        <f t="array" aca="1" ref="BE11" ca="1">IFERROR( INDIRECT(ADDRESS(ROW()+1, COLUMN(), 4, TRUE, "Import-dataset")) / INDIRECT(ADDRESS(ROW(), COLUMN(), 4, TRUE, "Import-dataset")), "" )</f>
        <v>1.086021505376344</v>
      </c>
      <c r="BF11" s="6" cm="1">
        <f t="array" aca="1" ref="BF11" ca="1">IFERROR( INDIRECT(ADDRESS(ROW()+1, COLUMN(), 4, TRUE, "Import-dataset")) / INDIRECT(ADDRESS(ROW(), COLUMN(), 4, TRUE, "Import-dataset")), "" )</f>
        <v>1.042932176295958</v>
      </c>
      <c r="BG11" s="6" cm="1">
        <f t="array" aca="1" ref="BG11" ca="1">IFERROR( INDIRECT(ADDRESS(ROW()+1, COLUMN(), 4, TRUE, "Import-dataset")) / INDIRECT(ADDRESS(ROW(), COLUMN(), 4, TRUE, "Import-dataset")), "" )</f>
        <v>0.98542469425364387</v>
      </c>
      <c r="BH11" s="6" cm="1">
        <f t="array" aca="1" ref="BH11" ca="1">IFERROR( INDIRECT(ADDRESS(ROW()+1, COLUMN(), 4, TRUE, "Import-dataset")) / INDIRECT(ADDRESS(ROW(), COLUMN(), 4, TRUE, "Import-dataset")), "" )</f>
        <v>1.01085776330076</v>
      </c>
      <c r="BI11" s="6" cm="1">
        <f t="array" aca="1" ref="BI11" ca="1">IFERROR( INDIRECT(ADDRESS(ROW()+1, COLUMN(), 4, TRUE, "Import-dataset")) / INDIRECT(ADDRESS(ROW(), COLUMN(), 4, TRUE, "Import-dataset")), "" )</f>
        <v>0.96262740656851642</v>
      </c>
      <c r="BJ11" s="6" cm="1">
        <f t="array" aca="1" ref="BJ11" ca="1">IFERROR( INDIRECT(ADDRESS(ROW()+1, COLUMN(), 4, TRUE, "Import-dataset")) / INDIRECT(ADDRESS(ROW(), COLUMN(), 4, TRUE, "Import-dataset")), "" )</f>
        <v>0.97746946519625277</v>
      </c>
      <c r="BK11" s="6" cm="1">
        <f t="array" aca="1" ref="BK11" ca="1">IFERROR( INDIRECT(ADDRESS(ROW()+1, COLUMN(), 4, TRUE, "Import-dataset")) / INDIRECT(ADDRESS(ROW(), COLUMN(), 4, TRUE, "Import-dataset")), "" )</f>
        <v>1.1011673151750974</v>
      </c>
      <c r="BL11" s="6" cm="1">
        <f t="array" aca="1" ref="BL11" ca="1">IFERROR( INDIRECT(ADDRESS(ROW()+1, COLUMN(), 4, TRUE, "Import-dataset")) / INDIRECT(ADDRESS(ROW(), COLUMN(), 4, TRUE, "Import-dataset")), "" )</f>
        <v>1.0083006476329472</v>
      </c>
      <c r="BM11" s="6" cm="1">
        <f t="array" aca="1" ref="BM11" ca="1">IFERROR( INDIRECT(ADDRESS(ROW()+1, COLUMN(), 4, TRUE, "Import-dataset")) / INDIRECT(ADDRESS(ROW(), COLUMN(), 4, TRUE, "Import-dataset")), "" )</f>
        <v>1.0321100917431192</v>
      </c>
      <c r="BN11" s="6" cm="1">
        <f t="array" aca="1" ref="BN11" ca="1">IFERROR( INDIRECT(ADDRESS(ROW()+1, COLUMN(), 4, TRUE, "Import-dataset")) / INDIRECT(ADDRESS(ROW(), COLUMN(), 4, TRUE, "Import-dataset")), "" )</f>
        <v>1.0831509846827134</v>
      </c>
      <c r="BO11" s="6" cm="1">
        <f t="array" aca="1" ref="BO11" ca="1">IFERROR( INDIRECT(ADDRESS(ROW()+1, COLUMN(), 4, TRUE, "Import-dataset")) / INDIRECT(ADDRESS(ROW(), COLUMN(), 4, TRUE, "Import-dataset")), "" )</f>
        <v>0.95543175487465182</v>
      </c>
      <c r="BP11" s="6" cm="1">
        <f t="array" aca="1" ref="BP11" ca="1">IFERROR( INDIRECT(ADDRESS(ROW()+1, COLUMN(), 4, TRUE, "Import-dataset")) / INDIRECT(ADDRESS(ROW(), COLUMN(), 4, TRUE, "Import-dataset")), "" )</f>
        <v>1.0581327069876689</v>
      </c>
      <c r="BQ11" s="6" cm="1">
        <f t="array" aca="1" ref="BQ11" ca="1">IFERROR( INDIRECT(ADDRESS(ROW()+1, COLUMN(), 4, TRUE, "Import-dataset")) / INDIRECT(ADDRESS(ROW(), COLUMN(), 4, TRUE, "Import-dataset")), "" )</f>
        <v>1.073943661971831</v>
      </c>
      <c r="BR11" s="6" cm="1">
        <f t="array" aca="1" ref="BR11" ca="1">IFERROR( INDIRECT(ADDRESS(ROW()+1, COLUMN(), 4, TRUE, "Import-dataset")) / INDIRECT(ADDRESS(ROW(), COLUMN(), 4, TRUE, "Import-dataset")), "" )</f>
        <v>1.0026497085320614</v>
      </c>
      <c r="BS11" s="6" cm="1">
        <f t="array" aca="1" ref="BS11" ca="1">IFERROR( INDIRECT(ADDRESS(ROW()+1, COLUMN(), 4, TRUE, "Import-dataset")) / INDIRECT(ADDRESS(ROW(), COLUMN(), 4, TRUE, "Import-dataset")), "" )</f>
        <v>1.0089430894308944</v>
      </c>
      <c r="BT11" s="6" cm="1">
        <f t="array" aca="1" ref="BT11" ca="1">IFERROR( INDIRECT(ADDRESS(ROW()+1, COLUMN(), 4, TRUE, "Import-dataset")) / INDIRECT(ADDRESS(ROW(), COLUMN(), 4, TRUE, "Import-dataset")), "" )</f>
        <v>0.97929971371944502</v>
      </c>
      <c r="BU11" s="6" cm="1">
        <f t="array" aca="1" ref="BU11" ca="1">IFERROR( INDIRECT(ADDRESS(ROW()+1, COLUMN(), 4, TRUE, "Import-dataset")) / INDIRECT(ADDRESS(ROW(), COLUMN(), 4, TRUE, "Import-dataset")), "" )</f>
        <v>0.90821256038647347</v>
      </c>
      <c r="BV11" s="6" cm="1">
        <f t="array" aca="1" ref="BV11" ca="1">IFERROR( INDIRECT(ADDRESS(ROW()+1, COLUMN(), 4, TRUE, "Import-dataset")) / INDIRECT(ADDRESS(ROW(), COLUMN(), 4, TRUE, "Import-dataset")), "" )</f>
        <v>1.1481481481481481</v>
      </c>
      <c r="BW11" s="6" cm="1">
        <f t="array" aca="1" ref="BW11" ca="1">IFERROR( INDIRECT(ADDRESS(ROW()+1, COLUMN(), 4, TRUE, "Import-dataset")) / INDIRECT(ADDRESS(ROW(), COLUMN(), 4, TRUE, "Import-dataset")), "" )</f>
        <v>9</v>
      </c>
      <c r="BX11" s="6" t="str" cm="1">
        <f t="array" aca="1" ref="BX11" ca="1">IFERROR( INDIRECT(ADDRESS(ROW()+1, COLUMN(), 4, TRUE, "Import-dataset")) / INDIRECT(ADDRESS(ROW(), COLUMN(), 4, TRUE, "Import-dataset")), "" )</f>
        <v/>
      </c>
      <c r="BY11" s="6" cm="1">
        <f t="array" aca="1" ref="BY11" ca="1">IFERROR( INDIRECT(ADDRESS(ROW()+1, COLUMN(), 4, TRUE, "Import-dataset")) / INDIRECT(ADDRESS(ROW(), COLUMN(), 4, TRUE, "Import-dataset")), "" )</f>
        <v>0.87961696306429549</v>
      </c>
      <c r="BZ11" s="6" cm="1">
        <f t="array" aca="1" ref="BZ11" ca="1">IFERROR( INDIRECT(ADDRESS(ROW()+1, COLUMN(), 4, TRUE, "Import-dataset")) / INDIRECT(ADDRESS(ROW(), COLUMN(), 4, TRUE, "Import-dataset")), "" )</f>
        <v>1</v>
      </c>
      <c r="CA11" s="6" cm="1">
        <f t="array" aca="1" ref="CA11" ca="1">IFERROR( INDIRECT(ADDRESS(ROW()+1, COLUMN(), 4, TRUE, "Import-dataset")) / INDIRECT(ADDRESS(ROW(), COLUMN(), 4, TRUE, "Import-dataset")), "" )</f>
        <v>1.0121467942015516</v>
      </c>
    </row>
    <row r="12" spans="1:79">
      <c r="A12" s="6" t="s">
        <v>169</v>
      </c>
      <c r="B12" s="6" cm="1">
        <f t="array" aca="1" ref="B12" ca="1">IFERROR( INDIRECT(ADDRESS(ROW()+1, COLUMN(), 4, TRUE, "Import-dataset")) / INDIRECT(ADDRESS(ROW(), COLUMN(), 4, TRUE, "Import-dataset")), "" )</f>
        <v>1.092871830020562</v>
      </c>
      <c r="C12" s="6" cm="1">
        <f t="array" aca="1" ref="C12" ca="1">IFERROR( INDIRECT(ADDRESS(ROW()+1, COLUMN(), 4, TRUE, "Import-dataset")) / INDIRECT(ADDRESS(ROW(), COLUMN(), 4, TRUE, "Import-dataset")), "" )</f>
        <v>1.3043478260869565</v>
      </c>
      <c r="D12" s="6" cm="1">
        <f t="array" aca="1" ref="D12" ca="1">IFERROR( INDIRECT(ADDRESS(ROW()+1, COLUMN(), 4, TRUE, "Import-dataset")) / INDIRECT(ADDRESS(ROW(), COLUMN(), 4, TRUE, "Import-dataset")), "" )</f>
        <v>1.2321428571428572</v>
      </c>
      <c r="E12" s="6" cm="1">
        <f t="array" aca="1" ref="E12" ca="1">IFERROR( INDIRECT(ADDRESS(ROW()+1, COLUMN(), 4, TRUE, "Import-dataset")) / INDIRECT(ADDRESS(ROW(), COLUMN(), 4, TRUE, "Import-dataset")), "" )</f>
        <v>0.96019900497512434</v>
      </c>
      <c r="F12" s="6" cm="1">
        <f t="array" aca="1" ref="F12" ca="1">IFERROR( INDIRECT(ADDRESS(ROW()+1, COLUMN(), 4, TRUE, "Import-dataset")) / INDIRECT(ADDRESS(ROW(), COLUMN(), 4, TRUE, "Import-dataset")), "" )</f>
        <v>1.0429752066115703</v>
      </c>
      <c r="G12" s="6" cm="1">
        <f t="array" aca="1" ref="G12" ca="1">IFERROR( INDIRECT(ADDRESS(ROW()+1, COLUMN(), 4, TRUE, "Import-dataset")) / INDIRECT(ADDRESS(ROW(), COLUMN(), 4, TRUE, "Import-dataset")), "" )</f>
        <v>1.2363636363636363</v>
      </c>
      <c r="H12" s="6" cm="1">
        <f t="array" aca="1" ref="H12" ca="1">IFERROR( INDIRECT(ADDRESS(ROW()+1, COLUMN(), 4, TRUE, "Import-dataset")) / INDIRECT(ADDRESS(ROW(), COLUMN(), 4, TRUE, "Import-dataset")), "" )</f>
        <v>0.98827470686767172</v>
      </c>
      <c r="I12" s="6" cm="1">
        <f t="array" aca="1" ref="I12" ca="1">IFERROR( INDIRECT(ADDRESS(ROW()+1, COLUMN(), 4, TRUE, "Import-dataset")) / INDIRECT(ADDRESS(ROW(), COLUMN(), 4, TRUE, "Import-dataset")), "" )</f>
        <v>1.0344827586206897</v>
      </c>
      <c r="J12" s="6" cm="1">
        <f t="array" aca="1" ref="J12" ca="1">IFERROR( INDIRECT(ADDRESS(ROW()+1, COLUMN(), 4, TRUE, "Import-dataset")) / INDIRECT(ADDRESS(ROW(), COLUMN(), 4, TRUE, "Import-dataset")), "" )</f>
        <v>1.2024793388429753</v>
      </c>
      <c r="K12" s="6" cm="1">
        <f t="array" aca="1" ref="K12" ca="1">IFERROR( INDIRECT(ADDRESS(ROW()+1, COLUMN(), 4, TRUE, "Import-dataset")) / INDIRECT(ADDRESS(ROW(), COLUMN(), 4, TRUE, "Import-dataset")), "" )</f>
        <v>1.2761904761904761</v>
      </c>
      <c r="L12" s="6" cm="1">
        <f t="array" aca="1" ref="L12" ca="1">IFERROR( INDIRECT(ADDRESS(ROW()+1, COLUMN(), 4, TRUE, "Import-dataset")) / INDIRECT(ADDRESS(ROW(), COLUMN(), 4, TRUE, "Import-dataset")), "" )</f>
        <v>1.0986717267552182</v>
      </c>
      <c r="M12" s="6" cm="1">
        <f t="array" aca="1" ref="M12" ca="1">IFERROR( INDIRECT(ADDRESS(ROW()+1, COLUMN(), 4, TRUE, "Import-dataset")) / INDIRECT(ADDRESS(ROW(), COLUMN(), 4, TRUE, "Import-dataset")), "" )</f>
        <v>1.0626223091976517</v>
      </c>
      <c r="N12" s="6" cm="1">
        <f t="array" aca="1" ref="N12" ca="1">IFERROR( INDIRECT(ADDRESS(ROW()+1, COLUMN(), 4, TRUE, "Import-dataset")) / INDIRECT(ADDRESS(ROW(), COLUMN(), 4, TRUE, "Import-dataset")), "" )</f>
        <v>1.1759530791788857</v>
      </c>
      <c r="O12" s="6" cm="1">
        <f t="array" aca="1" ref="O12" ca="1">IFERROR( INDIRECT(ADDRESS(ROW()+1, COLUMN(), 4, TRUE, "Import-dataset")) / INDIRECT(ADDRESS(ROW(), COLUMN(), 4, TRUE, "Import-dataset")), "" )</f>
        <v>0.8411764705882353</v>
      </c>
      <c r="P12" s="6" cm="1">
        <f t="array" aca="1" ref="P12" ca="1">IFERROR( INDIRECT(ADDRESS(ROW()+1, COLUMN(), 4, TRUE, "Import-dataset")) / INDIRECT(ADDRESS(ROW(), COLUMN(), 4, TRUE, "Import-dataset")), "" )</f>
        <v>1.0304232804232805</v>
      </c>
      <c r="Q12" s="6" t="str" cm="1">
        <f t="array" aca="1" ref="Q12" ca="1">IFERROR( INDIRECT(ADDRESS(ROW()+1, COLUMN(), 4, TRUE, "Import-dataset")) / INDIRECT(ADDRESS(ROW(), COLUMN(), 4, TRUE, "Import-dataset")), "" )</f>
        <v/>
      </c>
      <c r="R12" s="6" cm="1">
        <f t="array" aca="1" ref="R12" ca="1">IFERROR( INDIRECT(ADDRESS(ROW()+1, COLUMN(), 4, TRUE, "Import-dataset")) / INDIRECT(ADDRESS(ROW(), COLUMN(), 4, TRUE, "Import-dataset")), "" )</f>
        <v>0.91</v>
      </c>
      <c r="S12" s="6" cm="1">
        <f t="array" aca="1" ref="S12" ca="1">IFERROR( INDIRECT(ADDRESS(ROW()+1, COLUMN(), 4, TRUE, "Import-dataset")) / INDIRECT(ADDRESS(ROW(), COLUMN(), 4, TRUE, "Import-dataset")), "" )</f>
        <v>0.90277777777777779</v>
      </c>
      <c r="T12" s="6" cm="1">
        <f t="array" aca="1" ref="T12" ca="1">IFERROR( INDIRECT(ADDRESS(ROW()+1, COLUMN(), 4, TRUE, "Import-dataset")) / INDIRECT(ADDRESS(ROW(), COLUMN(), 4, TRUE, "Import-dataset")), "" )</f>
        <v>1.1026252983293556</v>
      </c>
      <c r="U12" s="6" cm="1">
        <f t="array" aca="1" ref="U12" ca="1">IFERROR( INDIRECT(ADDRESS(ROW()+1, COLUMN(), 4, TRUE, "Import-dataset")) / INDIRECT(ADDRESS(ROW(), COLUMN(), 4, TRUE, "Import-dataset")), "" )</f>
        <v>0.8</v>
      </c>
      <c r="V12" s="6" cm="1">
        <f t="array" aca="1" ref="V12" ca="1">IFERROR( INDIRECT(ADDRESS(ROW()+1, COLUMN(), 4, TRUE, "Import-dataset")) / INDIRECT(ADDRESS(ROW(), COLUMN(), 4, TRUE, "Import-dataset")), "" )</f>
        <v>0.89759036144578308</v>
      </c>
      <c r="W12" s="6" cm="1">
        <f t="array" aca="1" ref="W12" ca="1">IFERROR( INDIRECT(ADDRESS(ROW()+1, COLUMN(), 4, TRUE, "Import-dataset")) / INDIRECT(ADDRESS(ROW(), COLUMN(), 4, TRUE, "Import-dataset")), "" )</f>
        <v>1.2595419847328244</v>
      </c>
      <c r="X12" s="6" cm="1">
        <f t="array" aca="1" ref="X12" ca="1">IFERROR( INDIRECT(ADDRESS(ROW()+1, COLUMN(), 4, TRUE, "Import-dataset")) / INDIRECT(ADDRESS(ROW(), COLUMN(), 4, TRUE, "Import-dataset")), "" )</f>
        <v>1.1637426900584795</v>
      </c>
      <c r="Y12" s="6" cm="1">
        <f t="array" aca="1" ref="Y12" ca="1">IFERROR( INDIRECT(ADDRESS(ROW()+1, COLUMN(), 4, TRUE, "Import-dataset")) / INDIRECT(ADDRESS(ROW(), COLUMN(), 4, TRUE, "Import-dataset")), "" )</f>
        <v>1.1105990783410138</v>
      </c>
      <c r="Z12" s="6" cm="1">
        <f t="array" aca="1" ref="Z12" ca="1">IFERROR( INDIRECT(ADDRESS(ROW()+1, COLUMN(), 4, TRUE, "Import-dataset")) / INDIRECT(ADDRESS(ROW(), COLUMN(), 4, TRUE, "Import-dataset")), "" )</f>
        <v>1.0257142857142858</v>
      </c>
      <c r="AA12" s="6" cm="1">
        <f t="array" aca="1" ref="AA12" ca="1">IFERROR( INDIRECT(ADDRESS(ROW()+1, COLUMN(), 4, TRUE, "Import-dataset")) / INDIRECT(ADDRESS(ROW(), COLUMN(), 4, TRUE, "Import-dataset")), "" )</f>
        <v>0.8666666666666667</v>
      </c>
      <c r="AB12" s="6" cm="1">
        <f t="array" aca="1" ref="AB12" ca="1">IFERROR( INDIRECT(ADDRESS(ROW()+1, COLUMN(), 4, TRUE, "Import-dataset")) / INDIRECT(ADDRESS(ROW(), COLUMN(), 4, TRUE, "Import-dataset")), "" )</f>
        <v>1.0241666666666667</v>
      </c>
      <c r="AC12" s="6" cm="1">
        <f t="array" aca="1" ref="AC12" ca="1">IFERROR( INDIRECT(ADDRESS(ROW()+1, COLUMN(), 4, TRUE, "Import-dataset")) / INDIRECT(ADDRESS(ROW(), COLUMN(), 4, TRUE, "Import-dataset")), "" )</f>
        <v>1.1325301204819278</v>
      </c>
      <c r="AD12" s="6" cm="1">
        <f t="array" aca="1" ref="AD12" ca="1">IFERROR( INDIRECT(ADDRESS(ROW()+1, COLUMN(), 4, TRUE, "Import-dataset")) / INDIRECT(ADDRESS(ROW(), COLUMN(), 4, TRUE, "Import-dataset")), "" )</f>
        <v>1.0112359550561798</v>
      </c>
      <c r="AE12" s="6" cm="1">
        <f t="array" aca="1" ref="AE12" ca="1">IFERROR( INDIRECT(ADDRESS(ROW()+1, COLUMN(), 4, TRUE, "Import-dataset")) / INDIRECT(ADDRESS(ROW(), COLUMN(), 4, TRUE, "Import-dataset")), "" )</f>
        <v>2.25</v>
      </c>
      <c r="AF12" s="6" cm="1">
        <f t="array" aca="1" ref="AF12" ca="1">IFERROR( INDIRECT(ADDRESS(ROW()+1, COLUMN(), 4, TRUE, "Import-dataset")) / INDIRECT(ADDRESS(ROW(), COLUMN(), 4, TRUE, "Import-dataset")), "" )</f>
        <v>1.0169491525423728</v>
      </c>
      <c r="AG12" s="6" cm="1">
        <f t="array" aca="1" ref="AG12" ca="1">IFERROR( INDIRECT(ADDRESS(ROW()+1, COLUMN(), 4, TRUE, "Import-dataset")) / INDIRECT(ADDRESS(ROW(), COLUMN(), 4, TRUE, "Import-dataset")), "" )</f>
        <v>0.91304347826086951</v>
      </c>
      <c r="AH12" s="6" cm="1">
        <f t="array" aca="1" ref="AH12" ca="1">IFERROR( INDIRECT(ADDRESS(ROW()+1, COLUMN(), 4, TRUE, "Import-dataset")) / INDIRECT(ADDRESS(ROW(), COLUMN(), 4, TRUE, "Import-dataset")), "" )</f>
        <v>1.0353680035257822</v>
      </c>
      <c r="AI12" s="6" cm="1">
        <f t="array" aca="1" ref="AI12" ca="1">IFERROR( INDIRECT(ADDRESS(ROW()+1, COLUMN(), 4, TRUE, "Import-dataset")) / INDIRECT(ADDRESS(ROW(), COLUMN(), 4, TRUE, "Import-dataset")), "" )</f>
        <v>1.0313901345291481</v>
      </c>
      <c r="AJ12" s="6" cm="1">
        <f t="array" aca="1" ref="AJ12" ca="1">IFERROR( INDIRECT(ADDRESS(ROW()+1, COLUMN(), 4, TRUE, "Import-dataset")) / INDIRECT(ADDRESS(ROW(), COLUMN(), 4, TRUE, "Import-dataset")), "" )</f>
        <v>0.79748427672955979</v>
      </c>
      <c r="AK12" s="6" cm="1">
        <f t="array" aca="1" ref="AK12" ca="1">IFERROR( INDIRECT(ADDRESS(ROW()+1, COLUMN(), 4, TRUE, "Import-dataset")) / INDIRECT(ADDRESS(ROW(), COLUMN(), 4, TRUE, "Import-dataset")), "" )</f>
        <v>1.051980198019802</v>
      </c>
      <c r="AL12" s="6" cm="1">
        <f t="array" aca="1" ref="AL12" ca="1">IFERROR( INDIRECT(ADDRESS(ROW()+1, COLUMN(), 4, TRUE, "Import-dataset")) / INDIRECT(ADDRESS(ROW(), COLUMN(), 4, TRUE, "Import-dataset")), "" )</f>
        <v>1.1435209086215798</v>
      </c>
      <c r="AM12" s="6" cm="1">
        <f t="array" aca="1" ref="AM12" ca="1">IFERROR( INDIRECT(ADDRESS(ROW()+1, COLUMN(), 4, TRUE, "Import-dataset")) / INDIRECT(ADDRESS(ROW(), COLUMN(), 4, TRUE, "Import-dataset")), "" )</f>
        <v>1.0850722311396468</v>
      </c>
      <c r="AN12" s="6" cm="1">
        <f t="array" aca="1" ref="AN12" ca="1">IFERROR( INDIRECT(ADDRESS(ROW()+1, COLUMN(), 4, TRUE, "Import-dataset")) / INDIRECT(ADDRESS(ROW(), COLUMN(), 4, TRUE, "Import-dataset")), "" )</f>
        <v>0.886058981233244</v>
      </c>
      <c r="AO12" s="6" cm="1">
        <f t="array" aca="1" ref="AO12" ca="1">IFERROR( INDIRECT(ADDRESS(ROW()+1, COLUMN(), 4, TRUE, "Import-dataset")) / INDIRECT(ADDRESS(ROW(), COLUMN(), 4, TRUE, "Import-dataset")), "" )</f>
        <v>1.0655926352128884</v>
      </c>
      <c r="AP12" s="6" cm="1">
        <f t="array" aca="1" ref="AP12" ca="1">IFERROR( INDIRECT(ADDRESS(ROW()+1, COLUMN(), 4, TRUE, "Import-dataset")) / INDIRECT(ADDRESS(ROW(), COLUMN(), 4, TRUE, "Import-dataset")), "" )</f>
        <v>1.0486787204450625</v>
      </c>
      <c r="AQ12" s="6" cm="1">
        <f t="array" aca="1" ref="AQ12" ca="1">IFERROR( INDIRECT(ADDRESS(ROW()+1, COLUMN(), 4, TRUE, "Import-dataset")) / INDIRECT(ADDRESS(ROW(), COLUMN(), 4, TRUE, "Import-dataset")), "" )</f>
        <v>1.0623721881390593</v>
      </c>
      <c r="AR12" s="6" cm="1">
        <f t="array" aca="1" ref="AR12" ca="1">IFERROR( INDIRECT(ADDRESS(ROW()+1, COLUMN(), 4, TRUE, "Import-dataset")) / INDIRECT(ADDRESS(ROW(), COLUMN(), 4, TRUE, "Import-dataset")), "" )</f>
        <v>1.0865139949109415</v>
      </c>
      <c r="AS12" s="6" cm="1">
        <f t="array" aca="1" ref="AS12" ca="1">IFERROR( INDIRECT(ADDRESS(ROW()+1, COLUMN(), 4, TRUE, "Import-dataset")) / INDIRECT(ADDRESS(ROW(), COLUMN(), 4, TRUE, "Import-dataset")), "" )</f>
        <v>1</v>
      </c>
      <c r="AT12" s="6" cm="1">
        <f t="array" aca="1" ref="AT12" ca="1">IFERROR( INDIRECT(ADDRESS(ROW()+1, COLUMN(), 4, TRUE, "Import-dataset")) / INDIRECT(ADDRESS(ROW(), COLUMN(), 4, TRUE, "Import-dataset")), "" )</f>
        <v>1.0214477211796247</v>
      </c>
      <c r="AU12" s="6" cm="1">
        <f t="array" aca="1" ref="AU12" ca="1">IFERROR( INDIRECT(ADDRESS(ROW()+1, COLUMN(), 4, TRUE, "Import-dataset")) / INDIRECT(ADDRESS(ROW(), COLUMN(), 4, TRUE, "Import-dataset")), "" )</f>
        <v>1.1536050156739812</v>
      </c>
      <c r="AV12" s="6" cm="1">
        <f t="array" aca="1" ref="AV12" ca="1">IFERROR( INDIRECT(ADDRESS(ROW()+1, COLUMN(), 4, TRUE, "Import-dataset")) / INDIRECT(ADDRESS(ROW(), COLUMN(), 4, TRUE, "Import-dataset")), "" )</f>
        <v>1.035593220338983</v>
      </c>
      <c r="AW12" s="6" cm="1">
        <f t="array" aca="1" ref="AW12" ca="1">IFERROR( INDIRECT(ADDRESS(ROW()+1, COLUMN(), 4, TRUE, "Import-dataset")) / INDIRECT(ADDRESS(ROW(), COLUMN(), 4, TRUE, "Import-dataset")), "" )</f>
        <v>1.0284605433376455</v>
      </c>
      <c r="AX12" s="6" cm="1">
        <f t="array" aca="1" ref="AX12" ca="1">IFERROR( INDIRECT(ADDRESS(ROW()+1, COLUMN(), 4, TRUE, "Import-dataset")) / INDIRECT(ADDRESS(ROW(), COLUMN(), 4, TRUE, "Import-dataset")), "" )</f>
        <v>1.1059602649006623</v>
      </c>
      <c r="AY12" s="6" cm="1">
        <f t="array" aca="1" ref="AY12" ca="1">IFERROR( INDIRECT(ADDRESS(ROW()+1, COLUMN(), 4, TRUE, "Import-dataset")) / INDIRECT(ADDRESS(ROW(), COLUMN(), 4, TRUE, "Import-dataset")), "" )</f>
        <v>1.1598101265822784</v>
      </c>
      <c r="AZ12" s="6" cm="1">
        <f t="array" aca="1" ref="AZ12" ca="1">IFERROR( INDIRECT(ADDRESS(ROW()+1, COLUMN(), 4, TRUE, "Import-dataset")) / INDIRECT(ADDRESS(ROW(), COLUMN(), 4, TRUE, "Import-dataset")), "" )</f>
        <v>1.1514143094841931</v>
      </c>
      <c r="BA12" s="6" cm="1">
        <f t="array" aca="1" ref="BA12" ca="1">IFERROR( INDIRECT(ADDRESS(ROW()+1, COLUMN(), 4, TRUE, "Import-dataset")) / INDIRECT(ADDRESS(ROW(), COLUMN(), 4, TRUE, "Import-dataset")), "" )</f>
        <v>1.1620745542949757</v>
      </c>
      <c r="BB12" s="6" cm="1">
        <f t="array" aca="1" ref="BB12" ca="1">IFERROR( INDIRECT(ADDRESS(ROW()+1, COLUMN(), 4, TRUE, "Import-dataset")) / INDIRECT(ADDRESS(ROW(), COLUMN(), 4, TRUE, "Import-dataset")), "" )</f>
        <v>1.0513189709038551</v>
      </c>
      <c r="BC12" s="6" cm="1">
        <f t="array" aca="1" ref="BC12" ca="1">IFERROR( INDIRECT(ADDRESS(ROW()+1, COLUMN(), 4, TRUE, "Import-dataset")) / INDIRECT(ADDRESS(ROW(), COLUMN(), 4, TRUE, "Import-dataset")), "" )</f>
        <v>0.95827196858124697</v>
      </c>
      <c r="BD12" s="6" cm="1">
        <f t="array" aca="1" ref="BD12" ca="1">IFERROR( INDIRECT(ADDRESS(ROW()+1, COLUMN(), 4, TRUE, "Import-dataset")) / INDIRECT(ADDRESS(ROW(), COLUMN(), 4, TRUE, "Import-dataset")), "" )</f>
        <v>0.98173849525200874</v>
      </c>
      <c r="BE12" s="6" cm="1">
        <f t="array" aca="1" ref="BE12" ca="1">IFERROR( INDIRECT(ADDRESS(ROW()+1, COLUMN(), 4, TRUE, "Import-dataset")) / INDIRECT(ADDRESS(ROW(), COLUMN(), 4, TRUE, "Import-dataset")), "" )</f>
        <v>0.98349834983498352</v>
      </c>
      <c r="BF12" s="6" cm="1">
        <f t="array" aca="1" ref="BF12" ca="1">IFERROR( INDIRECT(ADDRESS(ROW()+1, COLUMN(), 4, TRUE, "Import-dataset")) / INDIRECT(ADDRESS(ROW(), COLUMN(), 4, TRUE, "Import-dataset")), "" )</f>
        <v>1.103569082548719</v>
      </c>
      <c r="BG12" s="6" cm="1">
        <f t="array" aca="1" ref="BG12" ca="1">IFERROR( INDIRECT(ADDRESS(ROW()+1, COLUMN(), 4, TRUE, "Import-dataset")) / INDIRECT(ADDRESS(ROW(), COLUMN(), 4, TRUE, "Import-dataset")), "" )</f>
        <v>1.1043862631757906</v>
      </c>
      <c r="BH12" s="6" cm="1">
        <f t="array" aca="1" ref="BH12" ca="1">IFERROR( INDIRECT(ADDRESS(ROW()+1, COLUMN(), 4, TRUE, "Import-dataset")) / INDIRECT(ADDRESS(ROW(), COLUMN(), 4, TRUE, "Import-dataset")), "" )</f>
        <v>1.0107411385606875</v>
      </c>
      <c r="BI12" s="6" cm="1">
        <f t="array" aca="1" ref="BI12" ca="1">IFERROR( INDIRECT(ADDRESS(ROW()+1, COLUMN(), 4, TRUE, "Import-dataset")) / INDIRECT(ADDRESS(ROW(), COLUMN(), 4, TRUE, "Import-dataset")), "" )</f>
        <v>0.99705882352941178</v>
      </c>
      <c r="BJ12" s="6" cm="1">
        <f t="array" aca="1" ref="BJ12" ca="1">IFERROR( INDIRECT(ADDRESS(ROW()+1, COLUMN(), 4, TRUE, "Import-dataset")) / INDIRECT(ADDRESS(ROW(), COLUMN(), 4, TRUE, "Import-dataset")), "" )</f>
        <v>1.1634113793521776</v>
      </c>
      <c r="BK12" s="6" cm="1">
        <f t="array" aca="1" ref="BK12" ca="1">IFERROR( INDIRECT(ADDRESS(ROW()+1, COLUMN(), 4, TRUE, "Import-dataset")) / INDIRECT(ADDRESS(ROW(), COLUMN(), 4, TRUE, "Import-dataset")), "" )</f>
        <v>0.83981154299175498</v>
      </c>
      <c r="BL12" s="6" cm="1">
        <f t="array" aca="1" ref="BL12" ca="1">IFERROR( INDIRECT(ADDRESS(ROW()+1, COLUMN(), 4, TRUE, "Import-dataset")) / INDIRECT(ADDRESS(ROW(), COLUMN(), 4, TRUE, "Import-dataset")), "" )</f>
        <v>1.1115433327302333</v>
      </c>
      <c r="BM12" s="6" cm="1">
        <f t="array" aca="1" ref="BM12" ca="1">IFERROR( INDIRECT(ADDRESS(ROW()+1, COLUMN(), 4, TRUE, "Import-dataset")) / INDIRECT(ADDRESS(ROW(), COLUMN(), 4, TRUE, "Import-dataset")), "" )</f>
        <v>1.1466666666666667</v>
      </c>
      <c r="BN12" s="6" cm="1">
        <f t="array" aca="1" ref="BN12" ca="1">IFERROR( INDIRECT(ADDRESS(ROW()+1, COLUMN(), 4, TRUE, "Import-dataset")) / INDIRECT(ADDRESS(ROW(), COLUMN(), 4, TRUE, "Import-dataset")), "" )</f>
        <v>1.2383838383838384</v>
      </c>
      <c r="BO12" s="6" cm="1">
        <f t="array" aca="1" ref="BO12" ca="1">IFERROR( INDIRECT(ADDRESS(ROW()+1, COLUMN(), 4, TRUE, "Import-dataset")) / INDIRECT(ADDRESS(ROW(), COLUMN(), 4, TRUE, "Import-dataset")), "" )</f>
        <v>1.0437317784256559</v>
      </c>
      <c r="BP12" s="6" cm="1">
        <f t="array" aca="1" ref="BP12" ca="1">IFERROR( INDIRECT(ADDRESS(ROW()+1, COLUMN(), 4, TRUE, "Import-dataset")) / INDIRECT(ADDRESS(ROW(), COLUMN(), 4, TRUE, "Import-dataset")), "" )</f>
        <v>1.1370699223085461</v>
      </c>
      <c r="BQ12" s="6" cm="1">
        <f t="array" aca="1" ref="BQ12" ca="1">IFERROR( INDIRECT(ADDRESS(ROW()+1, COLUMN(), 4, TRUE, "Import-dataset")) / INDIRECT(ADDRESS(ROW(), COLUMN(), 4, TRUE, "Import-dataset")), "" )</f>
        <v>1.0786885245901638</v>
      </c>
      <c r="BR12" s="6" cm="1">
        <f t="array" aca="1" ref="BR12" ca="1">IFERROR( INDIRECT(ADDRESS(ROW()+1, COLUMN(), 4, TRUE, "Import-dataset")) / INDIRECT(ADDRESS(ROW(), COLUMN(), 4, TRUE, "Import-dataset")), "" )</f>
        <v>1.1300211416490487</v>
      </c>
      <c r="BS12" s="6" cm="1">
        <f t="array" aca="1" ref="BS12" ca="1">IFERROR( INDIRECT(ADDRESS(ROW()+1, COLUMN(), 4, TRUE, "Import-dataset")) / INDIRECT(ADDRESS(ROW(), COLUMN(), 4, TRUE, "Import-dataset")), "" )</f>
        <v>1.0596293311845286</v>
      </c>
      <c r="BT12" s="6" cm="1">
        <f t="array" aca="1" ref="BT12" ca="1">IFERROR( INDIRECT(ADDRESS(ROW()+1, COLUMN(), 4, TRUE, "Import-dataset")) / INDIRECT(ADDRESS(ROW(), COLUMN(), 4, TRUE, "Import-dataset")), "" )</f>
        <v>1.1011918147065438</v>
      </c>
      <c r="BU12" s="6" cm="1">
        <f t="array" aca="1" ref="BU12" ca="1">IFERROR( INDIRECT(ADDRESS(ROW()+1, COLUMN(), 4, TRUE, "Import-dataset")) / INDIRECT(ADDRESS(ROW(), COLUMN(), 4, TRUE, "Import-dataset")), "" )</f>
        <v>1.2207446808510638</v>
      </c>
      <c r="BV12" s="6" cm="1">
        <f t="array" aca="1" ref="BV12" ca="1">IFERROR( INDIRECT(ADDRESS(ROW()+1, COLUMN(), 4, TRUE, "Import-dataset")) / INDIRECT(ADDRESS(ROW(), COLUMN(), 4, TRUE, "Import-dataset")), "" )</f>
        <v>1.1935483870967742</v>
      </c>
      <c r="BW12" s="6" cm="1">
        <f t="array" aca="1" ref="BW12" ca="1">IFERROR( INDIRECT(ADDRESS(ROW()+1, COLUMN(), 4, TRUE, "Import-dataset")) / INDIRECT(ADDRESS(ROW(), COLUMN(), 4, TRUE, "Import-dataset")), "" )</f>
        <v>1</v>
      </c>
      <c r="BX12" s="6" t="str" cm="1">
        <f t="array" aca="1" ref="BX12" ca="1">IFERROR( INDIRECT(ADDRESS(ROW()+1, COLUMN(), 4, TRUE, "Import-dataset")) / INDIRECT(ADDRESS(ROW(), COLUMN(), 4, TRUE, "Import-dataset")), "" )</f>
        <v/>
      </c>
      <c r="BY12" s="6" cm="1">
        <f t="array" aca="1" ref="BY12" ca="1">IFERROR( INDIRECT(ADDRESS(ROW()+1, COLUMN(), 4, TRUE, "Import-dataset")) / INDIRECT(ADDRESS(ROW(), COLUMN(), 4, TRUE, "Import-dataset")), "" )</f>
        <v>1.2379471228615864</v>
      </c>
      <c r="BZ12" s="6" cm="1">
        <f t="array" aca="1" ref="BZ12" ca="1">IFERROR( INDIRECT(ADDRESS(ROW()+1, COLUMN(), 4, TRUE, "Import-dataset")) / INDIRECT(ADDRESS(ROW(), COLUMN(), 4, TRUE, "Import-dataset")), "" )</f>
        <v>1.1029411764705883</v>
      </c>
      <c r="CA12" s="6" cm="1">
        <f t="array" aca="1" ref="CA12" ca="1">IFERROR( INDIRECT(ADDRESS(ROW()+1, COLUMN(), 4, TRUE, "Import-dataset")) / INDIRECT(ADDRESS(ROW(), COLUMN(), 4, TRUE, "Import-dataset")), "" )</f>
        <v>1.0638949113633465</v>
      </c>
    </row>
    <row r="13" spans="1:79">
      <c r="A13" s="6" t="s">
        <v>170</v>
      </c>
      <c r="B13" s="6" cm="1">
        <f t="array" aca="1" ref="B13" ca="1">IFERROR( INDIRECT(ADDRESS(ROW()+1, COLUMN(), 4, TRUE, "Import-dataset")) / INDIRECT(ADDRESS(ROW(), COLUMN(), 4, TRUE, "Import-dataset")), "" )</f>
        <v>1.1486359360301035</v>
      </c>
      <c r="C13" s="6" cm="1">
        <f t="array" aca="1" ref="C13" ca="1">IFERROR( INDIRECT(ADDRESS(ROW()+1, COLUMN(), 4, TRUE, "Import-dataset")) / INDIRECT(ADDRESS(ROW(), COLUMN(), 4, TRUE, "Import-dataset")), "" )</f>
        <v>1</v>
      </c>
      <c r="D13" s="6" cm="1">
        <f t="array" aca="1" ref="D13" ca="1">IFERROR( INDIRECT(ADDRESS(ROW()+1, COLUMN(), 4, TRUE, "Import-dataset")) / INDIRECT(ADDRESS(ROW(), COLUMN(), 4, TRUE, "Import-dataset")), "" )</f>
        <v>0.85507246376811596</v>
      </c>
      <c r="E13" s="6" cm="1">
        <f t="array" aca="1" ref="E13" ca="1">IFERROR( INDIRECT(ADDRESS(ROW()+1, COLUMN(), 4, TRUE, "Import-dataset")) / INDIRECT(ADDRESS(ROW(), COLUMN(), 4, TRUE, "Import-dataset")), "" )</f>
        <v>1.2383419689119171</v>
      </c>
      <c r="F13" s="6" cm="1">
        <f t="array" aca="1" ref="F13" ca="1">IFERROR( INDIRECT(ADDRESS(ROW()+1, COLUMN(), 4, TRUE, "Import-dataset")) / INDIRECT(ADDRESS(ROW(), COLUMN(), 4, TRUE, "Import-dataset")), "" )</f>
        <v>1.1553090332805072</v>
      </c>
      <c r="G13" s="6" cm="1">
        <f t="array" aca="1" ref="G13" ca="1">IFERROR( INDIRECT(ADDRESS(ROW()+1, COLUMN(), 4, TRUE, "Import-dataset")) / INDIRECT(ADDRESS(ROW(), COLUMN(), 4, TRUE, "Import-dataset")), "" )</f>
        <v>1.1274509803921569</v>
      </c>
      <c r="H13" s="6" cm="1">
        <f t="array" aca="1" ref="H13" ca="1">IFERROR( INDIRECT(ADDRESS(ROW()+1, COLUMN(), 4, TRUE, "Import-dataset")) / INDIRECT(ADDRESS(ROW(), COLUMN(), 4, TRUE, "Import-dataset")), "" )</f>
        <v>1.1288135593220339</v>
      </c>
      <c r="I13" s="6" cm="1">
        <f t="array" aca="1" ref="I13" ca="1">IFERROR( INDIRECT(ADDRESS(ROW()+1, COLUMN(), 4, TRUE, "Import-dataset")) / INDIRECT(ADDRESS(ROW(), COLUMN(), 4, TRUE, "Import-dataset")), "" )</f>
        <v>1.1555555555555554</v>
      </c>
      <c r="J13" s="6" cm="1">
        <f t="array" aca="1" ref="J13" ca="1">IFERROR( INDIRECT(ADDRESS(ROW()+1, COLUMN(), 4, TRUE, "Import-dataset")) / INDIRECT(ADDRESS(ROW(), COLUMN(), 4, TRUE, "Import-dataset")), "" )</f>
        <v>1.1649484536082475</v>
      </c>
      <c r="K13" s="6" cm="1">
        <f t="array" aca="1" ref="K13" ca="1">IFERROR( INDIRECT(ADDRESS(ROW()+1, COLUMN(), 4, TRUE, "Import-dataset")) / INDIRECT(ADDRESS(ROW(), COLUMN(), 4, TRUE, "Import-dataset")), "" )</f>
        <v>1.1567164179104477</v>
      </c>
      <c r="L13" s="6" cm="1">
        <f t="array" aca="1" ref="L13" ca="1">IFERROR( INDIRECT(ADDRESS(ROW()+1, COLUMN(), 4, TRUE, "Import-dataset")) / INDIRECT(ADDRESS(ROW(), COLUMN(), 4, TRUE, "Import-dataset")), "" )</f>
        <v>1.1796200345423142</v>
      </c>
      <c r="M13" s="6" cm="1">
        <f t="array" aca="1" ref="M13" ca="1">IFERROR( INDIRECT(ADDRESS(ROW()+1, COLUMN(), 4, TRUE, "Import-dataset")) / INDIRECT(ADDRESS(ROW(), COLUMN(), 4, TRUE, "Import-dataset")), "" )</f>
        <v>1.0847145488029466</v>
      </c>
      <c r="N13" s="6" cm="1">
        <f t="array" aca="1" ref="N13" ca="1">IFERROR( INDIRECT(ADDRESS(ROW()+1, COLUMN(), 4, TRUE, "Import-dataset")) / INDIRECT(ADDRESS(ROW(), COLUMN(), 4, TRUE, "Import-dataset")), "" )</f>
        <v>1.0822942643391522</v>
      </c>
      <c r="O13" s="6" cm="1">
        <f t="array" aca="1" ref="O13" ca="1">IFERROR( INDIRECT(ADDRESS(ROW()+1, COLUMN(), 4, TRUE, "Import-dataset")) / INDIRECT(ADDRESS(ROW(), COLUMN(), 4, TRUE, "Import-dataset")), "" )</f>
        <v>1.083916083916084</v>
      </c>
      <c r="P13" s="6" cm="1">
        <f t="array" aca="1" ref="P13" ca="1">IFERROR( INDIRECT(ADDRESS(ROW()+1, COLUMN(), 4, TRUE, "Import-dataset")) / INDIRECT(ADDRESS(ROW(), COLUMN(), 4, TRUE, "Import-dataset")), "" )</f>
        <v>1.0423620025673941</v>
      </c>
      <c r="Q13" s="6" cm="1">
        <f t="array" aca="1" ref="Q13" ca="1">IFERROR( INDIRECT(ADDRESS(ROW()+1, COLUMN(), 4, TRUE, "Import-dataset")) / INDIRECT(ADDRESS(ROW(), COLUMN(), 4, TRUE, "Import-dataset")), "" )</f>
        <v>0</v>
      </c>
      <c r="R13" s="6" cm="1">
        <f t="array" aca="1" ref="R13" ca="1">IFERROR( INDIRECT(ADDRESS(ROW()+1, COLUMN(), 4, TRUE, "Import-dataset")) / INDIRECT(ADDRESS(ROW(), COLUMN(), 4, TRUE, "Import-dataset")), "" )</f>
        <v>0.70329670329670335</v>
      </c>
      <c r="S13" s="6" cm="1">
        <f t="array" aca="1" ref="S13" ca="1">IFERROR( INDIRECT(ADDRESS(ROW()+1, COLUMN(), 4, TRUE, "Import-dataset")) / INDIRECT(ADDRESS(ROW(), COLUMN(), 4, TRUE, "Import-dataset")), "" )</f>
        <v>0.90769230769230769</v>
      </c>
      <c r="T13" s="6" cm="1">
        <f t="array" aca="1" ref="T13" ca="1">IFERROR( INDIRECT(ADDRESS(ROW()+1, COLUMN(), 4, TRUE, "Import-dataset")) / INDIRECT(ADDRESS(ROW(), COLUMN(), 4, TRUE, "Import-dataset")), "" )</f>
        <v>1.0389610389610389</v>
      </c>
      <c r="U13" s="6" cm="1">
        <f t="array" aca="1" ref="U13" ca="1">IFERROR( INDIRECT(ADDRESS(ROW()+1, COLUMN(), 4, TRUE, "Import-dataset")) / INDIRECT(ADDRESS(ROW(), COLUMN(), 4, TRUE, "Import-dataset")), "" )</f>
        <v>1.3951612903225807</v>
      </c>
      <c r="V13" s="6" cm="1">
        <f t="array" aca="1" ref="V13" ca="1">IFERROR( INDIRECT(ADDRESS(ROW()+1, COLUMN(), 4, TRUE, "Import-dataset")) / INDIRECT(ADDRESS(ROW(), COLUMN(), 4, TRUE, "Import-dataset")), "" )</f>
        <v>0.93288590604026844</v>
      </c>
      <c r="W13" s="6" cm="1">
        <f t="array" aca="1" ref="W13" ca="1">IFERROR( INDIRECT(ADDRESS(ROW()+1, COLUMN(), 4, TRUE, "Import-dataset")) / INDIRECT(ADDRESS(ROW(), COLUMN(), 4, TRUE, "Import-dataset")), "" )</f>
        <v>1.1575757575757575</v>
      </c>
      <c r="X13" s="6" cm="1">
        <f t="array" aca="1" ref="X13" ca="1">IFERROR( INDIRECT(ADDRESS(ROW()+1, COLUMN(), 4, TRUE, "Import-dataset")) / INDIRECT(ADDRESS(ROW(), COLUMN(), 4, TRUE, "Import-dataset")), "" )</f>
        <v>1.0050251256281406</v>
      </c>
      <c r="Y13" s="6" cm="1">
        <f t="array" aca="1" ref="Y13" ca="1">IFERROR( INDIRECT(ADDRESS(ROW()+1, COLUMN(), 4, TRUE, "Import-dataset")) / INDIRECT(ADDRESS(ROW(), COLUMN(), 4, TRUE, "Import-dataset")), "" )</f>
        <v>1.0746887966804979</v>
      </c>
      <c r="Z13" s="6" cm="1">
        <f t="array" aca="1" ref="Z13" ca="1">IFERROR( INDIRECT(ADDRESS(ROW()+1, COLUMN(), 4, TRUE, "Import-dataset")) / INDIRECT(ADDRESS(ROW(), COLUMN(), 4, TRUE, "Import-dataset")), "" )</f>
        <v>0.86032630322323911</v>
      </c>
      <c r="AA13" s="6" cm="1">
        <f t="array" aca="1" ref="AA13" ca="1">IFERROR( INDIRECT(ADDRESS(ROW()+1, COLUMN(), 4, TRUE, "Import-dataset")) / INDIRECT(ADDRESS(ROW(), COLUMN(), 4, TRUE, "Import-dataset")), "" )</f>
        <v>2.1538461538461537</v>
      </c>
      <c r="AB13" s="6" cm="1">
        <f t="array" aca="1" ref="AB13" ca="1">IFERROR( INDIRECT(ADDRESS(ROW()+1, COLUMN(), 4, TRUE, "Import-dataset")) / INDIRECT(ADDRESS(ROW(), COLUMN(), 4, TRUE, "Import-dataset")), "" )</f>
        <v>0.85903173311635472</v>
      </c>
      <c r="AC13" s="6" cm="1">
        <f t="array" aca="1" ref="AC13" ca="1">IFERROR( INDIRECT(ADDRESS(ROW()+1, COLUMN(), 4, TRUE, "Import-dataset")) / INDIRECT(ADDRESS(ROW(), COLUMN(), 4, TRUE, "Import-dataset")), "" )</f>
        <v>0.76595744680851063</v>
      </c>
      <c r="AD13" s="6" cm="1">
        <f t="array" aca="1" ref="AD13" ca="1">IFERROR( INDIRECT(ADDRESS(ROW()+1, COLUMN(), 4, TRUE, "Import-dataset")) / INDIRECT(ADDRESS(ROW(), COLUMN(), 4, TRUE, "Import-dataset")), "" )</f>
        <v>1</v>
      </c>
      <c r="AE13" s="6" cm="1">
        <f t="array" aca="1" ref="AE13" ca="1">IFERROR( INDIRECT(ADDRESS(ROW()+1, COLUMN(), 4, TRUE, "Import-dataset")) / INDIRECT(ADDRESS(ROW(), COLUMN(), 4, TRUE, "Import-dataset")), "" )</f>
        <v>0.66666666666666663</v>
      </c>
      <c r="AF13" s="6" cm="1">
        <f t="array" aca="1" ref="AF13" ca="1">IFERROR( INDIRECT(ADDRESS(ROW()+1, COLUMN(), 4, TRUE, "Import-dataset")) / INDIRECT(ADDRESS(ROW(), COLUMN(), 4, TRUE, "Import-dataset")), "" )</f>
        <v>0.9916666666666667</v>
      </c>
      <c r="AG13" s="6" cm="1">
        <f t="array" aca="1" ref="AG13" ca="1">IFERROR( INDIRECT(ADDRESS(ROW()+1, COLUMN(), 4, TRUE, "Import-dataset")) / INDIRECT(ADDRESS(ROW(), COLUMN(), 4, TRUE, "Import-dataset")), "" )</f>
        <v>1.1428571428571428</v>
      </c>
      <c r="AH13" s="6" cm="1">
        <f t="array" aca="1" ref="AH13" ca="1">IFERROR( INDIRECT(ADDRESS(ROW()+1, COLUMN(), 4, TRUE, "Import-dataset")) / INDIRECT(ADDRESS(ROW(), COLUMN(), 4, TRUE, "Import-dataset")), "" )</f>
        <v>1.1742045333617113</v>
      </c>
      <c r="AI13" s="6" cm="1">
        <f t="array" aca="1" ref="AI13" ca="1">IFERROR( INDIRECT(ADDRESS(ROW()+1, COLUMN(), 4, TRUE, "Import-dataset")) / INDIRECT(ADDRESS(ROW(), COLUMN(), 4, TRUE, "Import-dataset")), "" )</f>
        <v>1.0942028985507246</v>
      </c>
      <c r="AJ13" s="6" cm="1">
        <f t="array" aca="1" ref="AJ13" ca="1">IFERROR( INDIRECT(ADDRESS(ROW()+1, COLUMN(), 4, TRUE, "Import-dataset")) / INDIRECT(ADDRESS(ROW(), COLUMN(), 4, TRUE, "Import-dataset")), "" )</f>
        <v>1.2287066246056781</v>
      </c>
      <c r="AK13" s="6" cm="1">
        <f t="array" aca="1" ref="AK13" ca="1">IFERROR( INDIRECT(ADDRESS(ROW()+1, COLUMN(), 4, TRUE, "Import-dataset")) / INDIRECT(ADDRESS(ROW(), COLUMN(), 4, TRUE, "Import-dataset")), "" )</f>
        <v>1.1105882352941177</v>
      </c>
      <c r="AL13" s="6" cm="1">
        <f t="array" aca="1" ref="AL13" ca="1">IFERROR( INDIRECT(ADDRESS(ROW()+1, COLUMN(), 4, TRUE, "Import-dataset")) / INDIRECT(ADDRESS(ROW(), COLUMN(), 4, TRUE, "Import-dataset")), "" )</f>
        <v>1.2835214446952596</v>
      </c>
      <c r="AM13" s="6" cm="1">
        <f t="array" aca="1" ref="AM13" ca="1">IFERROR( INDIRECT(ADDRESS(ROW()+1, COLUMN(), 4, TRUE, "Import-dataset")) / INDIRECT(ADDRESS(ROW(), COLUMN(), 4, TRUE, "Import-dataset")), "" )</f>
        <v>1.220414201183432</v>
      </c>
      <c r="AN13" s="6" cm="1">
        <f t="array" aca="1" ref="AN13" ca="1">IFERROR( INDIRECT(ADDRESS(ROW()+1, COLUMN(), 4, TRUE, "Import-dataset")) / INDIRECT(ADDRESS(ROW(), COLUMN(), 4, TRUE, "Import-dataset")), "" )</f>
        <v>1.172465960665658</v>
      </c>
      <c r="AO13" s="6" cm="1">
        <f t="array" aca="1" ref="AO13" ca="1">IFERROR( INDIRECT(ADDRESS(ROW()+1, COLUMN(), 4, TRUE, "Import-dataset")) / INDIRECT(ADDRESS(ROW(), COLUMN(), 4, TRUE, "Import-dataset")), "" )</f>
        <v>1.0907127429805616</v>
      </c>
      <c r="AP13" s="6" cm="1">
        <f t="array" aca="1" ref="AP13" ca="1">IFERROR( INDIRECT(ADDRESS(ROW()+1, COLUMN(), 4, TRUE, "Import-dataset")) / INDIRECT(ADDRESS(ROW(), COLUMN(), 4, TRUE, "Import-dataset")), "" )</f>
        <v>1.1551724137931034</v>
      </c>
      <c r="AQ13" s="6" cm="1">
        <f t="array" aca="1" ref="AQ13" ca="1">IFERROR( INDIRECT(ADDRESS(ROW()+1, COLUMN(), 4, TRUE, "Import-dataset")) / INDIRECT(ADDRESS(ROW(), COLUMN(), 4, TRUE, "Import-dataset")), "" )</f>
        <v>1.1520692974013476</v>
      </c>
      <c r="AR13" s="6" cm="1">
        <f t="array" aca="1" ref="AR13" ca="1">IFERROR( INDIRECT(ADDRESS(ROW()+1, COLUMN(), 4, TRUE, "Import-dataset")) / INDIRECT(ADDRESS(ROW(), COLUMN(), 4, TRUE, "Import-dataset")), "" )</f>
        <v>1.1293260473588342</v>
      </c>
      <c r="AS13" s="6" cm="1">
        <f t="array" aca="1" ref="AS13" ca="1">IFERROR( INDIRECT(ADDRESS(ROW()+1, COLUMN(), 4, TRUE, "Import-dataset")) / INDIRECT(ADDRESS(ROW(), COLUMN(), 4, TRUE, "Import-dataset")), "" )</f>
        <v>0.86163522012578619</v>
      </c>
      <c r="AT13" s="6" cm="1">
        <f t="array" aca="1" ref="AT13" ca="1">IFERROR( INDIRECT(ADDRESS(ROW()+1, COLUMN(), 4, TRUE, "Import-dataset")) / INDIRECT(ADDRESS(ROW(), COLUMN(), 4, TRUE, "Import-dataset")), "" )</f>
        <v>1.1531058617672791</v>
      </c>
      <c r="AU13" s="6" cm="1">
        <f t="array" aca="1" ref="AU13" ca="1">IFERROR( INDIRECT(ADDRESS(ROW()+1, COLUMN(), 4, TRUE, "Import-dataset")) / INDIRECT(ADDRESS(ROW(), COLUMN(), 4, TRUE, "Import-dataset")), "" )</f>
        <v>1.138586956521739</v>
      </c>
      <c r="AV13" s="6" cm="1">
        <f t="array" aca="1" ref="AV13" ca="1">IFERROR( INDIRECT(ADDRESS(ROW()+1, COLUMN(), 4, TRUE, "Import-dataset")) / INDIRECT(ADDRESS(ROW(), COLUMN(), 4, TRUE, "Import-dataset")), "" )</f>
        <v>1.1412984178941625</v>
      </c>
      <c r="AW13" s="6" cm="1">
        <f t="array" aca="1" ref="AW13" ca="1">IFERROR( INDIRECT(ADDRESS(ROW()+1, COLUMN(), 4, TRUE, "Import-dataset")) / INDIRECT(ADDRESS(ROW(), COLUMN(), 4, TRUE, "Import-dataset")), "" )</f>
        <v>1.0901467505241089</v>
      </c>
      <c r="AX13" s="6" cm="1">
        <f t="array" aca="1" ref="AX13" ca="1">IFERROR( INDIRECT(ADDRESS(ROW()+1, COLUMN(), 4, TRUE, "Import-dataset")) / INDIRECT(ADDRESS(ROW(), COLUMN(), 4, TRUE, "Import-dataset")), "" )</f>
        <v>1.1639221556886228</v>
      </c>
      <c r="AY13" s="6" cm="1">
        <f t="array" aca="1" ref="AY13" ca="1">IFERROR( INDIRECT(ADDRESS(ROW()+1, COLUMN(), 4, TRUE, "Import-dataset")) / INDIRECT(ADDRESS(ROW(), COLUMN(), 4, TRUE, "Import-dataset")), "" )</f>
        <v>1.0975443383356072</v>
      </c>
      <c r="AZ13" s="6" cm="1">
        <f t="array" aca="1" ref="AZ13" ca="1">IFERROR( INDIRECT(ADDRESS(ROW()+1, COLUMN(), 4, TRUE, "Import-dataset")) / INDIRECT(ADDRESS(ROW(), COLUMN(), 4, TRUE, "Import-dataset")), "" )</f>
        <v>1.2630057803468209</v>
      </c>
      <c r="BA13" s="6" cm="1">
        <f t="array" aca="1" ref="BA13" ca="1">IFERROR( INDIRECT(ADDRESS(ROW()+1, COLUMN(), 4, TRUE, "Import-dataset")) / INDIRECT(ADDRESS(ROW(), COLUMN(), 4, TRUE, "Import-dataset")), "" )</f>
        <v>1.1227336122733613</v>
      </c>
      <c r="BB13" s="6" cm="1">
        <f t="array" aca="1" ref="BB13" ca="1">IFERROR( INDIRECT(ADDRESS(ROW()+1, COLUMN(), 4, TRUE, "Import-dataset")) / INDIRECT(ADDRESS(ROW(), COLUMN(), 4, TRUE, "Import-dataset")), "" )</f>
        <v>1.1455630781952555</v>
      </c>
      <c r="BC13" s="6" cm="1">
        <f t="array" aca="1" ref="BC13" ca="1">IFERROR( INDIRECT(ADDRESS(ROW()+1, COLUMN(), 4, TRUE, "Import-dataset")) / INDIRECT(ADDRESS(ROW(), COLUMN(), 4, TRUE, "Import-dataset")), "" )</f>
        <v>1.108094262295082</v>
      </c>
      <c r="BD13" s="6" cm="1">
        <f t="array" aca="1" ref="BD13" ca="1">IFERROR( INDIRECT(ADDRESS(ROW()+1, COLUMN(), 4, TRUE, "Import-dataset")) / INDIRECT(ADDRESS(ROW(), COLUMN(), 4, TRUE, "Import-dataset")), "" )</f>
        <v>1.1049107142857142</v>
      </c>
      <c r="BE13" s="6" cm="1">
        <f t="array" aca="1" ref="BE13" ca="1">IFERROR( INDIRECT(ADDRESS(ROW()+1, COLUMN(), 4, TRUE, "Import-dataset")) / INDIRECT(ADDRESS(ROW(), COLUMN(), 4, TRUE, "Import-dataset")), "" )</f>
        <v>0.89093959731543626</v>
      </c>
      <c r="BF13" s="6" cm="1">
        <f t="array" aca="1" ref="BF13" ca="1">IFERROR( INDIRECT(ADDRESS(ROW()+1, COLUMN(), 4, TRUE, "Import-dataset")) / INDIRECT(ADDRESS(ROW(), COLUMN(), 4, TRUE, "Import-dataset")), "" )</f>
        <v>1.1617063492063493</v>
      </c>
      <c r="BG13" s="6" cm="1">
        <f t="array" aca="1" ref="BG13" ca="1">IFERROR( INDIRECT(ADDRESS(ROW()+1, COLUMN(), 4, TRUE, "Import-dataset")) / INDIRECT(ADDRESS(ROW(), COLUMN(), 4, TRUE, "Import-dataset")), "" )</f>
        <v>1.0912869458128078</v>
      </c>
      <c r="BH13" s="6" cm="1">
        <f t="array" aca="1" ref="BH13" ca="1">IFERROR( INDIRECT(ADDRESS(ROW()+1, COLUMN(), 4, TRUE, "Import-dataset")) / INDIRECT(ADDRESS(ROW(), COLUMN(), 4, TRUE, "Import-dataset")), "" )</f>
        <v>1.099893730074389</v>
      </c>
      <c r="BI13" s="6" cm="1">
        <f t="array" aca="1" ref="BI13" ca="1">IFERROR( INDIRECT(ADDRESS(ROW()+1, COLUMN(), 4, TRUE, "Import-dataset")) / INDIRECT(ADDRESS(ROW(), COLUMN(), 4, TRUE, "Import-dataset")), "" )</f>
        <v>1.1240904621435595</v>
      </c>
      <c r="BJ13" s="6" cm="1">
        <f t="array" aca="1" ref="BJ13" ca="1">IFERROR( INDIRECT(ADDRESS(ROW()+1, COLUMN(), 4, TRUE, "Import-dataset")) / INDIRECT(ADDRESS(ROW(), COLUMN(), 4, TRUE, "Import-dataset")), "" )</f>
        <v>1.2225234619395204</v>
      </c>
      <c r="BK13" s="6" cm="1">
        <f t="array" aca="1" ref="BK13" ca="1">IFERROR( INDIRECT(ADDRESS(ROW()+1, COLUMN(), 4, TRUE, "Import-dataset")) / INDIRECT(ADDRESS(ROW(), COLUMN(), 4, TRUE, "Import-dataset")), "" )</f>
        <v>1.2435717625058438</v>
      </c>
      <c r="BL13" s="6" cm="1">
        <f t="array" aca="1" ref="BL13" ca="1">IFERROR( INDIRECT(ADDRESS(ROW()+1, COLUMN(), 4, TRUE, "Import-dataset")) / INDIRECT(ADDRESS(ROW(), COLUMN(), 4, TRUE, "Import-dataset")), "" )</f>
        <v>1.1845853340929438</v>
      </c>
      <c r="BM13" s="6" cm="1">
        <f t="array" aca="1" ref="BM13" ca="1">IFERROR( INDIRECT(ADDRESS(ROW()+1, COLUMN(), 4, TRUE, "Import-dataset")) / INDIRECT(ADDRESS(ROW(), COLUMN(), 4, TRUE, "Import-dataset")), "" )</f>
        <v>1.1976744186046511</v>
      </c>
      <c r="BN13" s="6" cm="1">
        <f t="array" aca="1" ref="BN13" ca="1">IFERROR( INDIRECT(ADDRESS(ROW()+1, COLUMN(), 4, TRUE, "Import-dataset")) / INDIRECT(ADDRESS(ROW(), COLUMN(), 4, TRUE, "Import-dataset")), "" )</f>
        <v>1.2251223491027732</v>
      </c>
      <c r="BO13" s="6" cm="1">
        <f t="array" aca="1" ref="BO13" ca="1">IFERROR( INDIRECT(ADDRESS(ROW()+1, COLUMN(), 4, TRUE, "Import-dataset")) / INDIRECT(ADDRESS(ROW(), COLUMN(), 4, TRUE, "Import-dataset")), "" )</f>
        <v>1.005586592178771</v>
      </c>
      <c r="BP13" s="6" cm="1">
        <f t="array" aca="1" ref="BP13" ca="1">IFERROR( INDIRECT(ADDRESS(ROW()+1, COLUMN(), 4, TRUE, "Import-dataset")) / INDIRECT(ADDRESS(ROW(), COLUMN(), 4, TRUE, "Import-dataset")), "" )</f>
        <v>1.1805758906783796</v>
      </c>
      <c r="BQ13" s="6" cm="1">
        <f t="array" aca="1" ref="BQ13" ca="1">IFERROR( INDIRECT(ADDRESS(ROW()+1, COLUMN(), 4, TRUE, "Import-dataset")) / INDIRECT(ADDRESS(ROW(), COLUMN(), 4, TRUE, "Import-dataset")), "" )</f>
        <v>1.1854103343465046</v>
      </c>
      <c r="BR13" s="6" cm="1">
        <f t="array" aca="1" ref="BR13" ca="1">IFERROR( INDIRECT(ADDRESS(ROW()+1, COLUMN(), 4, TRUE, "Import-dataset")) / INDIRECT(ADDRESS(ROW(), COLUMN(), 4, TRUE, "Import-dataset")), "" )</f>
        <v>1.1492048643592143</v>
      </c>
      <c r="BS13" s="6" cm="1">
        <f t="array" aca="1" ref="BS13" ca="1">IFERROR( INDIRECT(ADDRESS(ROW()+1, COLUMN(), 4, TRUE, "Import-dataset")) / INDIRECT(ADDRESS(ROW(), COLUMN(), 4, TRUE, "Import-dataset")), "" )</f>
        <v>1.0806083650190115</v>
      </c>
      <c r="BT13" s="6" cm="1">
        <f t="array" aca="1" ref="BT13" ca="1">IFERROR( INDIRECT(ADDRESS(ROW()+1, COLUMN(), 4, TRUE, "Import-dataset")) / INDIRECT(ADDRESS(ROW(), COLUMN(), 4, TRUE, "Import-dataset")), "" )</f>
        <v>1.2370839289360833</v>
      </c>
      <c r="BU13" s="6" cm="1">
        <f t="array" aca="1" ref="BU13" ca="1">IFERROR( INDIRECT(ADDRESS(ROW()+1, COLUMN(), 4, TRUE, "Import-dataset")) / INDIRECT(ADDRESS(ROW(), COLUMN(), 4, TRUE, "Import-dataset")), "" )</f>
        <v>3.6699346405228757</v>
      </c>
      <c r="BV13" s="6" cm="1">
        <f t="array" aca="1" ref="BV13" ca="1">IFERROR( INDIRECT(ADDRESS(ROW()+1, COLUMN(), 4, TRUE, "Import-dataset")) / INDIRECT(ADDRESS(ROW(), COLUMN(), 4, TRUE, "Import-dataset")), "" )</f>
        <v>1.1621621621621621</v>
      </c>
      <c r="BW13" s="6" cm="1">
        <f t="array" aca="1" ref="BW13" ca="1">IFERROR( INDIRECT(ADDRESS(ROW()+1, COLUMN(), 4, TRUE, "Import-dataset")) / INDIRECT(ADDRESS(ROW(), COLUMN(), 4, TRUE, "Import-dataset")), "" )</f>
        <v>0.44444444444444442</v>
      </c>
      <c r="BX13" s="6" t="str" cm="1">
        <f t="array" aca="1" ref="BX13" ca="1">IFERROR( INDIRECT(ADDRESS(ROW()+1, COLUMN(), 4, TRUE, "Import-dataset")) / INDIRECT(ADDRESS(ROW(), COLUMN(), 4, TRUE, "Import-dataset")), "" )</f>
        <v/>
      </c>
      <c r="BY13" s="6" cm="1">
        <f t="array" aca="1" ref="BY13" ca="1">IFERROR( INDIRECT(ADDRESS(ROW()+1, COLUMN(), 4, TRUE, "Import-dataset")) / INDIRECT(ADDRESS(ROW(), COLUMN(), 4, TRUE, "Import-dataset")), "" )</f>
        <v>3.987437185929648</v>
      </c>
      <c r="BZ13" s="6" cm="1">
        <f t="array" aca="1" ref="BZ13" ca="1">IFERROR( INDIRECT(ADDRESS(ROW()+1, COLUMN(), 4, TRUE, "Import-dataset")) / INDIRECT(ADDRESS(ROW(), COLUMN(), 4, TRUE, "Import-dataset")), "" )</f>
        <v>1.9733333333333334</v>
      </c>
      <c r="CA13" s="6" cm="1">
        <f t="array" aca="1" ref="CA13" ca="1">IFERROR( INDIRECT(ADDRESS(ROW()+1, COLUMN(), 4, TRUE, "Import-dataset")) / INDIRECT(ADDRESS(ROW(), COLUMN(), 4, TRUE, "Import-dataset")), "" )</f>
        <v>1.1600695276912012</v>
      </c>
    </row>
    <row r="14" spans="1:79">
      <c r="A14" s="6" t="s">
        <v>171</v>
      </c>
      <c r="B14" s="6" cm="1">
        <f t="array" aca="1" ref="B14" ca="1">IFERROR( INDIRECT(ADDRESS(ROW()+1, COLUMN(), 4, TRUE, "Import-dataset")) / INDIRECT(ADDRESS(ROW(), COLUMN(), 4, TRUE, "Import-dataset")), "" )</f>
        <v>1.0485940485940486</v>
      </c>
      <c r="C14" s="6" cm="1">
        <f t="array" aca="1" ref="C14" ca="1">IFERROR( INDIRECT(ADDRESS(ROW()+1, COLUMN(), 4, TRUE, "Import-dataset")) / INDIRECT(ADDRESS(ROW(), COLUMN(), 4, TRUE, "Import-dataset")), "" )</f>
        <v>1.0416666666666667</v>
      </c>
      <c r="D14" s="6" cm="1">
        <f t="array" aca="1" ref="D14" ca="1">IFERROR( INDIRECT(ADDRESS(ROW()+1, COLUMN(), 4, TRUE, "Import-dataset")) / INDIRECT(ADDRESS(ROW(), COLUMN(), 4, TRUE, "Import-dataset")), "" )</f>
        <v>1.6610169491525424</v>
      </c>
      <c r="E14" s="6" cm="1">
        <f t="array" aca="1" ref="E14" ca="1">IFERROR( INDIRECT(ADDRESS(ROW()+1, COLUMN(), 4, TRUE, "Import-dataset")) / INDIRECT(ADDRESS(ROW(), COLUMN(), 4, TRUE, "Import-dataset")), "" )</f>
        <v>1.1464435146443515</v>
      </c>
      <c r="F14" s="6" cm="1">
        <f t="array" aca="1" ref="F14" ca="1">IFERROR( INDIRECT(ADDRESS(ROW()+1, COLUMN(), 4, TRUE, "Import-dataset")) / INDIRECT(ADDRESS(ROW(), COLUMN(), 4, TRUE, "Import-dataset")), "" )</f>
        <v>1.0685871056241427</v>
      </c>
      <c r="G14" s="6" cm="1">
        <f t="array" aca="1" ref="G14" ca="1">IFERROR( INDIRECT(ADDRESS(ROW()+1, COLUMN(), 4, TRUE, "Import-dataset")) / INDIRECT(ADDRESS(ROW(), COLUMN(), 4, TRUE, "Import-dataset")), "" )</f>
        <v>1.1000000000000001</v>
      </c>
      <c r="H14" s="6" cm="1">
        <f t="array" aca="1" ref="H14" ca="1">IFERROR( INDIRECT(ADDRESS(ROW()+1, COLUMN(), 4, TRUE, "Import-dataset")) / INDIRECT(ADDRESS(ROW(), COLUMN(), 4, TRUE, "Import-dataset")), "" )</f>
        <v>1.1141141141141142</v>
      </c>
      <c r="I14" s="6" cm="1">
        <f t="array" aca="1" ref="I14" ca="1">IFERROR( INDIRECT(ADDRESS(ROW()+1, COLUMN(), 4, TRUE, "Import-dataset")) / INDIRECT(ADDRESS(ROW(), COLUMN(), 4, TRUE, "Import-dataset")), "" )</f>
        <v>1.0192307692307692</v>
      </c>
      <c r="J14" s="6" cm="1">
        <f t="array" aca="1" ref="J14" ca="1">IFERROR( INDIRECT(ADDRESS(ROW()+1, COLUMN(), 4, TRUE, "Import-dataset")) / INDIRECT(ADDRESS(ROW(), COLUMN(), 4, TRUE, "Import-dataset")), "" )</f>
        <v>0.92920353982300885</v>
      </c>
      <c r="K14" s="6" cm="1">
        <f t="array" aca="1" ref="K14" ca="1">IFERROR( INDIRECT(ADDRESS(ROW()+1, COLUMN(), 4, TRUE, "Import-dataset")) / INDIRECT(ADDRESS(ROW(), COLUMN(), 4, TRUE, "Import-dataset")), "" )</f>
        <v>0.92903225806451617</v>
      </c>
      <c r="L14" s="6" cm="1">
        <f t="array" aca="1" ref="L14" ca="1">IFERROR( INDIRECT(ADDRESS(ROW()+1, COLUMN(), 4, TRUE, "Import-dataset")) / INDIRECT(ADDRESS(ROW(), COLUMN(), 4, TRUE, "Import-dataset")), "" )</f>
        <v>1.0146412884333822</v>
      </c>
      <c r="M14" s="6" cm="1">
        <f t="array" aca="1" ref="M14" ca="1">IFERROR( INDIRECT(ADDRESS(ROW()+1, COLUMN(), 4, TRUE, "Import-dataset")) / INDIRECT(ADDRESS(ROW(), COLUMN(), 4, TRUE, "Import-dataset")), "" )</f>
        <v>1.1409168081494059</v>
      </c>
      <c r="N14" s="6" cm="1">
        <f t="array" aca="1" ref="N14" ca="1">IFERROR( INDIRECT(ADDRESS(ROW()+1, COLUMN(), 4, TRUE, "Import-dataset")) / INDIRECT(ADDRESS(ROW(), COLUMN(), 4, TRUE, "Import-dataset")), "" )</f>
        <v>1.1428571428571428</v>
      </c>
      <c r="O14" s="6" cm="1">
        <f t="array" aca="1" ref="O14" ca="1">IFERROR( INDIRECT(ADDRESS(ROW()+1, COLUMN(), 4, TRUE, "Import-dataset")) / INDIRECT(ADDRESS(ROW(), COLUMN(), 4, TRUE, "Import-dataset")), "" )</f>
        <v>1.1354838709677419</v>
      </c>
      <c r="P14" s="6" cm="1">
        <f t="array" aca="1" ref="P14" ca="1">IFERROR( INDIRECT(ADDRESS(ROW()+1, COLUMN(), 4, TRUE, "Import-dataset")) / INDIRECT(ADDRESS(ROW(), COLUMN(), 4, TRUE, "Import-dataset")), "" )</f>
        <v>1</v>
      </c>
      <c r="Q14" s="6" t="str" cm="1">
        <f t="array" aca="1" ref="Q14" ca="1">IFERROR( INDIRECT(ADDRESS(ROW()+1, COLUMN(), 4, TRUE, "Import-dataset")) / INDIRECT(ADDRESS(ROW(), COLUMN(), 4, TRUE, "Import-dataset")), "" )</f>
        <v/>
      </c>
      <c r="R14" s="6" cm="1">
        <f t="array" aca="1" ref="R14" ca="1">IFERROR( INDIRECT(ADDRESS(ROW()+1, COLUMN(), 4, TRUE, "Import-dataset")) / INDIRECT(ADDRESS(ROW(), COLUMN(), 4, TRUE, "Import-dataset")), "" )</f>
        <v>1.0625</v>
      </c>
      <c r="S14" s="6" cm="1">
        <f t="array" aca="1" ref="S14" ca="1">IFERROR( INDIRECT(ADDRESS(ROW()+1, COLUMN(), 4, TRUE, "Import-dataset")) / INDIRECT(ADDRESS(ROW(), COLUMN(), 4, TRUE, "Import-dataset")), "" )</f>
        <v>0.88135593220338981</v>
      </c>
      <c r="T14" s="6" cm="1">
        <f t="array" aca="1" ref="T14" ca="1">IFERROR( INDIRECT(ADDRESS(ROW()+1, COLUMN(), 4, TRUE, "Import-dataset")) / INDIRECT(ADDRESS(ROW(), COLUMN(), 4, TRUE, "Import-dataset")), "" )</f>
        <v>1.0125</v>
      </c>
      <c r="U14" s="6" cm="1">
        <f t="array" aca="1" ref="U14" ca="1">IFERROR( INDIRECT(ADDRESS(ROW()+1, COLUMN(), 4, TRUE, "Import-dataset")) / INDIRECT(ADDRESS(ROW(), COLUMN(), 4, TRUE, "Import-dataset")), "" )</f>
        <v>1.1734104046242775</v>
      </c>
      <c r="V14" s="6" cm="1">
        <f t="array" aca="1" ref="V14" ca="1">IFERROR( INDIRECT(ADDRESS(ROW()+1, COLUMN(), 4, TRUE, "Import-dataset")) / INDIRECT(ADDRESS(ROW(), COLUMN(), 4, TRUE, "Import-dataset")), "" )</f>
        <v>1</v>
      </c>
      <c r="W14" s="6" cm="1">
        <f t="array" aca="1" ref="W14" ca="1">IFERROR( INDIRECT(ADDRESS(ROW()+1, COLUMN(), 4, TRUE, "Import-dataset")) / INDIRECT(ADDRESS(ROW(), COLUMN(), 4, TRUE, "Import-dataset")), "" )</f>
        <v>0.82198952879581155</v>
      </c>
      <c r="X14" s="6" cm="1">
        <f t="array" aca="1" ref="X14" ca="1">IFERROR( INDIRECT(ADDRESS(ROW()+1, COLUMN(), 4, TRUE, "Import-dataset")) / INDIRECT(ADDRESS(ROW(), COLUMN(), 4, TRUE, "Import-dataset")), "" )</f>
        <v>0.91</v>
      </c>
      <c r="Y14" s="6" cm="1">
        <f t="array" aca="1" ref="Y14" ca="1">IFERROR( INDIRECT(ADDRESS(ROW()+1, COLUMN(), 4, TRUE, "Import-dataset")) / INDIRECT(ADDRESS(ROW(), COLUMN(), 4, TRUE, "Import-dataset")), "" )</f>
        <v>1.0888030888030888</v>
      </c>
      <c r="Z14" s="6" cm="1">
        <f t="array" aca="1" ref="Z14" ca="1">IFERROR( INDIRECT(ADDRESS(ROW()+1, COLUMN(), 4, TRUE, "Import-dataset")) / INDIRECT(ADDRESS(ROW(), COLUMN(), 4, TRUE, "Import-dataset")), "" )</f>
        <v>1.3665587419056429</v>
      </c>
      <c r="AA14" s="6" cm="1">
        <f t="array" aca="1" ref="AA14" ca="1">IFERROR( INDIRECT(ADDRESS(ROW()+1, COLUMN(), 4, TRUE, "Import-dataset")) / INDIRECT(ADDRESS(ROW(), COLUMN(), 4, TRUE, "Import-dataset")), "" )</f>
        <v>0.9285714285714286</v>
      </c>
      <c r="AB14" s="6" cm="1">
        <f t="array" aca="1" ref="AB14" ca="1">IFERROR( INDIRECT(ADDRESS(ROW()+1, COLUMN(), 4, TRUE, "Import-dataset")) / INDIRECT(ADDRESS(ROW(), COLUMN(), 4, TRUE, "Import-dataset")), "" )</f>
        <v>1.3727208145867866</v>
      </c>
      <c r="AC14" s="6" cm="1">
        <f t="array" aca="1" ref="AC14" ca="1">IFERROR( INDIRECT(ADDRESS(ROW()+1, COLUMN(), 4, TRUE, "Import-dataset")) / INDIRECT(ADDRESS(ROW(), COLUMN(), 4, TRUE, "Import-dataset")), "" )</f>
        <v>1.1944444444444444</v>
      </c>
      <c r="AD14" s="6" cm="1">
        <f t="array" aca="1" ref="AD14" ca="1">IFERROR( INDIRECT(ADDRESS(ROW()+1, COLUMN(), 4, TRUE, "Import-dataset")) / INDIRECT(ADDRESS(ROW(), COLUMN(), 4, TRUE, "Import-dataset")), "" )</f>
        <v>1.0629629629629629</v>
      </c>
      <c r="AE14" s="6" cm="1">
        <f t="array" aca="1" ref="AE14" ca="1">IFERROR( INDIRECT(ADDRESS(ROW()+1, COLUMN(), 4, TRUE, "Import-dataset")) / INDIRECT(ADDRESS(ROW(), COLUMN(), 4, TRUE, "Import-dataset")), "" )</f>
        <v>1</v>
      </c>
      <c r="AF14" s="6" cm="1">
        <f t="array" aca="1" ref="AF14" ca="1">IFERROR( INDIRECT(ADDRESS(ROW()+1, COLUMN(), 4, TRUE, "Import-dataset")) / INDIRECT(ADDRESS(ROW(), COLUMN(), 4, TRUE, "Import-dataset")), "" )</f>
        <v>1.0252100840336134</v>
      </c>
      <c r="AG14" s="6" cm="1">
        <f t="array" aca="1" ref="AG14" ca="1">IFERROR( INDIRECT(ADDRESS(ROW()+1, COLUMN(), 4, TRUE, "Import-dataset")) / INDIRECT(ADDRESS(ROW(), COLUMN(), 4, TRUE, "Import-dataset")), "" )</f>
        <v>1.4166666666666667</v>
      </c>
      <c r="AH14" s="6" cm="1">
        <f t="array" aca="1" ref="AH14" ca="1">IFERROR( INDIRECT(ADDRESS(ROW()+1, COLUMN(), 4, TRUE, "Import-dataset")) / INDIRECT(ADDRESS(ROW(), COLUMN(), 4, TRUE, "Import-dataset")), "" )</f>
        <v>1.0665216603226391</v>
      </c>
      <c r="AI14" s="6" cm="1">
        <f t="array" aca="1" ref="AI14" ca="1">IFERROR( INDIRECT(ADDRESS(ROW()+1, COLUMN(), 4, TRUE, "Import-dataset")) / INDIRECT(ADDRESS(ROW(), COLUMN(), 4, TRUE, "Import-dataset")), "" )</f>
        <v>1.1289183222958057</v>
      </c>
      <c r="AJ14" s="6" cm="1">
        <f t="array" aca="1" ref="AJ14" ca="1">IFERROR( INDIRECT(ADDRESS(ROW()+1, COLUMN(), 4, TRUE, "Import-dataset")) / INDIRECT(ADDRESS(ROW(), COLUMN(), 4, TRUE, "Import-dataset")), "" )</f>
        <v>0.84724005134788194</v>
      </c>
      <c r="AK14" s="6" cm="1">
        <f t="array" aca="1" ref="AK14" ca="1">IFERROR( INDIRECT(ADDRESS(ROW()+1, COLUMN(), 4, TRUE, "Import-dataset")) / INDIRECT(ADDRESS(ROW(), COLUMN(), 4, TRUE, "Import-dataset")), "" )</f>
        <v>1.0593220338983051</v>
      </c>
      <c r="AL14" s="6" cm="1">
        <f t="array" aca="1" ref="AL14" ca="1">IFERROR( INDIRECT(ADDRESS(ROW()+1, COLUMN(), 4, TRUE, "Import-dataset")) / INDIRECT(ADDRESS(ROW(), COLUMN(), 4, TRUE, "Import-dataset")), "" )</f>
        <v>1.1297924727400632</v>
      </c>
      <c r="AM14" s="6" cm="1">
        <f t="array" aca="1" ref="AM14" ca="1">IFERROR( INDIRECT(ADDRESS(ROW()+1, COLUMN(), 4, TRUE, "Import-dataset")) / INDIRECT(ADDRESS(ROW(), COLUMN(), 4, TRUE, "Import-dataset")), "" )</f>
        <v>1.0715151515151515</v>
      </c>
      <c r="AN14" s="6" cm="1">
        <f t="array" aca="1" ref="AN14" ca="1">IFERROR( INDIRECT(ADDRESS(ROW()+1, COLUMN(), 4, TRUE, "Import-dataset")) / INDIRECT(ADDRESS(ROW(), COLUMN(), 4, TRUE, "Import-dataset")), "" )</f>
        <v>0.96258064516129027</v>
      </c>
      <c r="AO14" s="6" cm="1">
        <f t="array" aca="1" ref="AO14" ca="1">IFERROR( INDIRECT(ADDRESS(ROW()+1, COLUMN(), 4, TRUE, "Import-dataset")) / INDIRECT(ADDRESS(ROW(), COLUMN(), 4, TRUE, "Import-dataset")), "" )</f>
        <v>1.0306930693069307</v>
      </c>
      <c r="AP14" s="6" cm="1">
        <f t="array" aca="1" ref="AP14" ca="1">IFERROR( INDIRECT(ADDRESS(ROW()+1, COLUMN(), 4, TRUE, "Import-dataset")) / INDIRECT(ADDRESS(ROW(), COLUMN(), 4, TRUE, "Import-dataset")), "" )</f>
        <v>1.034443168771527</v>
      </c>
      <c r="AQ14" s="6" cm="1">
        <f t="array" aca="1" ref="AQ14" ca="1">IFERROR( INDIRECT(ADDRESS(ROW()+1, COLUMN(), 4, TRUE, "Import-dataset")) / INDIRECT(ADDRESS(ROW(), COLUMN(), 4, TRUE, "Import-dataset")), "" )</f>
        <v>1.0534670008354219</v>
      </c>
      <c r="AR14" s="6" cm="1">
        <f t="array" aca="1" ref="AR14" ca="1">IFERROR( INDIRECT(ADDRESS(ROW()+1, COLUMN(), 4, TRUE, "Import-dataset")) / INDIRECT(ADDRESS(ROW(), COLUMN(), 4, TRUE, "Import-dataset")), "" )</f>
        <v>0.99278033794162823</v>
      </c>
      <c r="AS14" s="6" cm="1">
        <f t="array" aca="1" ref="AS14" ca="1">IFERROR( INDIRECT(ADDRESS(ROW()+1, COLUMN(), 4, TRUE, "Import-dataset")) / INDIRECT(ADDRESS(ROW(), COLUMN(), 4, TRUE, "Import-dataset")), "" )</f>
        <v>1.1605839416058394</v>
      </c>
      <c r="AT14" s="6" cm="1">
        <f t="array" aca="1" ref="AT14" ca="1">IFERROR( INDIRECT(ADDRESS(ROW()+1, COLUMN(), 4, TRUE, "Import-dataset")) / INDIRECT(ADDRESS(ROW(), COLUMN(), 4, TRUE, "Import-dataset")), "" )</f>
        <v>0.93399089529590285</v>
      </c>
      <c r="AU14" s="6" cm="1">
        <f t="array" aca="1" ref="AU14" ca="1">IFERROR( INDIRECT(ADDRESS(ROW()+1, COLUMN(), 4, TRUE, "Import-dataset")) / INDIRECT(ADDRESS(ROW(), COLUMN(), 4, TRUE, "Import-dataset")), "" )</f>
        <v>1.2171837708830548</v>
      </c>
      <c r="AV14" s="6" cm="1">
        <f t="array" aca="1" ref="AV14" ca="1">IFERROR( INDIRECT(ADDRESS(ROW()+1, COLUMN(), 4, TRUE, "Import-dataset")) / INDIRECT(ADDRESS(ROW(), COLUMN(), 4, TRUE, "Import-dataset")), "" )</f>
        <v>1.0449330783938815</v>
      </c>
      <c r="AW14" s="6" cm="1">
        <f t="array" aca="1" ref="AW14" ca="1">IFERROR( INDIRECT(ADDRESS(ROW()+1, COLUMN(), 4, TRUE, "Import-dataset")) / INDIRECT(ADDRESS(ROW(), COLUMN(), 4, TRUE, "Import-dataset")), "" )</f>
        <v>0.99192307692307691</v>
      </c>
      <c r="AX14" s="6" cm="1">
        <f t="array" aca="1" ref="AX14" ca="1">IFERROR( INDIRECT(ADDRESS(ROW()+1, COLUMN(), 4, TRUE, "Import-dataset")) / INDIRECT(ADDRESS(ROW(), COLUMN(), 4, TRUE, "Import-dataset")), "" )</f>
        <v>1.0790996784565916</v>
      </c>
      <c r="AY14" s="6" cm="1">
        <f t="array" aca="1" ref="AY14" ca="1">IFERROR( INDIRECT(ADDRESS(ROW()+1, COLUMN(), 4, TRUE, "Import-dataset")) / INDIRECT(ADDRESS(ROW(), COLUMN(), 4, TRUE, "Import-dataset")), "" )</f>
        <v>0.87818520820385337</v>
      </c>
      <c r="AZ14" s="6" cm="1">
        <f t="array" aca="1" ref="AZ14" ca="1">IFERROR( INDIRECT(ADDRESS(ROW()+1, COLUMN(), 4, TRUE, "Import-dataset")) / INDIRECT(ADDRESS(ROW(), COLUMN(), 4, TRUE, "Import-dataset")), "" )</f>
        <v>0.90846681922196793</v>
      </c>
      <c r="BA14" s="6" cm="1">
        <f t="array" aca="1" ref="BA14" ca="1">IFERROR( INDIRECT(ADDRESS(ROW()+1, COLUMN(), 4, TRUE, "Import-dataset")) / INDIRECT(ADDRESS(ROW(), COLUMN(), 4, TRUE, "Import-dataset")), "" )</f>
        <v>0.98716356107660452</v>
      </c>
      <c r="BB14" s="6" cm="1">
        <f t="array" aca="1" ref="BB14" ca="1">IFERROR( INDIRECT(ADDRESS(ROW()+1, COLUMN(), 4, TRUE, "Import-dataset")) / INDIRECT(ADDRESS(ROW(), COLUMN(), 4, TRUE, "Import-dataset")), "" )</f>
        <v>1.078297353996075</v>
      </c>
      <c r="BC14" s="6" cm="1">
        <f t="array" aca="1" ref="BC14" ca="1">IFERROR( INDIRECT(ADDRESS(ROW()+1, COLUMN(), 4, TRUE, "Import-dataset")) / INDIRECT(ADDRESS(ROW(), COLUMN(), 4, TRUE, "Import-dataset")), "" )</f>
        <v>1.0924641701340732</v>
      </c>
      <c r="BD14" s="6" cm="1">
        <f t="array" aca="1" ref="BD14" ca="1">IFERROR( INDIRECT(ADDRESS(ROW()+1, COLUMN(), 4, TRUE, "Import-dataset")) / INDIRECT(ADDRESS(ROW(), COLUMN(), 4, TRUE, "Import-dataset")), "" )</f>
        <v>0.91200897867564534</v>
      </c>
      <c r="BE14" s="6" cm="1">
        <f t="array" aca="1" ref="BE14" ca="1">IFERROR( INDIRECT(ADDRESS(ROW()+1, COLUMN(), 4, TRUE, "Import-dataset")) / INDIRECT(ADDRESS(ROW(), COLUMN(), 4, TRUE, "Import-dataset")), "" )</f>
        <v>0.82109227871939738</v>
      </c>
      <c r="BF14" s="6" cm="1">
        <f t="array" aca="1" ref="BF14" ca="1">IFERROR( INDIRECT(ADDRESS(ROW()+1, COLUMN(), 4, TRUE, "Import-dataset")) / INDIRECT(ADDRESS(ROW(), COLUMN(), 4, TRUE, "Import-dataset")), "" )</f>
        <v>0.91460290350128093</v>
      </c>
      <c r="BG14" s="6" cm="1">
        <f t="array" aca="1" ref="BG14" ca="1">IFERROR( INDIRECT(ADDRESS(ROW()+1, COLUMN(), 4, TRUE, "Import-dataset")) / INDIRECT(ADDRESS(ROW(), COLUMN(), 4, TRUE, "Import-dataset")), "" )</f>
        <v>1.0155169981661729</v>
      </c>
      <c r="BH14" s="6" cm="1">
        <f t="array" aca="1" ref="BH14" ca="1">IFERROR( INDIRECT(ADDRESS(ROW()+1, COLUMN(), 4, TRUE, "Import-dataset")) / INDIRECT(ADDRESS(ROW(), COLUMN(), 4, TRUE, "Import-dataset")), "" )</f>
        <v>1.4268115942028985</v>
      </c>
      <c r="BI14" s="6" cm="1">
        <f t="array" aca="1" ref="BI14" ca="1">IFERROR( INDIRECT(ADDRESS(ROW()+1, COLUMN(), 4, TRUE, "Import-dataset")) / INDIRECT(ADDRESS(ROW(), COLUMN(), 4, TRUE, "Import-dataset")), "" )</f>
        <v>1.0316655003498951</v>
      </c>
      <c r="BJ14" s="6" cm="1">
        <f t="array" aca="1" ref="BJ14" ca="1">IFERROR( INDIRECT(ADDRESS(ROW()+1, COLUMN(), 4, TRUE, "Import-dataset")) / INDIRECT(ADDRESS(ROW(), COLUMN(), 4, TRUE, "Import-dataset")), "" )</f>
        <v>1.0553565336062778</v>
      </c>
      <c r="BK14" s="6" cm="1">
        <f t="array" aca="1" ref="BK14" ca="1">IFERROR( INDIRECT(ADDRESS(ROW()+1, COLUMN(), 4, TRUE, "Import-dataset")) / INDIRECT(ADDRESS(ROW(), COLUMN(), 4, TRUE, "Import-dataset")), "" )</f>
        <v>1.5819548872180451</v>
      </c>
      <c r="BL14" s="6" cm="1">
        <f t="array" aca="1" ref="BL14" ca="1">IFERROR( INDIRECT(ADDRESS(ROW()+1, COLUMN(), 4, TRUE, "Import-dataset")) / INDIRECT(ADDRESS(ROW(), COLUMN(), 4, TRUE, "Import-dataset")), "" )</f>
        <v>0.99732050841635178</v>
      </c>
      <c r="BM14" s="6" cm="1">
        <f t="array" aca="1" ref="BM14" ca="1">IFERROR( INDIRECT(ADDRESS(ROW()+1, COLUMN(), 4, TRUE, "Import-dataset")) / INDIRECT(ADDRESS(ROW(), COLUMN(), 4, TRUE, "Import-dataset")), "" )</f>
        <v>1.051779935275081</v>
      </c>
      <c r="BN14" s="6" cm="1">
        <f t="array" aca="1" ref="BN14" ca="1">IFERROR( INDIRECT(ADDRESS(ROW()+1, COLUMN(), 4, TRUE, "Import-dataset")) / INDIRECT(ADDRESS(ROW(), COLUMN(), 4, TRUE, "Import-dataset")), "" )</f>
        <v>1.1890812250332889</v>
      </c>
      <c r="BO14" s="6" cm="1">
        <f t="array" aca="1" ref="BO14" ca="1">IFERROR( INDIRECT(ADDRESS(ROW()+1, COLUMN(), 4, TRUE, "Import-dataset")) / INDIRECT(ADDRESS(ROW(), COLUMN(), 4, TRUE, "Import-dataset")), "" )</f>
        <v>1.0611111111111111</v>
      </c>
      <c r="BP14" s="6" cm="1">
        <f t="array" aca="1" ref="BP14" ca="1">IFERROR( INDIRECT(ADDRESS(ROW()+1, COLUMN(), 4, TRUE, "Import-dataset")) / INDIRECT(ADDRESS(ROW(), COLUMN(), 4, TRUE, "Import-dataset")), "" )</f>
        <v>1.0636626705250103</v>
      </c>
      <c r="BQ14" s="6" cm="1">
        <f t="array" aca="1" ref="BQ14" ca="1">IFERROR( INDIRECT(ADDRESS(ROW()+1, COLUMN(), 4, TRUE, "Import-dataset")) / INDIRECT(ADDRESS(ROW(), COLUMN(), 4, TRUE, "Import-dataset")), "" )</f>
        <v>1.0025641025641026</v>
      </c>
      <c r="BR14" s="6" cm="1">
        <f t="array" aca="1" ref="BR14" ca="1">IFERROR( INDIRECT(ADDRESS(ROW()+1, COLUMN(), 4, TRUE, "Import-dataset")) / INDIRECT(ADDRESS(ROW(), COLUMN(), 4, TRUE, "Import-dataset")), "" )</f>
        <v>1.0150590150590151</v>
      </c>
      <c r="BS14" s="6" cm="1">
        <f t="array" aca="1" ref="BS14" ca="1">IFERROR( INDIRECT(ADDRESS(ROW()+1, COLUMN(), 4, TRUE, "Import-dataset")) / INDIRECT(ADDRESS(ROW(), COLUMN(), 4, TRUE, "Import-dataset")), "" )</f>
        <v>1.0182969739619987</v>
      </c>
      <c r="BT14" s="6" cm="1">
        <f t="array" aca="1" ref="BT14" ca="1">IFERROR( INDIRECT(ADDRESS(ROW()+1, COLUMN(), 4, TRUE, "Import-dataset")) / INDIRECT(ADDRESS(ROW(), COLUMN(), 4, TRUE, "Import-dataset")), "" )</f>
        <v>0.92720369758996368</v>
      </c>
      <c r="BU14" s="6" cm="1">
        <f t="array" aca="1" ref="BU14" ca="1">IFERROR( INDIRECT(ADDRESS(ROW()+1, COLUMN(), 4, TRUE, "Import-dataset")) / INDIRECT(ADDRESS(ROW(), COLUMN(), 4, TRUE, "Import-dataset")), "" )</f>
        <v>0.64351439596319382</v>
      </c>
      <c r="BV14" s="6" cm="1">
        <f t="array" aca="1" ref="BV14" ca="1">IFERROR( INDIRECT(ADDRESS(ROW()+1, COLUMN(), 4, TRUE, "Import-dataset")) / INDIRECT(ADDRESS(ROW(), COLUMN(), 4, TRUE, "Import-dataset")), "" )</f>
        <v>0.86046511627906974</v>
      </c>
      <c r="BW14" s="6" cm="1">
        <f t="array" aca="1" ref="BW14" ca="1">IFERROR( INDIRECT(ADDRESS(ROW()+1, COLUMN(), 4, TRUE, "Import-dataset")) / INDIRECT(ADDRESS(ROW(), COLUMN(), 4, TRUE, "Import-dataset")), "" )</f>
        <v>1.75</v>
      </c>
      <c r="BX14" s="6" t="str" cm="1">
        <f t="array" aca="1" ref="BX14" ca="1">IFERROR( INDIRECT(ADDRESS(ROW()+1, COLUMN(), 4, TRUE, "Import-dataset")) / INDIRECT(ADDRESS(ROW(), COLUMN(), 4, TRUE, "Import-dataset")), "" )</f>
        <v/>
      </c>
      <c r="BY14" s="6" cm="1">
        <f t="array" aca="1" ref="BY14" ca="1">IFERROR( INDIRECT(ADDRESS(ROW()+1, COLUMN(), 4, TRUE, "Import-dataset")) / INDIRECT(ADDRESS(ROW(), COLUMN(), 4, TRUE, "Import-dataset")), "" )</f>
        <v>0.63169502205419026</v>
      </c>
      <c r="BZ14" s="6" cm="1">
        <f t="array" aca="1" ref="BZ14" ca="1">IFERROR( INDIRECT(ADDRESS(ROW()+1, COLUMN(), 4, TRUE, "Import-dataset")) / INDIRECT(ADDRESS(ROW(), COLUMN(), 4, TRUE, "Import-dataset")), "" )</f>
        <v>0.7567567567567568</v>
      </c>
      <c r="CA14" s="6" cm="1">
        <f t="array" aca="1" ref="CA14" ca="1">IFERROR( INDIRECT(ADDRESS(ROW()+1, COLUMN(), 4, TRUE, "Import-dataset")) / INDIRECT(ADDRESS(ROW(), COLUMN(), 4, TRUE, "Import-dataset")), "" )</f>
        <v>1.0490219379372345</v>
      </c>
    </row>
    <row r="15" spans="1:79">
      <c r="A15" s="6" t="s">
        <v>172</v>
      </c>
      <c r="B15" s="6" cm="1">
        <f t="array" aca="1" ref="B15" ca="1">IFERROR( INDIRECT(ADDRESS(ROW()+1, COLUMN(), 4, TRUE, "Import-dataset")) / INDIRECT(ADDRESS(ROW(), COLUMN(), 4, TRUE, "Import-dataset")), "" )</f>
        <v>1.0627440770632648</v>
      </c>
      <c r="C15" s="6" cm="1">
        <f t="array" aca="1" ref="C15" ca="1">IFERROR( INDIRECT(ADDRESS(ROW()+1, COLUMN(), 4, TRUE, "Import-dataset")) / INDIRECT(ADDRESS(ROW(), COLUMN(), 4, TRUE, "Import-dataset")), "" )</f>
        <v>0.77600000000000002</v>
      </c>
      <c r="D15" s="6" cm="1">
        <f t="array" aca="1" ref="D15" ca="1">IFERROR( INDIRECT(ADDRESS(ROW()+1, COLUMN(), 4, TRUE, "Import-dataset")) / INDIRECT(ADDRESS(ROW(), COLUMN(), 4, TRUE, "Import-dataset")), "" )</f>
        <v>1.653061224489796</v>
      </c>
      <c r="E15" s="6" cm="1">
        <f t="array" aca="1" ref="E15" ca="1">IFERROR( INDIRECT(ADDRESS(ROW()+1, COLUMN(), 4, TRUE, "Import-dataset")) / INDIRECT(ADDRESS(ROW(), COLUMN(), 4, TRUE, "Import-dataset")), "" )</f>
        <v>1.0109489051094891</v>
      </c>
      <c r="F15" s="6" cm="1">
        <f t="array" aca="1" ref="F15" ca="1">IFERROR( INDIRECT(ADDRESS(ROW()+1, COLUMN(), 4, TRUE, "Import-dataset")) / INDIRECT(ADDRESS(ROW(), COLUMN(), 4, TRUE, "Import-dataset")), "" )</f>
        <v>1.0308087291399231</v>
      </c>
      <c r="G15" s="6" cm="1">
        <f t="array" aca="1" ref="G15" ca="1">IFERROR( INDIRECT(ADDRESS(ROW()+1, COLUMN(), 4, TRUE, "Import-dataset")) / INDIRECT(ADDRESS(ROW(), COLUMN(), 4, TRUE, "Import-dataset")), "" )</f>
        <v>1.1699604743083003</v>
      </c>
      <c r="H15" s="6" cm="1">
        <f t="array" aca="1" ref="H15" ca="1">IFERROR( INDIRECT(ADDRESS(ROW()+1, COLUMN(), 4, TRUE, "Import-dataset")) / INDIRECT(ADDRESS(ROW(), COLUMN(), 4, TRUE, "Import-dataset")), "" )</f>
        <v>1.0026954177897573</v>
      </c>
      <c r="I15" s="6" cm="1">
        <f t="array" aca="1" ref="I15" ca="1">IFERROR( INDIRECT(ADDRESS(ROW()+1, COLUMN(), 4, TRUE, "Import-dataset")) / INDIRECT(ADDRESS(ROW(), COLUMN(), 4, TRUE, "Import-dataset")), "" )</f>
        <v>1.1132075471698113</v>
      </c>
      <c r="J15" s="6" cm="1">
        <f t="array" aca="1" ref="J15" ca="1">IFERROR( INDIRECT(ADDRESS(ROW()+1, COLUMN(), 4, TRUE, "Import-dataset")) / INDIRECT(ADDRESS(ROW(), COLUMN(), 4, TRUE, "Import-dataset")), "" )</f>
        <v>0.9555555555555556</v>
      </c>
      <c r="K15" s="6" cm="1">
        <f t="array" aca="1" ref="K15" ca="1">IFERROR( INDIRECT(ADDRESS(ROW()+1, COLUMN(), 4, TRUE, "Import-dataset")) / INDIRECT(ADDRESS(ROW(), COLUMN(), 4, TRUE, "Import-dataset")), "" )</f>
        <v>1.0555555555555556</v>
      </c>
      <c r="L15" s="6" cm="1">
        <f t="array" aca="1" ref="L15" ca="1">IFERROR( INDIRECT(ADDRESS(ROW()+1, COLUMN(), 4, TRUE, "Import-dataset")) / INDIRECT(ADDRESS(ROW(), COLUMN(), 4, TRUE, "Import-dataset")), "" )</f>
        <v>1.1933621933621934</v>
      </c>
      <c r="M15" s="6" cm="1">
        <f t="array" aca="1" ref="M15" ca="1">IFERROR( INDIRECT(ADDRESS(ROW()+1, COLUMN(), 4, TRUE, "Import-dataset")) / INDIRECT(ADDRESS(ROW(), COLUMN(), 4, TRUE, "Import-dataset")), "" )</f>
        <v>1.1860119047619047</v>
      </c>
      <c r="N15" s="6" cm="1">
        <f t="array" aca="1" ref="N15" ca="1">IFERROR( INDIRECT(ADDRESS(ROW()+1, COLUMN(), 4, TRUE, "Import-dataset")) / INDIRECT(ADDRESS(ROW(), COLUMN(), 4, TRUE, "Import-dataset")), "" )</f>
        <v>1.2318548387096775</v>
      </c>
      <c r="O15" s="6" cm="1">
        <f t="array" aca="1" ref="O15" ca="1">IFERROR( INDIRECT(ADDRESS(ROW()+1, COLUMN(), 4, TRUE, "Import-dataset")) / INDIRECT(ADDRESS(ROW(), COLUMN(), 4, TRUE, "Import-dataset")), "" )</f>
        <v>1.0568181818181819</v>
      </c>
      <c r="P15" s="6" cm="1">
        <f t="array" aca="1" ref="P15" ca="1">IFERROR( INDIRECT(ADDRESS(ROW()+1, COLUMN(), 4, TRUE, "Import-dataset")) / INDIRECT(ADDRESS(ROW(), COLUMN(), 4, TRUE, "Import-dataset")), "" )</f>
        <v>1.2580049261083743</v>
      </c>
      <c r="Q15" s="6" t="str" cm="1">
        <f t="array" aca="1" ref="Q15" ca="1">IFERROR( INDIRECT(ADDRESS(ROW()+1, COLUMN(), 4, TRUE, "Import-dataset")) / INDIRECT(ADDRESS(ROW(), COLUMN(), 4, TRUE, "Import-dataset")), "" )</f>
        <v/>
      </c>
      <c r="R15" s="6" cm="1">
        <f t="array" aca="1" ref="R15" ca="1">IFERROR( INDIRECT(ADDRESS(ROW()+1, COLUMN(), 4, TRUE, "Import-dataset")) / INDIRECT(ADDRESS(ROW(), COLUMN(), 4, TRUE, "Import-dataset")), "" )</f>
        <v>1.338235294117647</v>
      </c>
      <c r="S15" s="6" cm="1">
        <f t="array" aca="1" ref="S15" ca="1">IFERROR( INDIRECT(ADDRESS(ROW()+1, COLUMN(), 4, TRUE, "Import-dataset")) / INDIRECT(ADDRESS(ROW(), COLUMN(), 4, TRUE, "Import-dataset")), "" )</f>
        <v>1.125</v>
      </c>
      <c r="T15" s="6" cm="1">
        <f t="array" aca="1" ref="T15" ca="1">IFERROR( INDIRECT(ADDRESS(ROW()+1, COLUMN(), 4, TRUE, "Import-dataset")) / INDIRECT(ADDRESS(ROW(), COLUMN(), 4, TRUE, "Import-dataset")), "" )</f>
        <v>1.3703703703703705</v>
      </c>
      <c r="U15" s="6" cm="1">
        <f t="array" aca="1" ref="U15" ca="1">IFERROR( INDIRECT(ADDRESS(ROW()+1, COLUMN(), 4, TRUE, "Import-dataset")) / INDIRECT(ADDRESS(ROW(), COLUMN(), 4, TRUE, "Import-dataset")), "" )</f>
        <v>1.6600985221674878</v>
      </c>
      <c r="V15" s="6" cm="1">
        <f t="array" aca="1" ref="V15" ca="1">IFERROR( INDIRECT(ADDRESS(ROW()+1, COLUMN(), 4, TRUE, "Import-dataset")) / INDIRECT(ADDRESS(ROW(), COLUMN(), 4, TRUE, "Import-dataset")), "" )</f>
        <v>1.0503597122302157</v>
      </c>
      <c r="W15" s="6" cm="1">
        <f t="array" aca="1" ref="W15" ca="1">IFERROR( INDIRECT(ADDRESS(ROW()+1, COLUMN(), 4, TRUE, "Import-dataset")) / INDIRECT(ADDRESS(ROW(), COLUMN(), 4, TRUE, "Import-dataset")), "" )</f>
        <v>1.1210191082802548</v>
      </c>
      <c r="X15" s="6" cm="1">
        <f t="array" aca="1" ref="X15" ca="1">IFERROR( INDIRECT(ADDRESS(ROW()+1, COLUMN(), 4, TRUE, "Import-dataset")) / INDIRECT(ADDRESS(ROW(), COLUMN(), 4, TRUE, "Import-dataset")), "" )</f>
        <v>1.2802197802197801</v>
      </c>
      <c r="Y15" s="6" cm="1">
        <f t="array" aca="1" ref="Y15" ca="1">IFERROR( INDIRECT(ADDRESS(ROW()+1, COLUMN(), 4, TRUE, "Import-dataset")) / INDIRECT(ADDRESS(ROW(), COLUMN(), 4, TRUE, "Import-dataset")), "" )</f>
        <v>0.96453900709219853</v>
      </c>
      <c r="Z15" s="6" cm="1">
        <f t="array" aca="1" ref="Z15" ca="1">IFERROR( INDIRECT(ADDRESS(ROW()+1, COLUMN(), 4, TRUE, "Import-dataset")) / INDIRECT(ADDRESS(ROW(), COLUMN(), 4, TRUE, "Import-dataset")), "" )</f>
        <v>1.6060247080724319</v>
      </c>
      <c r="AA15" s="6" cm="1">
        <f t="array" aca="1" ref="AA15" ca="1">IFERROR( INDIRECT(ADDRESS(ROW()+1, COLUMN(), 4, TRUE, "Import-dataset")) / INDIRECT(ADDRESS(ROW(), COLUMN(), 4, TRUE, "Import-dataset")), "" )</f>
        <v>0.61538461538461542</v>
      </c>
      <c r="AB15" s="6" cm="1">
        <f t="array" aca="1" ref="AB15" ca="1">IFERROR( INDIRECT(ADDRESS(ROW()+1, COLUMN(), 4, TRUE, "Import-dataset")) / INDIRECT(ADDRESS(ROW(), COLUMN(), 4, TRUE, "Import-dataset")), "" )</f>
        <v>1.6068656201483527</v>
      </c>
      <c r="AC15" s="6" cm="1">
        <f t="array" aca="1" ref="AC15" ca="1">IFERROR( INDIRECT(ADDRESS(ROW()+1, COLUMN(), 4, TRUE, "Import-dataset")) / INDIRECT(ADDRESS(ROW(), COLUMN(), 4, TRUE, "Import-dataset")), "" )</f>
        <v>1.8837209302325582</v>
      </c>
      <c r="AD15" s="6" cm="1">
        <f t="array" aca="1" ref="AD15" ca="1">IFERROR( INDIRECT(ADDRESS(ROW()+1, COLUMN(), 4, TRUE, "Import-dataset")) / INDIRECT(ADDRESS(ROW(), COLUMN(), 4, TRUE, "Import-dataset")), "" )</f>
        <v>0.98606271777003485</v>
      </c>
      <c r="AE15" s="6" cm="1">
        <f t="array" aca="1" ref="AE15" ca="1">IFERROR( INDIRECT(ADDRESS(ROW()+1, COLUMN(), 4, TRUE, "Import-dataset")) / INDIRECT(ADDRESS(ROW(), COLUMN(), 4, TRUE, "Import-dataset")), "" )</f>
        <v>1.5</v>
      </c>
      <c r="AF15" s="6" cm="1">
        <f t="array" aca="1" ref="AF15" ca="1">IFERROR( INDIRECT(ADDRESS(ROW()+1, COLUMN(), 4, TRUE, "Import-dataset")) / INDIRECT(ADDRESS(ROW(), COLUMN(), 4, TRUE, "Import-dataset")), "" )</f>
        <v>0.97131147540983609</v>
      </c>
      <c r="AG15" s="6" cm="1">
        <f t="array" aca="1" ref="AG15" ca="1">IFERROR( INDIRECT(ADDRESS(ROW()+1, COLUMN(), 4, TRUE, "Import-dataset")) / INDIRECT(ADDRESS(ROW(), COLUMN(), 4, TRUE, "Import-dataset")), "" )</f>
        <v>1.0294117647058822</v>
      </c>
      <c r="AH15" s="6" cm="1">
        <f t="array" aca="1" ref="AH15" ca="1">IFERROR( INDIRECT(ADDRESS(ROW()+1, COLUMN(), 4, TRUE, "Import-dataset")) / INDIRECT(ADDRESS(ROW(), COLUMN(), 4, TRUE, "Import-dataset")), "" )</f>
        <v>1.1312032630863358</v>
      </c>
      <c r="AI15" s="6" cm="1">
        <f t="array" aca="1" ref="AI15" ca="1">IFERROR( INDIRECT(ADDRESS(ROW()+1, COLUMN(), 4, TRUE, "Import-dataset")) / INDIRECT(ADDRESS(ROW(), COLUMN(), 4, TRUE, "Import-dataset")), "" )</f>
        <v>1.1357059053578413</v>
      </c>
      <c r="AJ15" s="6" cm="1">
        <f t="array" aca="1" ref="AJ15" ca="1">IFERROR( INDIRECT(ADDRESS(ROW()+1, COLUMN(), 4, TRUE, "Import-dataset")) / INDIRECT(ADDRESS(ROW(), COLUMN(), 4, TRUE, "Import-dataset")), "" )</f>
        <v>1.1287878787878789</v>
      </c>
      <c r="AK15" s="6" cm="1">
        <f t="array" aca="1" ref="AK15" ca="1">IFERROR( INDIRECT(ADDRESS(ROW()+1, COLUMN(), 4, TRUE, "Import-dataset")) / INDIRECT(ADDRESS(ROW(), COLUMN(), 4, TRUE, "Import-dataset")), "" )</f>
        <v>1.0920000000000001</v>
      </c>
      <c r="AL15" s="6" cm="1">
        <f t="array" aca="1" ref="AL15" ca="1">IFERROR( INDIRECT(ADDRESS(ROW()+1, COLUMN(), 4, TRUE, "Import-dataset")) / INDIRECT(ADDRESS(ROW(), COLUMN(), 4, TRUE, "Import-dataset")), "" )</f>
        <v>1.2459526774595269</v>
      </c>
      <c r="AM15" s="6" cm="1">
        <f t="array" aca="1" ref="AM15" ca="1">IFERROR( INDIRECT(ADDRESS(ROW()+1, COLUMN(), 4, TRUE, "Import-dataset")) / INDIRECT(ADDRESS(ROW(), COLUMN(), 4, TRUE, "Import-dataset")), "" )</f>
        <v>1.0791855203619909</v>
      </c>
      <c r="AN15" s="6" cm="1">
        <f t="array" aca="1" ref="AN15" ca="1">IFERROR( INDIRECT(ADDRESS(ROW()+1, COLUMN(), 4, TRUE, "Import-dataset")) / INDIRECT(ADDRESS(ROW(), COLUMN(), 4, TRUE, "Import-dataset")), "" )</f>
        <v>0.97721179624664878</v>
      </c>
      <c r="AO15" s="6" cm="1">
        <f t="array" aca="1" ref="AO15" ca="1">IFERROR( INDIRECT(ADDRESS(ROW()+1, COLUMN(), 4, TRUE, "Import-dataset")) / INDIRECT(ADDRESS(ROW(), COLUMN(), 4, TRUE, "Import-dataset")), "" )</f>
        <v>1.096061479346782</v>
      </c>
      <c r="AP15" s="6" cm="1">
        <f t="array" aca="1" ref="AP15" ca="1">IFERROR( INDIRECT(ADDRESS(ROW()+1, COLUMN(), 4, TRUE, "Import-dataset")) / INDIRECT(ADDRESS(ROW(), COLUMN(), 4, TRUE, "Import-dataset")), "" )</f>
        <v>1.0810210876803552</v>
      </c>
      <c r="AQ15" s="6" cm="1">
        <f t="array" aca="1" ref="AQ15" ca="1">IFERROR( INDIRECT(ADDRESS(ROW()+1, COLUMN(), 4, TRUE, "Import-dataset")) / INDIRECT(ADDRESS(ROW(), COLUMN(), 4, TRUE, "Import-dataset")), "" )</f>
        <v>1.0452022204599525</v>
      </c>
      <c r="AR15" s="6" cm="1">
        <f t="array" aca="1" ref="AR15" ca="1">IFERROR( INDIRECT(ADDRESS(ROW()+1, COLUMN(), 4, TRUE, "Import-dataset")) / INDIRECT(ADDRESS(ROW(), COLUMN(), 4, TRUE, "Import-dataset")), "" )</f>
        <v>1.0961627727061736</v>
      </c>
      <c r="AS15" s="6" cm="1">
        <f t="array" aca="1" ref="AS15" ca="1">IFERROR( INDIRECT(ADDRESS(ROW()+1, COLUMN(), 4, TRUE, "Import-dataset")) / INDIRECT(ADDRESS(ROW(), COLUMN(), 4, TRUE, "Import-dataset")), "" )</f>
        <v>1.1132075471698113</v>
      </c>
      <c r="AT15" s="6" cm="1">
        <f t="array" aca="1" ref="AT15" ca="1">IFERROR( INDIRECT(ADDRESS(ROW()+1, COLUMN(), 4, TRUE, "Import-dataset")) / INDIRECT(ADDRESS(ROW(), COLUMN(), 4, TRUE, "Import-dataset")), "" )</f>
        <v>1.065800162469537</v>
      </c>
      <c r="AU15" s="6" cm="1">
        <f t="array" aca="1" ref="AU15" ca="1">IFERROR( INDIRECT(ADDRESS(ROW()+1, COLUMN(), 4, TRUE, "Import-dataset")) / INDIRECT(ADDRESS(ROW(), COLUMN(), 4, TRUE, "Import-dataset")), "" )</f>
        <v>1.1196078431372549</v>
      </c>
      <c r="AV15" s="6" cm="1">
        <f t="array" aca="1" ref="AV15" ca="1">IFERROR( INDIRECT(ADDRESS(ROW()+1, COLUMN(), 4, TRUE, "Import-dataset")) / INDIRECT(ADDRESS(ROW(), COLUMN(), 4, TRUE, "Import-dataset")), "" )</f>
        <v>1.1285452881976212</v>
      </c>
      <c r="AW15" s="6" cm="1">
        <f t="array" aca="1" ref="AW15" ca="1">IFERROR( INDIRECT(ADDRESS(ROW()+1, COLUMN(), 4, TRUE, "Import-dataset")) / INDIRECT(ADDRESS(ROW(), COLUMN(), 4, TRUE, "Import-dataset")), "" )</f>
        <v>1.0321830166731292</v>
      </c>
      <c r="AX15" s="6" cm="1">
        <f t="array" aca="1" ref="AX15" ca="1">IFERROR( INDIRECT(ADDRESS(ROW()+1, COLUMN(), 4, TRUE, "Import-dataset")) / INDIRECT(ADDRESS(ROW(), COLUMN(), 4, TRUE, "Import-dataset")), "" )</f>
        <v>1.1561382598331347</v>
      </c>
      <c r="AY15" s="6" cm="1">
        <f t="array" aca="1" ref="AY15" ca="1">IFERROR( INDIRECT(ADDRESS(ROW()+1, COLUMN(), 4, TRUE, "Import-dataset")) / INDIRECT(ADDRESS(ROW(), COLUMN(), 4, TRUE, "Import-dataset")), "" )</f>
        <v>1.0658174097664543</v>
      </c>
      <c r="AZ15" s="6" cm="1">
        <f t="array" aca="1" ref="AZ15" ca="1">IFERROR( INDIRECT(ADDRESS(ROW()+1, COLUMN(), 4, TRUE, "Import-dataset")) / INDIRECT(ADDRESS(ROW(), COLUMN(), 4, TRUE, "Import-dataset")), "" )</f>
        <v>1.0654911838790933</v>
      </c>
      <c r="BA15" s="6" cm="1">
        <f t="array" aca="1" ref="BA15" ca="1">IFERROR( INDIRECT(ADDRESS(ROW()+1, COLUMN(), 4, TRUE, "Import-dataset")) / INDIRECT(ADDRESS(ROW(), COLUMN(), 4, TRUE, "Import-dataset")), "" )</f>
        <v>1.1258389261744965</v>
      </c>
      <c r="BB15" s="6" cm="1">
        <f t="array" aca="1" ref="BB15" ca="1">IFERROR( INDIRECT(ADDRESS(ROW()+1, COLUMN(), 4, TRUE, "Import-dataset")) / INDIRECT(ADDRESS(ROW(), COLUMN(), 4, TRUE, "Import-dataset")), "" )</f>
        <v>1.1396175892222082</v>
      </c>
      <c r="BC15" s="6" cm="1">
        <f t="array" aca="1" ref="BC15" ca="1">IFERROR( INDIRECT(ADDRESS(ROW()+1, COLUMN(), 4, TRUE, "Import-dataset")) / INDIRECT(ADDRESS(ROW(), COLUMN(), 4, TRUE, "Import-dataset")), "" )</f>
        <v>1.1515023275497249</v>
      </c>
      <c r="BD15" s="6" cm="1">
        <f t="array" aca="1" ref="BD15" ca="1">IFERROR( INDIRECT(ADDRESS(ROW()+1, COLUMN(), 4, TRUE, "Import-dataset")) / INDIRECT(ADDRESS(ROW(), COLUMN(), 4, TRUE, "Import-dataset")), "" )</f>
        <v>0.97760275658380502</v>
      </c>
      <c r="BE15" s="6" cm="1">
        <f t="array" aca="1" ref="BE15" ca="1">IFERROR( INDIRECT(ADDRESS(ROW()+1, COLUMN(), 4, TRUE, "Import-dataset")) / INDIRECT(ADDRESS(ROW(), COLUMN(), 4, TRUE, "Import-dataset")), "" )</f>
        <v>0.99770642201834858</v>
      </c>
      <c r="BF15" s="6" cm="1">
        <f t="array" aca="1" ref="BF15" ca="1">IFERROR( INDIRECT(ADDRESS(ROW()+1, COLUMN(), 4, TRUE, "Import-dataset")) / INDIRECT(ADDRESS(ROW(), COLUMN(), 4, TRUE, "Import-dataset")), "" )</f>
        <v>1.0412698412698413</v>
      </c>
      <c r="BG15" s="6" cm="1">
        <f t="array" aca="1" ref="BG15" ca="1">IFERROR( INDIRECT(ADDRESS(ROW()+1, COLUMN(), 4, TRUE, "Import-dataset")) / INDIRECT(ADDRESS(ROW(), COLUMN(), 4, TRUE, "Import-dataset")), "" )</f>
        <v>1.1804417280177804</v>
      </c>
      <c r="BH15" s="6" cm="1">
        <f t="array" aca="1" ref="BH15" ca="1">IFERROR( INDIRECT(ADDRESS(ROW()+1, COLUMN(), 4, TRUE, "Import-dataset")) / INDIRECT(ADDRESS(ROW(), COLUMN(), 4, TRUE, "Import-dataset")), "" )</f>
        <v>1.3934315219231421</v>
      </c>
      <c r="BI15" s="6" cm="1">
        <f t="array" aca="1" ref="BI15" ca="1">IFERROR( INDIRECT(ADDRESS(ROW()+1, COLUMN(), 4, TRUE, "Import-dataset")) / INDIRECT(ADDRESS(ROW(), COLUMN(), 4, TRUE, "Import-dataset")), "" )</f>
        <v>1.1471934882143462</v>
      </c>
      <c r="BJ15" s="6" cm="1">
        <f t="array" aca="1" ref="BJ15" ca="1">IFERROR( INDIRECT(ADDRESS(ROW()+1, COLUMN(), 4, TRUE, "Import-dataset")) / INDIRECT(ADDRESS(ROW(), COLUMN(), 4, TRUE, "Import-dataset")), "" )</f>
        <v>1.141356178776368</v>
      </c>
      <c r="BK15" s="6" cm="1">
        <f t="array" aca="1" ref="BK15" ca="1">IFERROR( INDIRECT(ADDRESS(ROW()+1, COLUMN(), 4, TRUE, "Import-dataset")) / INDIRECT(ADDRESS(ROW(), COLUMN(), 4, TRUE, "Import-dataset")), "" )</f>
        <v>0.98716730038022815</v>
      </c>
      <c r="BL15" s="6" cm="1">
        <f t="array" aca="1" ref="BL15" ca="1">IFERROR( INDIRECT(ADDRESS(ROW()+1, COLUMN(), 4, TRUE, "Import-dataset")) / INDIRECT(ADDRESS(ROW(), COLUMN(), 4, TRUE, "Import-dataset")), "" )</f>
        <v>1.1337145219068614</v>
      </c>
      <c r="BM15" s="6" cm="1">
        <f t="array" aca="1" ref="BM15" ca="1">IFERROR( INDIRECT(ADDRESS(ROW()+1, COLUMN(), 4, TRUE, "Import-dataset")) / INDIRECT(ADDRESS(ROW(), COLUMN(), 4, TRUE, "Import-dataset")), "" )</f>
        <v>1.1538461538461537</v>
      </c>
      <c r="BN15" s="6" cm="1">
        <f t="array" aca="1" ref="BN15" ca="1">IFERROR( INDIRECT(ADDRESS(ROW()+1, COLUMN(), 4, TRUE, "Import-dataset")) / INDIRECT(ADDRESS(ROW(), COLUMN(), 4, TRUE, "Import-dataset")), "" )</f>
        <v>1.2430011198208286</v>
      </c>
      <c r="BO15" s="6" cm="1">
        <f t="array" aca="1" ref="BO15" ca="1">IFERROR( INDIRECT(ADDRESS(ROW()+1, COLUMN(), 4, TRUE, "Import-dataset")) / INDIRECT(ADDRESS(ROW(), COLUMN(), 4, TRUE, "Import-dataset")), "" )</f>
        <v>1.1884816753926701</v>
      </c>
      <c r="BP15" s="6" cm="1">
        <f t="array" aca="1" ref="BP15" ca="1">IFERROR( INDIRECT(ADDRESS(ROW()+1, COLUMN(), 4, TRUE, "Import-dataset")) / INDIRECT(ADDRESS(ROW(), COLUMN(), 4, TRUE, "Import-dataset")), "" )</f>
        <v>1.1884959191605131</v>
      </c>
      <c r="BQ15" s="6" cm="1">
        <f t="array" aca="1" ref="BQ15" ca="1">IFERROR( INDIRECT(ADDRESS(ROW()+1, COLUMN(), 4, TRUE, "Import-dataset")) / INDIRECT(ADDRESS(ROW(), COLUMN(), 4, TRUE, "Import-dataset")), "" )</f>
        <v>1.1547314578005115</v>
      </c>
      <c r="BR15" s="6" cm="1">
        <f t="array" aca="1" ref="BR15" ca="1">IFERROR( INDIRECT(ADDRESS(ROW()+1, COLUMN(), 4, TRUE, "Import-dataset")) / INDIRECT(ADDRESS(ROW(), COLUMN(), 4, TRUE, "Import-dataset")), "" )</f>
        <v>1.0649558941459503</v>
      </c>
      <c r="BS15" s="6" cm="1">
        <f t="array" aca="1" ref="BS15" ca="1">IFERROR( INDIRECT(ADDRESS(ROW()+1, COLUMN(), 4, TRUE, "Import-dataset")) / INDIRECT(ADDRESS(ROW(), COLUMN(), 4, TRUE, "Import-dataset")), "" )</f>
        <v>1.1036627505183139</v>
      </c>
      <c r="BT15" s="6" cm="1">
        <f t="array" aca="1" ref="BT15" ca="1">IFERROR( INDIRECT(ADDRESS(ROW()+1, COLUMN(), 4, TRUE, "Import-dataset")) / INDIRECT(ADDRESS(ROW(), COLUMN(), 4, TRUE, "Import-dataset")), "" )</f>
        <v>1.1212390956026348</v>
      </c>
      <c r="BU15" s="6" cm="1">
        <f t="array" aca="1" ref="BU15" ca="1">IFERROR( INDIRECT(ADDRESS(ROW()+1, COLUMN(), 4, TRUE, "Import-dataset")) / INDIRECT(ADDRESS(ROW(), COLUMN(), 4, TRUE, "Import-dataset")), "" )</f>
        <v>0.85285977859778594</v>
      </c>
      <c r="BV15" s="6" cm="1">
        <f t="array" aca="1" ref="BV15" ca="1">IFERROR( INDIRECT(ADDRESS(ROW()+1, COLUMN(), 4, TRUE, "Import-dataset")) / INDIRECT(ADDRESS(ROW(), COLUMN(), 4, TRUE, "Import-dataset")), "" )</f>
        <v>1.5945945945945945</v>
      </c>
      <c r="BW15" s="6" cm="1">
        <f t="array" aca="1" ref="BW15" ca="1">IFERROR( INDIRECT(ADDRESS(ROW()+1, COLUMN(), 4, TRUE, "Import-dataset")) / INDIRECT(ADDRESS(ROW(), COLUMN(), 4, TRUE, "Import-dataset")), "" )</f>
        <v>1.2857142857142858</v>
      </c>
      <c r="BX15" s="6" cm="1">
        <f t="array" aca="1" ref="BX15" ca="1">IFERROR( INDIRECT(ADDRESS(ROW()+1, COLUMN(), 4, TRUE, "Import-dataset")) / INDIRECT(ADDRESS(ROW(), COLUMN(), 4, TRUE, "Import-dataset")), "" )</f>
        <v>0.2</v>
      </c>
      <c r="BY15" s="6" cm="1">
        <f t="array" aca="1" ref="BY15" ca="1">IFERROR( INDIRECT(ADDRESS(ROW()+1, COLUMN(), 4, TRUE, "Import-dataset")) / INDIRECT(ADDRESS(ROW(), COLUMN(), 4, TRUE, "Import-dataset")), "" )</f>
        <v>0.82094763092269329</v>
      </c>
      <c r="BZ15" s="6" cm="1">
        <f t="array" aca="1" ref="BZ15" ca="1">IFERROR( INDIRECT(ADDRESS(ROW()+1, COLUMN(), 4, TRUE, "Import-dataset")) / INDIRECT(ADDRESS(ROW(), COLUMN(), 4, TRUE, "Import-dataset")), "" )</f>
        <v>1.1964285714285714</v>
      </c>
      <c r="CA15" s="6" cm="1">
        <f t="array" aca="1" ref="CA15" ca="1">IFERROR( INDIRECT(ADDRESS(ROW()+1, COLUMN(), 4, TRUE, "Import-dataset")) / INDIRECT(ADDRESS(ROW(), COLUMN(), 4, TRUE, "Import-dataset")), "" )</f>
        <v>1.1520632012372312</v>
      </c>
    </row>
    <row r="16" spans="1:79">
      <c r="A16" s="6" t="s">
        <v>173</v>
      </c>
      <c r="B16" s="6" cm="1">
        <f t="array" aca="1" ref="B16" ca="1">IFERROR( INDIRECT(ADDRESS(ROW()+1, COLUMN(), 4, TRUE, "Import-dataset")) / INDIRECT(ADDRESS(ROW(), COLUMN(), 4, TRUE, "Import-dataset")), "" )</f>
        <v>1.0928466438020579</v>
      </c>
      <c r="C16" s="6" cm="1">
        <f t="array" aca="1" ref="C16" ca="1">IFERROR( INDIRECT(ADDRESS(ROW()+1, COLUMN(), 4, TRUE, "Import-dataset")) / INDIRECT(ADDRESS(ROW(), COLUMN(), 4, TRUE, "Import-dataset")), "" )</f>
        <v>0.7010309278350515</v>
      </c>
      <c r="D16" s="6" cm="1">
        <f t="array" aca="1" ref="D16" ca="1">IFERROR( INDIRECT(ADDRESS(ROW()+1, COLUMN(), 4, TRUE, "Import-dataset")) / INDIRECT(ADDRESS(ROW(), COLUMN(), 4, TRUE, "Import-dataset")), "" )</f>
        <v>1.0802469135802468</v>
      </c>
      <c r="E16" s="6" cm="1">
        <f t="array" aca="1" ref="E16" ca="1">IFERROR( INDIRECT(ADDRESS(ROW()+1, COLUMN(), 4, TRUE, "Import-dataset")) / INDIRECT(ADDRESS(ROW(), COLUMN(), 4, TRUE, "Import-dataset")), "" )</f>
        <v>1.1841155234657039</v>
      </c>
      <c r="F16" s="6" cm="1">
        <f t="array" aca="1" ref="F16" ca="1">IFERROR( INDIRECT(ADDRESS(ROW()+1, COLUMN(), 4, TRUE, "Import-dataset")) / INDIRECT(ADDRESS(ROW(), COLUMN(), 4, TRUE, "Import-dataset")), "" )</f>
        <v>1.1270236612702367</v>
      </c>
      <c r="G16" s="6" cm="1">
        <f t="array" aca="1" ref="G16" ca="1">IFERROR( INDIRECT(ADDRESS(ROW()+1, COLUMN(), 4, TRUE, "Import-dataset")) / INDIRECT(ADDRESS(ROW(), COLUMN(), 4, TRUE, "Import-dataset")), "" )</f>
        <v>1.0101351351351351</v>
      </c>
      <c r="H16" s="6" cm="1">
        <f t="array" aca="1" ref="H16" ca="1">IFERROR( INDIRECT(ADDRESS(ROW()+1, COLUMN(), 4, TRUE, "Import-dataset")) / INDIRECT(ADDRESS(ROW(), COLUMN(), 4, TRUE, "Import-dataset")), "" )</f>
        <v>1.0725806451612903</v>
      </c>
      <c r="I16" s="6" cm="1">
        <f t="array" aca="1" ref="I16" ca="1">IFERROR( INDIRECT(ADDRESS(ROW()+1, COLUMN(), 4, TRUE, "Import-dataset")) / INDIRECT(ADDRESS(ROW(), COLUMN(), 4, TRUE, "Import-dataset")), "" )</f>
        <v>1.0847457627118644</v>
      </c>
      <c r="J16" s="6" cm="1">
        <f t="array" aca="1" ref="J16" ca="1">IFERROR( INDIRECT(ADDRESS(ROW()+1, COLUMN(), 4, TRUE, "Import-dataset")) / INDIRECT(ADDRESS(ROW(), COLUMN(), 4, TRUE, "Import-dataset")), "" )</f>
        <v>1.0033222591362125</v>
      </c>
      <c r="K16" s="6" cm="1">
        <f t="array" aca="1" ref="K16" ca="1">IFERROR( INDIRECT(ADDRESS(ROW()+1, COLUMN(), 4, TRUE, "Import-dataset")) / INDIRECT(ADDRESS(ROW(), COLUMN(), 4, TRUE, "Import-dataset")), "" )</f>
        <v>1.5526315789473684</v>
      </c>
      <c r="L16" s="6" cm="1">
        <f t="array" aca="1" ref="L16" ca="1">IFERROR( INDIRECT(ADDRESS(ROW()+1, COLUMN(), 4, TRUE, "Import-dataset")) / INDIRECT(ADDRESS(ROW(), COLUMN(), 4, TRUE, "Import-dataset")), "" )</f>
        <v>1.1100362756952842</v>
      </c>
      <c r="M16" s="6" cm="1">
        <f t="array" aca="1" ref="M16" ca="1">IFERROR( INDIRECT(ADDRESS(ROW()+1, COLUMN(), 4, TRUE, "Import-dataset")) / INDIRECT(ADDRESS(ROW(), COLUMN(), 4, TRUE, "Import-dataset")), "" )</f>
        <v>1.1731493099121706</v>
      </c>
      <c r="N16" s="6" cm="1">
        <f t="array" aca="1" ref="N16" ca="1">IFERROR( INDIRECT(ADDRESS(ROW()+1, COLUMN(), 4, TRUE, "Import-dataset")) / INDIRECT(ADDRESS(ROW(), COLUMN(), 4, TRUE, "Import-dataset")), "" )</f>
        <v>1.1767594108019639</v>
      </c>
      <c r="O16" s="6" cm="1">
        <f t="array" aca="1" ref="O16" ca="1">IFERROR( INDIRECT(ADDRESS(ROW()+1, COLUMN(), 4, TRUE, "Import-dataset")) / INDIRECT(ADDRESS(ROW(), COLUMN(), 4, TRUE, "Import-dataset")), "" )</f>
        <v>1.1666666666666667</v>
      </c>
      <c r="P16" s="6" cm="1">
        <f t="array" aca="1" ref="P16" ca="1">IFERROR( INDIRECT(ADDRESS(ROW()+1, COLUMN(), 4, TRUE, "Import-dataset")) / INDIRECT(ADDRESS(ROW(), COLUMN(), 4, TRUE, "Import-dataset")), "" )</f>
        <v>0.85364659813999022</v>
      </c>
      <c r="Q16" s="6" t="str" cm="1">
        <f t="array" aca="1" ref="Q16" ca="1">IFERROR( INDIRECT(ADDRESS(ROW()+1, COLUMN(), 4, TRUE, "Import-dataset")) / INDIRECT(ADDRESS(ROW(), COLUMN(), 4, TRUE, "Import-dataset")), "" )</f>
        <v/>
      </c>
      <c r="R16" s="6" cm="1">
        <f t="array" aca="1" ref="R16" ca="1">IFERROR( INDIRECT(ADDRESS(ROW()+1, COLUMN(), 4, TRUE, "Import-dataset")) / INDIRECT(ADDRESS(ROW(), COLUMN(), 4, TRUE, "Import-dataset")), "" )</f>
        <v>0.45054945054945056</v>
      </c>
      <c r="S16" s="6" cm="1">
        <f t="array" aca="1" ref="S16" ca="1">IFERROR( INDIRECT(ADDRESS(ROW()+1, COLUMN(), 4, TRUE, "Import-dataset")) / INDIRECT(ADDRESS(ROW(), COLUMN(), 4, TRUE, "Import-dataset")), "" )</f>
        <v>1.1196581196581197</v>
      </c>
      <c r="T16" s="6" cm="1">
        <f t="array" aca="1" ref="T16" ca="1">IFERROR( INDIRECT(ADDRESS(ROW()+1, COLUMN(), 4, TRUE, "Import-dataset")) / INDIRECT(ADDRESS(ROW(), COLUMN(), 4, TRUE, "Import-dataset")), "" )</f>
        <v>0.65315315315315314</v>
      </c>
      <c r="U16" s="6" cm="1">
        <f t="array" aca="1" ref="U16" ca="1">IFERROR( INDIRECT(ADDRESS(ROW()+1, COLUMN(), 4, TRUE, "Import-dataset")) / INDIRECT(ADDRESS(ROW(), COLUMN(), 4, TRUE, "Import-dataset")), "" )</f>
        <v>0.73293768545994065</v>
      </c>
      <c r="V16" s="6" cm="1">
        <f t="array" aca="1" ref="V16" ca="1">IFERROR( INDIRECT(ADDRESS(ROW()+1, COLUMN(), 4, TRUE, "Import-dataset")) / INDIRECT(ADDRESS(ROW(), COLUMN(), 4, TRUE, "Import-dataset")), "" )</f>
        <v>0.99315068493150682</v>
      </c>
      <c r="W16" s="6" cm="1">
        <f t="array" aca="1" ref="W16" ca="1">IFERROR( INDIRECT(ADDRESS(ROW()+1, COLUMN(), 4, TRUE, "Import-dataset")) / INDIRECT(ADDRESS(ROW(), COLUMN(), 4, TRUE, "Import-dataset")), "" )</f>
        <v>1.1590909090909092</v>
      </c>
      <c r="X16" s="6" cm="1">
        <f t="array" aca="1" ref="X16" ca="1">IFERROR( INDIRECT(ADDRESS(ROW()+1, COLUMN(), 4, TRUE, "Import-dataset")) / INDIRECT(ADDRESS(ROW(), COLUMN(), 4, TRUE, "Import-dataset")), "" )</f>
        <v>1.1416309012875536</v>
      </c>
      <c r="Y16" s="6" cm="1">
        <f t="array" aca="1" ref="Y16" ca="1">IFERROR( INDIRECT(ADDRESS(ROW()+1, COLUMN(), 4, TRUE, "Import-dataset")) / INDIRECT(ADDRESS(ROW(), COLUMN(), 4, TRUE, "Import-dataset")), "" )</f>
        <v>0.98897058823529416</v>
      </c>
      <c r="Z16" s="6" cm="1">
        <f t="array" aca="1" ref="Z16" ca="1">IFERROR( INDIRECT(ADDRESS(ROW()+1, COLUMN(), 4, TRUE, "Import-dataset")) / INDIRECT(ADDRESS(ROW(), COLUMN(), 4, TRUE, "Import-dataset")), "" )</f>
        <v>1.0476290832455215</v>
      </c>
      <c r="AA16" s="6" cm="1">
        <f t="array" aca="1" ref="AA16" ca="1">IFERROR( INDIRECT(ADDRESS(ROW()+1, COLUMN(), 4, TRUE, "Import-dataset")) / INDIRECT(ADDRESS(ROW(), COLUMN(), 4, TRUE, "Import-dataset")), "" )</f>
        <v>0.75</v>
      </c>
      <c r="AB16" s="6" cm="1">
        <f t="array" aca="1" ref="AB16" ca="1">IFERROR( INDIRECT(ADDRESS(ROW()+1, COLUMN(), 4, TRUE, "Import-dataset")) / INDIRECT(ADDRESS(ROW(), COLUMN(), 4, TRUE, "Import-dataset")), "" )</f>
        <v>1.0521739130434782</v>
      </c>
      <c r="AC16" s="6" cm="1">
        <f t="array" aca="1" ref="AC16" ca="1">IFERROR( INDIRECT(ADDRESS(ROW()+1, COLUMN(), 4, TRUE, "Import-dataset")) / INDIRECT(ADDRESS(ROW(), COLUMN(), 4, TRUE, "Import-dataset")), "" )</f>
        <v>0.80864197530864201</v>
      </c>
      <c r="AD16" s="6" cm="1">
        <f t="array" aca="1" ref="AD16" ca="1">IFERROR( INDIRECT(ADDRESS(ROW()+1, COLUMN(), 4, TRUE, "Import-dataset")) / INDIRECT(ADDRESS(ROW(), COLUMN(), 4, TRUE, "Import-dataset")), "" )</f>
        <v>1.0070671378091873</v>
      </c>
      <c r="AE16" s="6" cm="1">
        <f t="array" aca="1" ref="AE16" ca="1">IFERROR( INDIRECT(ADDRESS(ROW()+1, COLUMN(), 4, TRUE, "Import-dataset")) / INDIRECT(ADDRESS(ROW(), COLUMN(), 4, TRUE, "Import-dataset")), "" )</f>
        <v>1.7777777777777777</v>
      </c>
      <c r="AF16" s="6" cm="1">
        <f t="array" aca="1" ref="AF16" ca="1">IFERROR( INDIRECT(ADDRESS(ROW()+1, COLUMN(), 4, TRUE, "Import-dataset")) / INDIRECT(ADDRESS(ROW(), COLUMN(), 4, TRUE, "Import-dataset")), "" )</f>
        <v>1.0042194092827004</v>
      </c>
      <c r="AG16" s="6" cm="1">
        <f t="array" aca="1" ref="AG16" ca="1">IFERROR( INDIRECT(ADDRESS(ROW()+1, COLUMN(), 4, TRUE, "Import-dataset")) / INDIRECT(ADDRESS(ROW(), COLUMN(), 4, TRUE, "Import-dataset")), "" )</f>
        <v>0.94285714285714284</v>
      </c>
      <c r="AH16" s="6" cm="1">
        <f t="array" aca="1" ref="AH16" ca="1">IFERROR( INDIRECT(ADDRESS(ROW()+1, COLUMN(), 4, TRUE, "Import-dataset")) / INDIRECT(ADDRESS(ROW(), COLUMN(), 4, TRUE, "Import-dataset")), "" )</f>
        <v>1.0955528846153846</v>
      </c>
      <c r="AI16" s="6" cm="1">
        <f t="array" aca="1" ref="AI16" ca="1">IFERROR( INDIRECT(ADDRESS(ROW()+1, COLUMN(), 4, TRUE, "Import-dataset")) / INDIRECT(ADDRESS(ROW(), COLUMN(), 4, TRUE, "Import-dataset")), "" )</f>
        <v>0.9276859504132231</v>
      </c>
      <c r="AJ16" s="6" cm="1">
        <f t="array" aca="1" ref="AJ16" ca="1">IFERROR( INDIRECT(ADDRESS(ROW()+1, COLUMN(), 4, TRUE, "Import-dataset")) / INDIRECT(ADDRESS(ROW(), COLUMN(), 4, TRUE, "Import-dataset")), "" )</f>
        <v>1.4617449664429529</v>
      </c>
      <c r="AK16" s="6" cm="1">
        <f t="array" aca="1" ref="AK16" ca="1">IFERROR( INDIRECT(ADDRESS(ROW()+1, COLUMN(), 4, TRUE, "Import-dataset")) / INDIRECT(ADDRESS(ROW(), COLUMN(), 4, TRUE, "Import-dataset")), "" )</f>
        <v>1.0329670329670331</v>
      </c>
      <c r="AL16" s="6" cm="1">
        <f t="array" aca="1" ref="AL16" ca="1">IFERROR( INDIRECT(ADDRESS(ROW()+1, COLUMN(), 4, TRUE, "Import-dataset")) / INDIRECT(ADDRESS(ROW(), COLUMN(), 4, TRUE, "Import-dataset")), "" )</f>
        <v>1.1539230384807597</v>
      </c>
      <c r="AM16" s="6" cm="1">
        <f t="array" aca="1" ref="AM16" ca="1">IFERROR( INDIRECT(ADDRESS(ROW()+1, COLUMN(), 4, TRUE, "Import-dataset")) / INDIRECT(ADDRESS(ROW(), COLUMN(), 4, TRUE, "Import-dataset")), "" )</f>
        <v>1.2264150943396226</v>
      </c>
      <c r="AN16" s="6" cm="1">
        <f t="array" aca="1" ref="AN16" ca="1">IFERROR( INDIRECT(ADDRESS(ROW()+1, COLUMN(), 4, TRUE, "Import-dataset")) / INDIRECT(ADDRESS(ROW(), COLUMN(), 4, TRUE, "Import-dataset")), "" )</f>
        <v>1.1412894375857339</v>
      </c>
      <c r="AO16" s="6" cm="1">
        <f t="array" aca="1" ref="AO16" ca="1">IFERROR( INDIRECT(ADDRESS(ROW()+1, COLUMN(), 4, TRUE, "Import-dataset")) / INDIRECT(ADDRESS(ROW(), COLUMN(), 4, TRUE, "Import-dataset")), "" )</f>
        <v>1.0490797546012269</v>
      </c>
      <c r="AP16" s="6" cm="1">
        <f t="array" aca="1" ref="AP16" ca="1">IFERROR( INDIRECT(ADDRESS(ROW()+1, COLUMN(), 4, TRUE, "Import-dataset")) / INDIRECT(ADDRESS(ROW(), COLUMN(), 4, TRUE, "Import-dataset")), "" )</f>
        <v>1.0071868583162218</v>
      </c>
      <c r="AQ16" s="6" cm="1">
        <f t="array" aca="1" ref="AQ16" ca="1">IFERROR( INDIRECT(ADDRESS(ROW()+1, COLUMN(), 4, TRUE, "Import-dataset")) / INDIRECT(ADDRESS(ROW(), COLUMN(), 4, TRUE, "Import-dataset")), "" )</f>
        <v>1.0918057663125948</v>
      </c>
      <c r="AR16" s="6" cm="1">
        <f t="array" aca="1" ref="AR16" ca="1">IFERROR( INDIRECT(ADDRESS(ROW()+1, COLUMN(), 4, TRUE, "Import-dataset")) / INDIRECT(ADDRESS(ROW(), COLUMN(), 4, TRUE, "Import-dataset")), "" )</f>
        <v>1.0011998023854896</v>
      </c>
      <c r="AS16" s="6" cm="1">
        <f t="array" aca="1" ref="AS16" ca="1">IFERROR( INDIRECT(ADDRESS(ROW()+1, COLUMN(), 4, TRUE, "Import-dataset")) / INDIRECT(ADDRESS(ROW(), COLUMN(), 4, TRUE, "Import-dataset")), "" )</f>
        <v>1.1186440677966101</v>
      </c>
      <c r="AT16" s="6" cm="1">
        <f t="array" aca="1" ref="AT16" ca="1">IFERROR( INDIRECT(ADDRESS(ROW()+1, COLUMN(), 4, TRUE, "Import-dataset")) / INDIRECT(ADDRESS(ROW(), COLUMN(), 4, TRUE, "Import-dataset")), "" )</f>
        <v>1.1661585365853659</v>
      </c>
      <c r="AU16" s="6" cm="1">
        <f t="array" aca="1" ref="AU16" ca="1">IFERROR( INDIRECT(ADDRESS(ROW()+1, COLUMN(), 4, TRUE, "Import-dataset")) / INDIRECT(ADDRESS(ROW(), COLUMN(), 4, TRUE, "Import-dataset")), "" )</f>
        <v>0.93169877408056045</v>
      </c>
      <c r="AV16" s="6" cm="1">
        <f t="array" aca="1" ref="AV16" ca="1">IFERROR( INDIRECT(ADDRESS(ROW()+1, COLUMN(), 4, TRUE, "Import-dataset")) / INDIRECT(ADDRESS(ROW(), COLUMN(), 4, TRUE, "Import-dataset")), "" )</f>
        <v>0.94041345764085937</v>
      </c>
      <c r="AW16" s="6" cm="1">
        <f t="array" aca="1" ref="AW16" ca="1">IFERROR( INDIRECT(ADDRESS(ROW()+1, COLUMN(), 4, TRUE, "Import-dataset")) / INDIRECT(ADDRESS(ROW(), COLUMN(), 4, TRUE, "Import-dataset")), "" )</f>
        <v>0.94477836213373401</v>
      </c>
      <c r="AX16" s="6" cm="1">
        <f t="array" aca="1" ref="AX16" ca="1">IFERROR( INDIRECT(ADDRESS(ROW()+1, COLUMN(), 4, TRUE, "Import-dataset")) / INDIRECT(ADDRESS(ROW(), COLUMN(), 4, TRUE, "Import-dataset")), "" )</f>
        <v>0.97113402061855669</v>
      </c>
      <c r="AY16" s="6" cm="1">
        <f t="array" aca="1" ref="AY16" ca="1">IFERROR( INDIRECT(ADDRESS(ROW()+1, COLUMN(), 4, TRUE, "Import-dataset")) / INDIRECT(ADDRESS(ROW(), COLUMN(), 4, TRUE, "Import-dataset")), "" )</f>
        <v>1.0517928286852589</v>
      </c>
      <c r="AZ16" s="6" cm="1">
        <f t="array" aca="1" ref="AZ16" ca="1">IFERROR( INDIRECT(ADDRESS(ROW()+1, COLUMN(), 4, TRUE, "Import-dataset")) / INDIRECT(ADDRESS(ROW(), COLUMN(), 4, TRUE, "Import-dataset")), "" )</f>
        <v>1.0768321513002364</v>
      </c>
      <c r="BA16" s="6" cm="1">
        <f t="array" aca="1" ref="BA16" ca="1">IFERROR( INDIRECT(ADDRESS(ROW()+1, COLUMN(), 4, TRUE, "Import-dataset")) / INDIRECT(ADDRESS(ROW(), COLUMN(), 4, TRUE, "Import-dataset")), "" )</f>
        <v>1.0111773472429211</v>
      </c>
      <c r="BB16" s="6" cm="1">
        <f t="array" aca="1" ref="BB16" ca="1">IFERROR( INDIRECT(ADDRESS(ROW()+1, COLUMN(), 4, TRUE, "Import-dataset")) / INDIRECT(ADDRESS(ROW(), COLUMN(), 4, TRUE, "Import-dataset")), "" )</f>
        <v>0.95855055437256775</v>
      </c>
      <c r="BC16" s="6" cm="1">
        <f t="array" aca="1" ref="BC16" ca="1">IFERROR( INDIRECT(ADDRESS(ROW()+1, COLUMN(), 4, TRUE, "Import-dataset")) / INDIRECT(ADDRESS(ROW(), COLUMN(), 4, TRUE, "Import-dataset")), "" )</f>
        <v>1.1231165012862918</v>
      </c>
      <c r="BD16" s="6" cm="1">
        <f t="array" aca="1" ref="BD16" ca="1">IFERROR( INDIRECT(ADDRESS(ROW()+1, COLUMN(), 4, TRUE, "Import-dataset")) / INDIRECT(ADDRESS(ROW(), COLUMN(), 4, TRUE, "Import-dataset")), "" )</f>
        <v>0.98237663645518636</v>
      </c>
      <c r="BE16" s="6" cm="1">
        <f t="array" aca="1" ref="BE16" ca="1">IFERROR( INDIRECT(ADDRESS(ROW()+1, COLUMN(), 4, TRUE, "Import-dataset")) / INDIRECT(ADDRESS(ROW(), COLUMN(), 4, TRUE, "Import-dataset")), "" )</f>
        <v>1.1954022988505748</v>
      </c>
      <c r="BF16" s="6" cm="1">
        <f t="array" aca="1" ref="BF16" ca="1">IFERROR( INDIRECT(ADDRESS(ROW()+1, COLUMN(), 4, TRUE, "Import-dataset")) / INDIRECT(ADDRESS(ROW(), COLUMN(), 4, TRUE, "Import-dataset")), "" )</f>
        <v>1.0964849354375896</v>
      </c>
      <c r="BG16" s="6" cm="1">
        <f t="array" aca="1" ref="BG16" ca="1">IFERROR( INDIRECT(ADDRESS(ROW()+1, COLUMN(), 4, TRUE, "Import-dataset")) / INDIRECT(ADDRESS(ROW(), COLUMN(), 4, TRUE, "Import-dataset")), "" )</f>
        <v>0.9213932690044716</v>
      </c>
      <c r="BH16" s="6" cm="1">
        <f t="array" aca="1" ref="BH16" ca="1">IFERROR( INDIRECT(ADDRESS(ROW()+1, COLUMN(), 4, TRUE, "Import-dataset")) / INDIRECT(ADDRESS(ROW(), COLUMN(), 4, TRUE, "Import-dataset")), "" )</f>
        <v>0.85724699307496055</v>
      </c>
      <c r="BI16" s="6" cm="1">
        <f t="array" aca="1" ref="BI16" ca="1">IFERROR( INDIRECT(ADDRESS(ROW()+1, COLUMN(), 4, TRUE, "Import-dataset")) / INDIRECT(ADDRESS(ROW(), COLUMN(), 4, TRUE, "Import-dataset")), "" )</f>
        <v>0.97767923133776791</v>
      </c>
      <c r="BJ16" s="6" cm="1">
        <f t="array" aca="1" ref="BJ16" ca="1">IFERROR( INDIRECT(ADDRESS(ROW()+1, COLUMN(), 4, TRUE, "Import-dataset")) / INDIRECT(ADDRESS(ROW(), COLUMN(), 4, TRUE, "Import-dataset")), "" )</f>
        <v>1.0061606004815182</v>
      </c>
      <c r="BK16" s="6" cm="1">
        <f t="array" aca="1" ref="BK16" ca="1">IFERROR( INDIRECT(ADDRESS(ROW()+1, COLUMN(), 4, TRUE, "Import-dataset")) / INDIRECT(ADDRESS(ROW(), COLUMN(), 4, TRUE, "Import-dataset")), "" )</f>
        <v>0.70341839191141065</v>
      </c>
      <c r="BL16" s="6" cm="1">
        <f t="array" aca="1" ref="BL16" ca="1">IFERROR( INDIRECT(ADDRESS(ROW()+1, COLUMN(), 4, TRUE, "Import-dataset")) / INDIRECT(ADDRESS(ROW(), COLUMN(), 4, TRUE, "Import-dataset")), "" )</f>
        <v>1.0355471835693018</v>
      </c>
      <c r="BM16" s="6" cm="1">
        <f t="array" aca="1" ref="BM16" ca="1">IFERROR( INDIRECT(ADDRESS(ROW()+1, COLUMN(), 4, TRUE, "Import-dataset")) / INDIRECT(ADDRESS(ROW(), COLUMN(), 4, TRUE, "Import-dataset")), "" )</f>
        <v>1.0373333333333334</v>
      </c>
      <c r="BN16" s="6" cm="1">
        <f t="array" aca="1" ref="BN16" ca="1">IFERROR( INDIRECT(ADDRESS(ROW()+1, COLUMN(), 4, TRUE, "Import-dataset")) / INDIRECT(ADDRESS(ROW(), COLUMN(), 4, TRUE, "Import-dataset")), "" )</f>
        <v>1.0171171171171172</v>
      </c>
      <c r="BO16" s="6" cm="1">
        <f t="array" aca="1" ref="BO16" ca="1">IFERROR( INDIRECT(ADDRESS(ROW()+1, COLUMN(), 4, TRUE, "Import-dataset")) / INDIRECT(ADDRESS(ROW(), COLUMN(), 4, TRUE, "Import-dataset")), "" )</f>
        <v>1.0506607929515419</v>
      </c>
      <c r="BP16" s="6" cm="1">
        <f t="array" aca="1" ref="BP16" ca="1">IFERROR( INDIRECT(ADDRESS(ROW()+1, COLUMN(), 4, TRUE, "Import-dataset")) / INDIRECT(ADDRESS(ROW(), COLUMN(), 4, TRUE, "Import-dataset")), "" )</f>
        <v>1.0359712230215827</v>
      </c>
      <c r="BQ16" s="6" cm="1">
        <f t="array" aca="1" ref="BQ16" ca="1">IFERROR( INDIRECT(ADDRESS(ROW()+1, COLUMN(), 4, TRUE, "Import-dataset")) / INDIRECT(ADDRESS(ROW(), COLUMN(), 4, TRUE, "Import-dataset")), "" )</f>
        <v>1.0398671096345515</v>
      </c>
      <c r="BR16" s="6" cm="1">
        <f t="array" aca="1" ref="BR16" ca="1">IFERROR( INDIRECT(ADDRESS(ROW()+1, COLUMN(), 4, TRUE, "Import-dataset")) / INDIRECT(ADDRESS(ROW(), COLUMN(), 4, TRUE, "Import-dataset")), "" )</f>
        <v>1.1189759036144578</v>
      </c>
      <c r="BS16" s="6" cm="1">
        <f t="array" aca="1" ref="BS16" ca="1">IFERROR( INDIRECT(ADDRESS(ROW()+1, COLUMN(), 4, TRUE, "Import-dataset")) / INDIRECT(ADDRESS(ROW(), COLUMN(), 4, TRUE, "Import-dataset")), "" )</f>
        <v>1.0100187852222917</v>
      </c>
      <c r="BT16" s="6" cm="1">
        <f t="array" aca="1" ref="BT16" ca="1">IFERROR( INDIRECT(ADDRESS(ROW()+1, COLUMN(), 4, TRUE, "Import-dataset")) / INDIRECT(ADDRESS(ROW(), COLUMN(), 4, TRUE, "Import-dataset")), "" )</f>
        <v>1.0088917116544935</v>
      </c>
      <c r="BU16" s="6" cm="1">
        <f t="array" aca="1" ref="BU16" ca="1">IFERROR( INDIRECT(ADDRESS(ROW()+1, COLUMN(), 4, TRUE, "Import-dataset")) / INDIRECT(ADDRESS(ROW(), COLUMN(), 4, TRUE, "Import-dataset")), "" )</f>
        <v>1.2682531097890752</v>
      </c>
      <c r="BV16" s="6" cm="1">
        <f t="array" aca="1" ref="BV16" ca="1">IFERROR( INDIRECT(ADDRESS(ROW()+1, COLUMN(), 4, TRUE, "Import-dataset")) / INDIRECT(ADDRESS(ROW(), COLUMN(), 4, TRUE, "Import-dataset")), "" )</f>
        <v>0.72881355932203384</v>
      </c>
      <c r="BW16" s="6" cm="1">
        <f t="array" aca="1" ref="BW16" ca="1">IFERROR( INDIRECT(ADDRESS(ROW()+1, COLUMN(), 4, TRUE, "Import-dataset")) / INDIRECT(ADDRESS(ROW(), COLUMN(), 4, TRUE, "Import-dataset")), "" )</f>
        <v>0.77777777777777779</v>
      </c>
      <c r="BX16" s="6" cm="1">
        <f t="array" aca="1" ref="BX16" ca="1">IFERROR( INDIRECT(ADDRESS(ROW()+1, COLUMN(), 4, TRUE, "Import-dataset")) / INDIRECT(ADDRESS(ROW(), COLUMN(), 4, TRUE, "Import-dataset")), "" )</f>
        <v>0</v>
      </c>
      <c r="BY16" s="6" cm="1">
        <f t="array" aca="1" ref="BY16" ca="1">IFERROR( INDIRECT(ADDRESS(ROW()+1, COLUMN(), 4, TRUE, "Import-dataset")) / INDIRECT(ADDRESS(ROW(), COLUMN(), 4, TRUE, "Import-dataset")), "" )</f>
        <v>1.3092345078979344</v>
      </c>
      <c r="BZ16" s="6" cm="1">
        <f t="array" aca="1" ref="BZ16" ca="1">IFERROR( INDIRECT(ADDRESS(ROW()+1, COLUMN(), 4, TRUE, "Import-dataset")) / INDIRECT(ADDRESS(ROW(), COLUMN(), 4, TRUE, "Import-dataset")), "" )</f>
        <v>1.0298507462686568</v>
      </c>
      <c r="CA16" s="6" cm="1">
        <f t="array" aca="1" ref="CA16" ca="1">IFERROR( INDIRECT(ADDRESS(ROW()+1, COLUMN(), 4, TRUE, "Import-dataset")) / INDIRECT(ADDRESS(ROW(), COLUMN(), 4, TRUE, "Import-dataset")), "" )</f>
        <v>1.0067633428527456</v>
      </c>
    </row>
    <row r="17" spans="1:79">
      <c r="A17" s="6" t="s">
        <v>174</v>
      </c>
      <c r="B17" s="6" cm="1">
        <f t="array" aca="1" ref="B17" ca="1">IFERROR( INDIRECT(ADDRESS(ROW()+1, COLUMN(), 4, TRUE, "Import-dataset")) / INDIRECT(ADDRESS(ROW(), COLUMN(), 4, TRUE, "Import-dataset")), "" )</f>
        <v>1.0699394754539342</v>
      </c>
      <c r="C17" s="6" cm="1">
        <f t="array" aca="1" ref="C17" ca="1">IFERROR( INDIRECT(ADDRESS(ROW()+1, COLUMN(), 4, TRUE, "Import-dataset")) / INDIRECT(ADDRESS(ROW(), COLUMN(), 4, TRUE, "Import-dataset")), "" )</f>
        <v>1.25</v>
      </c>
      <c r="D17" s="6" cm="1">
        <f t="array" aca="1" ref="D17" ca="1">IFERROR( INDIRECT(ADDRESS(ROW()+1, COLUMN(), 4, TRUE, "Import-dataset")) / INDIRECT(ADDRESS(ROW(), COLUMN(), 4, TRUE, "Import-dataset")), "" )</f>
        <v>1.2514285714285713</v>
      </c>
      <c r="E17" s="6" cm="1">
        <f t="array" aca="1" ref="E17" ca="1">IFERROR( INDIRECT(ADDRESS(ROW()+1, COLUMN(), 4, TRUE, "Import-dataset")) / INDIRECT(ADDRESS(ROW(), COLUMN(), 4, TRUE, "Import-dataset")), "" )</f>
        <v>0.90243902439024393</v>
      </c>
      <c r="F17" s="6" cm="1">
        <f t="array" aca="1" ref="F17" ca="1">IFERROR( INDIRECT(ADDRESS(ROW()+1, COLUMN(), 4, TRUE, "Import-dataset")) / INDIRECT(ADDRESS(ROW(), COLUMN(), 4, TRUE, "Import-dataset")), "" )</f>
        <v>1.0143646408839779</v>
      </c>
      <c r="G17" s="6" cm="1">
        <f t="array" aca="1" ref="G17" ca="1">IFERROR( INDIRECT(ADDRESS(ROW()+1, COLUMN(), 4, TRUE, "Import-dataset")) / INDIRECT(ADDRESS(ROW(), COLUMN(), 4, TRUE, "Import-dataset")), "" )</f>
        <v>1.0100334448160535</v>
      </c>
      <c r="H17" s="6" cm="1">
        <f t="array" aca="1" ref="H17" ca="1">IFERROR( INDIRECT(ADDRESS(ROW()+1, COLUMN(), 4, TRUE, "Import-dataset")) / INDIRECT(ADDRESS(ROW(), COLUMN(), 4, TRUE, "Import-dataset")), "" )</f>
        <v>1.0889724310776943</v>
      </c>
      <c r="I17" s="6" cm="1">
        <f t="array" aca="1" ref="I17" ca="1">IFERROR( INDIRECT(ADDRESS(ROW()+1, COLUMN(), 4, TRUE, "Import-dataset")) / INDIRECT(ADDRESS(ROW(), COLUMN(), 4, TRUE, "Import-dataset")), "" )</f>
        <v>1.1796875</v>
      </c>
      <c r="J17" s="6" cm="1">
        <f t="array" aca="1" ref="J17" ca="1">IFERROR( INDIRECT(ADDRESS(ROW()+1, COLUMN(), 4, TRUE, "Import-dataset")) / INDIRECT(ADDRESS(ROW(), COLUMN(), 4, TRUE, "Import-dataset")), "" )</f>
        <v>1.1026490066225165</v>
      </c>
      <c r="K17" s="6" cm="1">
        <f t="array" aca="1" ref="K17" ca="1">IFERROR( INDIRECT(ADDRESS(ROW()+1, COLUMN(), 4, TRUE, "Import-dataset")) / INDIRECT(ADDRESS(ROW(), COLUMN(), 4, TRUE, "Import-dataset")), "" )</f>
        <v>1.2796610169491525</v>
      </c>
      <c r="L17" s="6" cm="1">
        <f t="array" aca="1" ref="L17" ca="1">IFERROR( INDIRECT(ADDRESS(ROW()+1, COLUMN(), 4, TRUE, "Import-dataset")) / INDIRECT(ADDRESS(ROW(), COLUMN(), 4, TRUE, "Import-dataset")), "" )</f>
        <v>1.0533769063180829</v>
      </c>
      <c r="M17" s="6" cm="1">
        <f t="array" aca="1" ref="M17" ca="1">IFERROR( INDIRECT(ADDRESS(ROW()+1, COLUMN(), 4, TRUE, "Import-dataset")) / INDIRECT(ADDRESS(ROW(), COLUMN(), 4, TRUE, "Import-dataset")), "" )</f>
        <v>1.0352941176470589</v>
      </c>
      <c r="N17" s="6" cm="1">
        <f t="array" aca="1" ref="N17" ca="1">IFERROR( INDIRECT(ADDRESS(ROW()+1, COLUMN(), 4, TRUE, "Import-dataset")) / INDIRECT(ADDRESS(ROW(), COLUMN(), 4, TRUE, "Import-dataset")), "" )</f>
        <v>0.94714881780250348</v>
      </c>
      <c r="O17" s="6" cm="1">
        <f t="array" aca="1" ref="O17" ca="1">IFERROR( INDIRECT(ADDRESS(ROW()+1, COLUMN(), 4, TRUE, "Import-dataset")) / INDIRECT(ADDRESS(ROW(), COLUMN(), 4, TRUE, "Import-dataset")), "" )</f>
        <v>1.3087557603686637</v>
      </c>
      <c r="P17" s="6" cm="1">
        <f t="array" aca="1" ref="P17" ca="1">IFERROR( INDIRECT(ADDRESS(ROW()+1, COLUMN(), 4, TRUE, "Import-dataset")) / INDIRECT(ADDRESS(ROW(), COLUMN(), 4, TRUE, "Import-dataset")), "" )</f>
        <v>1.0808486238532109</v>
      </c>
      <c r="Q17" s="6" cm="1">
        <f t="array" aca="1" ref="Q17" ca="1">IFERROR( INDIRECT(ADDRESS(ROW()+1, COLUMN(), 4, TRUE, "Import-dataset")) / INDIRECT(ADDRESS(ROW(), COLUMN(), 4, TRUE, "Import-dataset")), "" )</f>
        <v>1.5</v>
      </c>
      <c r="R17" s="6" cm="1">
        <f t="array" aca="1" ref="R17" ca="1">IFERROR( INDIRECT(ADDRESS(ROW()+1, COLUMN(), 4, TRUE, "Import-dataset")) / INDIRECT(ADDRESS(ROW(), COLUMN(), 4, TRUE, "Import-dataset")), "" )</f>
        <v>1.0975609756097562</v>
      </c>
      <c r="S17" s="6" cm="1">
        <f t="array" aca="1" ref="S17" ca="1">IFERROR( INDIRECT(ADDRESS(ROW()+1, COLUMN(), 4, TRUE, "Import-dataset")) / INDIRECT(ADDRESS(ROW(), COLUMN(), 4, TRUE, "Import-dataset")), "" )</f>
        <v>0.93129770992366412</v>
      </c>
      <c r="T17" s="6" cm="1">
        <f t="array" aca="1" ref="T17" ca="1">IFERROR( INDIRECT(ADDRESS(ROW()+1, COLUMN(), 4, TRUE, "Import-dataset")) / INDIRECT(ADDRESS(ROW(), COLUMN(), 4, TRUE, "Import-dataset")), "" )</f>
        <v>1.289655172413793</v>
      </c>
      <c r="U17" s="6" cm="1">
        <f t="array" aca="1" ref="U17" ca="1">IFERROR( INDIRECT(ADDRESS(ROW()+1, COLUMN(), 4, TRUE, "Import-dataset")) / INDIRECT(ADDRESS(ROW(), COLUMN(), 4, TRUE, "Import-dataset")), "" )</f>
        <v>1.0161943319838056</v>
      </c>
      <c r="V17" s="6" cm="1">
        <f t="array" aca="1" ref="V17" ca="1">IFERROR( INDIRECT(ADDRESS(ROW()+1, COLUMN(), 4, TRUE, "Import-dataset")) / INDIRECT(ADDRESS(ROW(), COLUMN(), 4, TRUE, "Import-dataset")), "" )</f>
        <v>1.1241379310344828</v>
      </c>
      <c r="W17" s="6" cm="1">
        <f t="array" aca="1" ref="W17" ca="1">IFERROR( INDIRECT(ADDRESS(ROW()+1, COLUMN(), 4, TRUE, "Import-dataset")) / INDIRECT(ADDRESS(ROW(), COLUMN(), 4, TRUE, "Import-dataset")), "" )</f>
        <v>1.0098039215686274</v>
      </c>
      <c r="X17" s="6" cm="1">
        <f t="array" aca="1" ref="X17" ca="1">IFERROR( INDIRECT(ADDRESS(ROW()+1, COLUMN(), 4, TRUE, "Import-dataset")) / INDIRECT(ADDRESS(ROW(), COLUMN(), 4, TRUE, "Import-dataset")), "" )</f>
        <v>0.94360902255639101</v>
      </c>
      <c r="Y17" s="6" cm="1">
        <f t="array" aca="1" ref="Y17" ca="1">IFERROR( INDIRECT(ADDRESS(ROW()+1, COLUMN(), 4, TRUE, "Import-dataset")) / INDIRECT(ADDRESS(ROW(), COLUMN(), 4, TRUE, "Import-dataset")), "" )</f>
        <v>1.0520446096654275</v>
      </c>
      <c r="Z17" s="6" cm="1">
        <f t="array" aca="1" ref="Z17" ca="1">IFERROR( INDIRECT(ADDRESS(ROW()+1, COLUMN(), 4, TRUE, "Import-dataset")) / INDIRECT(ADDRESS(ROW(), COLUMN(), 4, TRUE, "Import-dataset")), "" )</f>
        <v>0.93592838463085903</v>
      </c>
      <c r="AA17" s="6" cm="1">
        <f t="array" aca="1" ref="AA17" ca="1">IFERROR( INDIRECT(ADDRESS(ROW()+1, COLUMN(), 4, TRUE, "Import-dataset")) / INDIRECT(ADDRESS(ROW(), COLUMN(), 4, TRUE, "Import-dataset")), "" )</f>
        <v>1.8333333333333333</v>
      </c>
      <c r="AB17" s="6" cm="1">
        <f t="array" aca="1" ref="AB17" ca="1">IFERROR( INDIRECT(ADDRESS(ROW()+1, COLUMN(), 4, TRUE, "Import-dataset")) / INDIRECT(ADDRESS(ROW(), COLUMN(), 4, TRUE, "Import-dataset")), "" )</f>
        <v>0.9349046015712682</v>
      </c>
      <c r="AC17" s="6" cm="1">
        <f t="array" aca="1" ref="AC17" ca="1">IFERROR( INDIRECT(ADDRESS(ROW()+1, COLUMN(), 4, TRUE, "Import-dataset")) / INDIRECT(ADDRESS(ROW(), COLUMN(), 4, TRUE, "Import-dataset")), "" )</f>
        <v>0.92366412213740456</v>
      </c>
      <c r="AD17" s="6" cm="1">
        <f t="array" aca="1" ref="AD17" ca="1">IFERROR( INDIRECT(ADDRESS(ROW()+1, COLUMN(), 4, TRUE, "Import-dataset")) / INDIRECT(ADDRESS(ROW(), COLUMN(), 4, TRUE, "Import-dataset")), "" )</f>
        <v>1.1894736842105262</v>
      </c>
      <c r="AE17" s="6" cm="1">
        <f t="array" aca="1" ref="AE17" ca="1">IFERROR( INDIRECT(ADDRESS(ROW()+1, COLUMN(), 4, TRUE, "Import-dataset")) / INDIRECT(ADDRESS(ROW(), COLUMN(), 4, TRUE, "Import-dataset")), "" )</f>
        <v>1.125</v>
      </c>
      <c r="AF17" s="6" cm="1">
        <f t="array" aca="1" ref="AF17" ca="1">IFERROR( INDIRECT(ADDRESS(ROW()+1, COLUMN(), 4, TRUE, "Import-dataset")) / INDIRECT(ADDRESS(ROW(), COLUMN(), 4, TRUE, "Import-dataset")), "" )</f>
        <v>1.1890756302521008</v>
      </c>
      <c r="AG17" s="6" cm="1">
        <f t="array" aca="1" ref="AG17" ca="1">IFERROR( INDIRECT(ADDRESS(ROW()+1, COLUMN(), 4, TRUE, "Import-dataset")) / INDIRECT(ADDRESS(ROW(), COLUMN(), 4, TRUE, "Import-dataset")), "" )</f>
        <v>1.2121212121212122</v>
      </c>
      <c r="AH17" s="6" cm="1">
        <f t="array" aca="1" ref="AH17" ca="1">IFERROR( INDIRECT(ADDRESS(ROW()+1, COLUMN(), 4, TRUE, "Import-dataset")) / INDIRECT(ADDRESS(ROW(), COLUMN(), 4, TRUE, "Import-dataset")), "" )</f>
        <v>1.0109709270433351</v>
      </c>
      <c r="AI17" s="6" cm="1">
        <f t="array" aca="1" ref="AI17" ca="1">IFERROR( INDIRECT(ADDRESS(ROW()+1, COLUMN(), 4, TRUE, "Import-dataset")) / INDIRECT(ADDRESS(ROW(), COLUMN(), 4, TRUE, "Import-dataset")), "" )</f>
        <v>0.91017074981440238</v>
      </c>
      <c r="AJ17" s="6" cm="1">
        <f t="array" aca="1" ref="AJ17" ca="1">IFERROR( INDIRECT(ADDRESS(ROW()+1, COLUMN(), 4, TRUE, "Import-dataset")) / INDIRECT(ADDRESS(ROW(), COLUMN(), 4, TRUE, "Import-dataset")), "" )</f>
        <v>0.65013774104683197</v>
      </c>
      <c r="AK17" s="6" cm="1">
        <f t="array" aca="1" ref="AK17" ca="1">IFERROR( INDIRECT(ADDRESS(ROW()+1, COLUMN(), 4, TRUE, "Import-dataset")) / INDIRECT(ADDRESS(ROW(), COLUMN(), 4, TRUE, "Import-dataset")), "" )</f>
        <v>0.96276595744680848</v>
      </c>
      <c r="AL17" s="6" cm="1">
        <f t="array" aca="1" ref="AL17" ca="1">IFERROR( INDIRECT(ADDRESS(ROW()+1, COLUMN(), 4, TRUE, "Import-dataset")) / INDIRECT(ADDRESS(ROW(), COLUMN(), 4, TRUE, "Import-dataset")), "" )</f>
        <v>1.1255954958856649</v>
      </c>
      <c r="AM17" s="6" cm="1">
        <f t="array" aca="1" ref="AM17" ca="1">IFERROR( INDIRECT(ADDRESS(ROW()+1, COLUMN(), 4, TRUE, "Import-dataset")) / INDIRECT(ADDRESS(ROW(), COLUMN(), 4, TRUE, "Import-dataset")), "" )</f>
        <v>1.0384615384615385</v>
      </c>
      <c r="AN17" s="6" cm="1">
        <f t="array" aca="1" ref="AN17" ca="1">IFERROR( INDIRECT(ADDRESS(ROW()+1, COLUMN(), 4, TRUE, "Import-dataset")) / INDIRECT(ADDRESS(ROW(), COLUMN(), 4, TRUE, "Import-dataset")), "" )</f>
        <v>0.94831730769230771</v>
      </c>
      <c r="AO17" s="6" cm="1">
        <f t="array" aca="1" ref="AO17" ca="1">IFERROR( INDIRECT(ADDRESS(ROW()+1, COLUMN(), 4, TRUE, "Import-dataset")) / INDIRECT(ADDRESS(ROW(), COLUMN(), 4, TRUE, "Import-dataset")), "" )</f>
        <v>1.0852130325814537</v>
      </c>
      <c r="AP17" s="6" cm="1">
        <f t="array" aca="1" ref="AP17" ca="1">IFERROR( INDIRECT(ADDRESS(ROW()+1, COLUMN(), 4, TRUE, "Import-dataset")) / INDIRECT(ADDRESS(ROW(), COLUMN(), 4, TRUE, "Import-dataset")), "" )</f>
        <v>1.0479102956167177</v>
      </c>
      <c r="AQ17" s="6" cm="1">
        <f t="array" aca="1" ref="AQ17" ca="1">IFERROR( INDIRECT(ADDRESS(ROW()+1, COLUMN(), 4, TRUE, "Import-dataset")) / INDIRECT(ADDRESS(ROW(), COLUMN(), 4, TRUE, "Import-dataset")), "" )</f>
        <v>1.0500347463516331</v>
      </c>
      <c r="AR17" s="6" cm="1">
        <f t="array" aca="1" ref="AR17" ca="1">IFERROR( INDIRECT(ADDRESS(ROW()+1, COLUMN(), 4, TRUE, "Import-dataset")) / INDIRECT(ADDRESS(ROW(), COLUMN(), 4, TRUE, "Import-dataset")), "" )</f>
        <v>1.0998167207105598</v>
      </c>
      <c r="AS17" s="6" cm="1">
        <f t="array" aca="1" ref="AS17" ca="1">IFERROR( INDIRECT(ADDRESS(ROW()+1, COLUMN(), 4, TRUE, "Import-dataset")) / INDIRECT(ADDRESS(ROW(), COLUMN(), 4, TRUE, "Import-dataset")), "" )</f>
        <v>1.0858585858585859</v>
      </c>
      <c r="AT17" s="6" cm="1">
        <f t="array" aca="1" ref="AT17" ca="1">IFERROR( INDIRECT(ADDRESS(ROW()+1, COLUMN(), 4, TRUE, "Import-dataset")) / INDIRECT(ADDRESS(ROW(), COLUMN(), 4, TRUE, "Import-dataset")), "" )</f>
        <v>1.1176470588235294</v>
      </c>
      <c r="AU17" s="6" cm="1">
        <f t="array" aca="1" ref="AU17" ca="1">IFERROR( INDIRECT(ADDRESS(ROW()+1, COLUMN(), 4, TRUE, "Import-dataset")) / INDIRECT(ADDRESS(ROW(), COLUMN(), 4, TRUE, "Import-dataset")), "" )</f>
        <v>1.2462406015037595</v>
      </c>
      <c r="AV17" s="6" cm="1">
        <f t="array" aca="1" ref="AV17" ca="1">IFERROR( INDIRECT(ADDRESS(ROW()+1, COLUMN(), 4, TRUE, "Import-dataset")) / INDIRECT(ADDRESS(ROW(), COLUMN(), 4, TRUE, "Import-dataset")), "" )</f>
        <v>1.0521551724137932</v>
      </c>
      <c r="AW17" s="6" cm="1">
        <f t="array" aca="1" ref="AW17" ca="1">IFERROR( INDIRECT(ADDRESS(ROW()+1, COLUMN(), 4, TRUE, "Import-dataset")) / INDIRECT(ADDRESS(ROW(), COLUMN(), 4, TRUE, "Import-dataset")), "" )</f>
        <v>1.0763419483101391</v>
      </c>
      <c r="AX17" s="6" cm="1">
        <f t="array" aca="1" ref="AX17" ca="1">IFERROR( INDIRECT(ADDRESS(ROW()+1, COLUMN(), 4, TRUE, "Import-dataset")) / INDIRECT(ADDRESS(ROW(), COLUMN(), 4, TRUE, "Import-dataset")), "" )</f>
        <v>1.1077494692144374</v>
      </c>
      <c r="AY17" s="6" cm="1">
        <f t="array" aca="1" ref="AY17" ca="1">IFERROR( INDIRECT(ADDRESS(ROW()+1, COLUMN(), 4, TRUE, "Import-dataset")) / INDIRECT(ADDRESS(ROW(), COLUMN(), 4, TRUE, "Import-dataset")), "" )</f>
        <v>1.1597222222222223</v>
      </c>
      <c r="AZ17" s="6" cm="1">
        <f t="array" aca="1" ref="AZ17" ca="1">IFERROR( INDIRECT(ADDRESS(ROW()+1, COLUMN(), 4, TRUE, "Import-dataset")) / INDIRECT(ADDRESS(ROW(), COLUMN(), 4, TRUE, "Import-dataset")), "" )</f>
        <v>1.0482985729967069</v>
      </c>
      <c r="BA17" s="6" cm="1">
        <f t="array" aca="1" ref="BA17" ca="1">IFERROR( INDIRECT(ADDRESS(ROW()+1, COLUMN(), 4, TRUE, "Import-dataset")) / INDIRECT(ADDRESS(ROW(), COLUMN(), 4, TRUE, "Import-dataset")), "" )</f>
        <v>1.099852616064849</v>
      </c>
      <c r="BB17" s="6" cm="1">
        <f t="array" aca="1" ref="BB17" ca="1">IFERROR( INDIRECT(ADDRESS(ROW()+1, COLUMN(), 4, TRUE, "Import-dataset")) / INDIRECT(ADDRESS(ROW(), COLUMN(), 4, TRUE, "Import-dataset")), "" )</f>
        <v>1.1194798728407829</v>
      </c>
      <c r="BC17" s="6" cm="1">
        <f t="array" aca="1" ref="BC17" ca="1">IFERROR( INDIRECT(ADDRESS(ROW()+1, COLUMN(), 4, TRUE, "Import-dataset")) / INDIRECT(ADDRESS(ROW(), COLUMN(), 4, TRUE, "Import-dataset")), "" )</f>
        <v>1.0134162303664922</v>
      </c>
      <c r="BD17" s="6" cm="1">
        <f t="array" aca="1" ref="BD17" ca="1">IFERROR( INDIRECT(ADDRESS(ROW()+1, COLUMN(), 4, TRUE, "Import-dataset")) / INDIRECT(ADDRESS(ROW(), COLUMN(), 4, TRUE, "Import-dataset")), "" )</f>
        <v>1.141978472578165</v>
      </c>
      <c r="BE17" s="6" cm="1">
        <f t="array" aca="1" ref="BE17" ca="1">IFERROR( INDIRECT(ADDRESS(ROW()+1, COLUMN(), 4, TRUE, "Import-dataset")) / INDIRECT(ADDRESS(ROW(), COLUMN(), 4, TRUE, "Import-dataset")), "" )</f>
        <v>1.1557692307692307</v>
      </c>
      <c r="BF17" s="6" cm="1">
        <f t="array" aca="1" ref="BF17" ca="1">IFERROR( INDIRECT(ADDRESS(ROW()+1, COLUMN(), 4, TRUE, "Import-dataset")) / INDIRECT(ADDRESS(ROW(), COLUMN(), 4, TRUE, "Import-dataset")), "" )</f>
        <v>1.097317631665031</v>
      </c>
      <c r="BG17" s="6" cm="1">
        <f t="array" aca="1" ref="BG17" ca="1">IFERROR( INDIRECT(ADDRESS(ROW()+1, COLUMN(), 4, TRUE, "Import-dataset")) / INDIRECT(ADDRESS(ROW(), COLUMN(), 4, TRUE, "Import-dataset")), "" )</f>
        <v>1.0167305236270754</v>
      </c>
      <c r="BH17" s="6" cm="1">
        <f t="array" aca="1" ref="BH17" ca="1">IFERROR( INDIRECT(ADDRESS(ROW()+1, COLUMN(), 4, TRUE, "Import-dataset")) / INDIRECT(ADDRESS(ROW(), COLUMN(), 4, TRUE, "Import-dataset")), "" )</f>
        <v>0.96301020408163263</v>
      </c>
      <c r="BI17" s="6" cm="1">
        <f t="array" aca="1" ref="BI17" ca="1">IFERROR( INDIRECT(ADDRESS(ROW()+1, COLUMN(), 4, TRUE, "Import-dataset")) / INDIRECT(ADDRESS(ROW(), COLUMN(), 4, TRUE, "Import-dataset")), "" )</f>
        <v>1.0263078318717871</v>
      </c>
      <c r="BJ17" s="6" cm="1">
        <f t="array" aca="1" ref="BJ17" ca="1">IFERROR( INDIRECT(ADDRESS(ROW()+1, COLUMN(), 4, TRUE, "Import-dataset")) / INDIRECT(ADDRESS(ROW(), COLUMN(), 4, TRUE, "Import-dataset")), "" )</f>
        <v>1.1142233795481737</v>
      </c>
      <c r="BK17" s="6" cm="1">
        <f t="array" aca="1" ref="BK17" ca="1">IFERROR( INDIRECT(ADDRESS(ROW()+1, COLUMN(), 4, TRUE, "Import-dataset")) / INDIRECT(ADDRESS(ROW(), COLUMN(), 4, TRUE, "Import-dataset")), "" )</f>
        <v>2.1276522929500343</v>
      </c>
      <c r="BL17" s="6" cm="1">
        <f t="array" aca="1" ref="BL17" ca="1">IFERROR( INDIRECT(ADDRESS(ROW()+1, COLUMN(), 4, TRUE, "Import-dataset")) / INDIRECT(ADDRESS(ROW(), COLUMN(), 4, TRUE, "Import-dataset")), "" )</f>
        <v>1.0789813402182842</v>
      </c>
      <c r="BM17" s="6" cm="1">
        <f t="array" aca="1" ref="BM17" ca="1">IFERROR( INDIRECT(ADDRESS(ROW()+1, COLUMN(), 4, TRUE, "Import-dataset")) / INDIRECT(ADDRESS(ROW(), COLUMN(), 4, TRUE, "Import-dataset")), "" )</f>
        <v>1.0771208226221081</v>
      </c>
      <c r="BN17" s="6" cm="1">
        <f t="array" aca="1" ref="BN17" ca="1">IFERROR( INDIRECT(ADDRESS(ROW()+1, COLUMN(), 4, TRUE, "Import-dataset")) / INDIRECT(ADDRESS(ROW(), COLUMN(), 4, TRUE, "Import-dataset")), "" )</f>
        <v>1.2258635961027458</v>
      </c>
      <c r="BO17" s="6" cm="1">
        <f t="array" aca="1" ref="BO17" ca="1">IFERROR( INDIRECT(ADDRESS(ROW()+1, COLUMN(), 4, TRUE, "Import-dataset")) / INDIRECT(ADDRESS(ROW(), COLUMN(), 4, TRUE, "Import-dataset")), "" )</f>
        <v>0.97903563941299787</v>
      </c>
      <c r="BP17" s="6" cm="1">
        <f t="array" aca="1" ref="BP17" ca="1">IFERROR( INDIRECT(ADDRESS(ROW()+1, COLUMN(), 4, TRUE, "Import-dataset")) / INDIRECT(ADDRESS(ROW(), COLUMN(), 4, TRUE, "Import-dataset")), "" )</f>
        <v>1.0549242424242424</v>
      </c>
      <c r="BQ17" s="6" cm="1">
        <f t="array" aca="1" ref="BQ17" ca="1">IFERROR( INDIRECT(ADDRESS(ROW()+1, COLUMN(), 4, TRUE, "Import-dataset")) / INDIRECT(ADDRESS(ROW(), COLUMN(), 4, TRUE, "Import-dataset")), "" )</f>
        <v>1.1001064962726304</v>
      </c>
      <c r="BR17" s="6" cm="1">
        <f t="array" aca="1" ref="BR17" ca="1">IFERROR( INDIRECT(ADDRESS(ROW()+1, COLUMN(), 4, TRUE, "Import-dataset")) / INDIRECT(ADDRESS(ROW(), COLUMN(), 4, TRUE, "Import-dataset")), "" )</f>
        <v>1.0033647375504711</v>
      </c>
      <c r="BS17" s="6" cm="1">
        <f t="array" aca="1" ref="BS17" ca="1">IFERROR( INDIRECT(ADDRESS(ROW()+1, COLUMN(), 4, TRUE, "Import-dataset")) / INDIRECT(ADDRESS(ROW(), COLUMN(), 4, TRUE, "Import-dataset")), "" )</f>
        <v>0.96466212027278364</v>
      </c>
      <c r="BT17" s="6" cm="1">
        <f t="array" aca="1" ref="BT17" ca="1">IFERROR( INDIRECT(ADDRESS(ROW()+1, COLUMN(), 4, TRUE, "Import-dataset")) / INDIRECT(ADDRESS(ROW(), COLUMN(), 4, TRUE, "Import-dataset")), "" )</f>
        <v>1.1339313818067358</v>
      </c>
      <c r="BU17" s="6" cm="1">
        <f t="array" aca="1" ref="BU17" ca="1">IFERROR( INDIRECT(ADDRESS(ROW()+1, COLUMN(), 4, TRUE, "Import-dataset")) / INDIRECT(ADDRESS(ROW(), COLUMN(), 4, TRUE, "Import-dataset")), "" )</f>
        <v>1.3658848614072494</v>
      </c>
      <c r="BV17" s="6" cm="1">
        <f t="array" aca="1" ref="BV17" ca="1">IFERROR( INDIRECT(ADDRESS(ROW()+1, COLUMN(), 4, TRUE, "Import-dataset")) / INDIRECT(ADDRESS(ROW(), COLUMN(), 4, TRUE, "Import-dataset")), "" )</f>
        <v>0.93023255813953487</v>
      </c>
      <c r="BW17" s="6" cm="1">
        <f t="array" aca="1" ref="BW17" ca="1">IFERROR( INDIRECT(ADDRESS(ROW()+1, COLUMN(), 4, TRUE, "Import-dataset")) / INDIRECT(ADDRESS(ROW(), COLUMN(), 4, TRUE, "Import-dataset")), "" )</f>
        <v>1.1428571428571428</v>
      </c>
      <c r="BX17" s="6" t="str" cm="1">
        <f t="array" aca="1" ref="BX17" ca="1">IFERROR( INDIRECT(ADDRESS(ROW()+1, COLUMN(), 4, TRUE, "Import-dataset")) / INDIRECT(ADDRESS(ROW(), COLUMN(), 4, TRUE, "Import-dataset")), "" )</f>
        <v/>
      </c>
      <c r="BY17" s="6" cm="1">
        <f t="array" aca="1" ref="BY17" ca="1">IFERROR( INDIRECT(ADDRESS(ROW()+1, COLUMN(), 4, TRUE, "Import-dataset")) / INDIRECT(ADDRESS(ROW(), COLUMN(), 4, TRUE, "Import-dataset")), "" )</f>
        <v>1.1661252900232018</v>
      </c>
      <c r="BZ17" s="6" cm="1">
        <f t="array" aca="1" ref="BZ17" ca="1">IFERROR( INDIRECT(ADDRESS(ROW()+1, COLUMN(), 4, TRUE, "Import-dataset")) / INDIRECT(ADDRESS(ROW(), COLUMN(), 4, TRUE, "Import-dataset")), "" )</f>
        <v>4.6594202898550723</v>
      </c>
      <c r="CA17" s="6" cm="1">
        <f t="array" aca="1" ref="CA17" ca="1">IFERROR( INDIRECT(ADDRESS(ROW()+1, COLUMN(), 4, TRUE, "Import-dataset")) / INDIRECT(ADDRESS(ROW(), COLUMN(), 4, TRUE, "Import-dataset")), "" )</f>
        <v>1.0842498619898935</v>
      </c>
    </row>
    <row r="18" spans="1:79">
      <c r="A18" s="6" t="s">
        <v>175</v>
      </c>
      <c r="B18" s="6" cm="1">
        <f t="array" aca="1" ref="B18" ca="1">IFERROR( INDIRECT(ADDRESS(ROW()+1, COLUMN(), 4, TRUE, "Import-dataset")) / INDIRECT(ADDRESS(ROW(), COLUMN(), 4, TRUE, "Import-dataset")), "" )</f>
        <v>1.0833857112926881</v>
      </c>
      <c r="C18" s="6" cm="1">
        <f t="array" aca="1" ref="C18" ca="1">IFERROR( INDIRECT(ADDRESS(ROW()+1, COLUMN(), 4, TRUE, "Import-dataset")) / INDIRECT(ADDRESS(ROW(), COLUMN(), 4, TRUE, "Import-dataset")), "" )</f>
        <v>0.96470588235294119</v>
      </c>
      <c r="D18" s="6" cm="1">
        <f t="array" aca="1" ref="D18" ca="1">IFERROR( INDIRECT(ADDRESS(ROW()+1, COLUMN(), 4, TRUE, "Import-dataset")) / INDIRECT(ADDRESS(ROW(), COLUMN(), 4, TRUE, "Import-dataset")), "" )</f>
        <v>1.0684931506849316</v>
      </c>
      <c r="E18" s="6" cm="1">
        <f t="array" aca="1" ref="E18" ca="1">IFERROR( INDIRECT(ADDRESS(ROW()+1, COLUMN(), 4, TRUE, "Import-dataset")) / INDIRECT(ADDRESS(ROW(), COLUMN(), 4, TRUE, "Import-dataset")), "" )</f>
        <v>1.0777027027027026</v>
      </c>
      <c r="F18" s="6" cm="1">
        <f t="array" aca="1" ref="F18" ca="1">IFERROR( INDIRECT(ADDRESS(ROW()+1, COLUMN(), 4, TRUE, "Import-dataset")) / INDIRECT(ADDRESS(ROW(), COLUMN(), 4, TRUE, "Import-dataset")), "" )</f>
        <v>1.0337690631808278</v>
      </c>
      <c r="G18" s="6" cm="1">
        <f t="array" aca="1" ref="G18" ca="1">IFERROR( INDIRECT(ADDRESS(ROW()+1, COLUMN(), 4, TRUE, "Import-dataset")) / INDIRECT(ADDRESS(ROW(), COLUMN(), 4, TRUE, "Import-dataset")), "" )</f>
        <v>1.3543046357615893</v>
      </c>
      <c r="H18" s="6" cm="1">
        <f t="array" aca="1" ref="H18" ca="1">IFERROR( INDIRECT(ADDRESS(ROW()+1, COLUMN(), 4, TRUE, "Import-dataset")) / INDIRECT(ADDRESS(ROW(), COLUMN(), 4, TRUE, "Import-dataset")), "" )</f>
        <v>1.1012658227848102</v>
      </c>
      <c r="I18" s="6" cm="1">
        <f t="array" aca="1" ref="I18" ca="1">IFERROR( INDIRECT(ADDRESS(ROW()+1, COLUMN(), 4, TRUE, "Import-dataset")) / INDIRECT(ADDRESS(ROW(), COLUMN(), 4, TRUE, "Import-dataset")), "" )</f>
        <v>1.2715231788079471</v>
      </c>
      <c r="J18" s="6" cm="1">
        <f t="array" aca="1" ref="J18" ca="1">IFERROR( INDIRECT(ADDRESS(ROW()+1, COLUMN(), 4, TRUE, "Import-dataset")) / INDIRECT(ADDRESS(ROW(), COLUMN(), 4, TRUE, "Import-dataset")), "" )</f>
        <v>1.0060060060060061</v>
      </c>
      <c r="K18" s="6" cm="1">
        <f t="array" aca="1" ref="K18" ca="1">IFERROR( INDIRECT(ADDRESS(ROW()+1, COLUMN(), 4, TRUE, "Import-dataset")) / INDIRECT(ADDRESS(ROW(), COLUMN(), 4, TRUE, "Import-dataset")), "" )</f>
        <v>1.0264900662251655</v>
      </c>
      <c r="L18" s="6" cm="1">
        <f t="array" aca="1" ref="L18" ca="1">IFERROR( INDIRECT(ADDRESS(ROW()+1, COLUMN(), 4, TRUE, "Import-dataset")) / INDIRECT(ADDRESS(ROW(), COLUMN(), 4, TRUE, "Import-dataset")), "" )</f>
        <v>1.0847983453981385</v>
      </c>
      <c r="M18" s="6" cm="1">
        <f t="array" aca="1" ref="M18" ca="1">IFERROR( INDIRECT(ADDRESS(ROW()+1, COLUMN(), 4, TRUE, "Import-dataset")) / INDIRECT(ADDRESS(ROW(), COLUMN(), 4, TRUE, "Import-dataset")), "" )</f>
        <v>0.99173553719008267</v>
      </c>
      <c r="N18" s="6" cm="1">
        <f t="array" aca="1" ref="N18" ca="1">IFERROR( INDIRECT(ADDRESS(ROW()+1, COLUMN(), 4, TRUE, "Import-dataset")) / INDIRECT(ADDRESS(ROW(), COLUMN(), 4, TRUE, "Import-dataset")), "" )</f>
        <v>1.0352422907488987</v>
      </c>
      <c r="O18" s="6" cm="1">
        <f t="array" aca="1" ref="O18" ca="1">IFERROR( INDIRECT(ADDRESS(ROW()+1, COLUMN(), 4, TRUE, "Import-dataset")) / INDIRECT(ADDRESS(ROW(), COLUMN(), 4, TRUE, "Import-dataset")), "" )</f>
        <v>0.89436619718309862</v>
      </c>
      <c r="P18" s="6" cm="1">
        <f t="array" aca="1" ref="P18" ca="1">IFERROR( INDIRECT(ADDRESS(ROW()+1, COLUMN(), 4, TRUE, "Import-dataset")) / INDIRECT(ADDRESS(ROW(), COLUMN(), 4, TRUE, "Import-dataset")), "" )</f>
        <v>1.0286472148541115</v>
      </c>
      <c r="Q18" s="6" cm="1">
        <f t="array" aca="1" ref="Q18" ca="1">IFERROR( INDIRECT(ADDRESS(ROW()+1, COLUMN(), 4, TRUE, "Import-dataset")) / INDIRECT(ADDRESS(ROW(), COLUMN(), 4, TRUE, "Import-dataset")), "" )</f>
        <v>0.66666666666666663</v>
      </c>
      <c r="R18" s="6" cm="1">
        <f t="array" aca="1" ref="R18" ca="1">IFERROR( INDIRECT(ADDRESS(ROW()+1, COLUMN(), 4, TRUE, "Import-dataset")) / INDIRECT(ADDRESS(ROW(), COLUMN(), 4, TRUE, "Import-dataset")), "" )</f>
        <v>1.5777777777777777</v>
      </c>
      <c r="S18" s="6" cm="1">
        <f t="array" aca="1" ref="S18" ca="1">IFERROR( INDIRECT(ADDRESS(ROW()+1, COLUMN(), 4, TRUE, "Import-dataset")) / INDIRECT(ADDRESS(ROW(), COLUMN(), 4, TRUE, "Import-dataset")), "" )</f>
        <v>1.0901639344262295</v>
      </c>
      <c r="T18" s="6" cm="1">
        <f t="array" aca="1" ref="T18" ca="1">IFERROR( INDIRECT(ADDRESS(ROW()+1, COLUMN(), 4, TRUE, "Import-dataset")) / INDIRECT(ADDRESS(ROW(), COLUMN(), 4, TRUE, "Import-dataset")), "" )</f>
        <v>1.0659536541889483</v>
      </c>
      <c r="U18" s="6" cm="1">
        <f t="array" aca="1" ref="U18" ca="1">IFERROR( INDIRECT(ADDRESS(ROW()+1, COLUMN(), 4, TRUE, "Import-dataset")) / INDIRECT(ADDRESS(ROW(), COLUMN(), 4, TRUE, "Import-dataset")), "" )</f>
        <v>0.92828685258964139</v>
      </c>
      <c r="V18" s="6" cm="1">
        <f t="array" aca="1" ref="V18" ca="1">IFERROR( INDIRECT(ADDRESS(ROW()+1, COLUMN(), 4, TRUE, "Import-dataset")) / INDIRECT(ADDRESS(ROW(), COLUMN(), 4, TRUE, "Import-dataset")), "" )</f>
        <v>1.0245398773006136</v>
      </c>
      <c r="W18" s="6" cm="1">
        <f t="array" aca="1" ref="W18" ca="1">IFERROR( INDIRECT(ADDRESS(ROW()+1, COLUMN(), 4, TRUE, "Import-dataset")) / INDIRECT(ADDRESS(ROW(), COLUMN(), 4, TRUE, "Import-dataset")), "" )</f>
        <v>0.91747572815533984</v>
      </c>
      <c r="X18" s="6" cm="1">
        <f t="array" aca="1" ref="X18" ca="1">IFERROR( INDIRECT(ADDRESS(ROW()+1, COLUMN(), 4, TRUE, "Import-dataset")) / INDIRECT(ADDRESS(ROW(), COLUMN(), 4, TRUE, "Import-dataset")), "" )</f>
        <v>1.0756972111553784</v>
      </c>
      <c r="Y18" s="6" cm="1">
        <f t="array" aca="1" ref="Y18" ca="1">IFERROR( INDIRECT(ADDRESS(ROW()+1, COLUMN(), 4, TRUE, "Import-dataset")) / INDIRECT(ADDRESS(ROW(), COLUMN(), 4, TRUE, "Import-dataset")), "" )</f>
        <v>0.96819787985865724</v>
      </c>
      <c r="Z18" s="6" cm="1">
        <f t="array" aca="1" ref="Z18" ca="1">IFERROR( INDIRECT(ADDRESS(ROW()+1, COLUMN(), 4, TRUE, "Import-dataset")) / INDIRECT(ADDRESS(ROW(), COLUMN(), 4, TRUE, "Import-dataset")), "" )</f>
        <v>1.078022568511553</v>
      </c>
      <c r="AA18" s="6" cm="1">
        <f t="array" aca="1" ref="AA18" ca="1">IFERROR( INDIRECT(ADDRESS(ROW()+1, COLUMN(), 4, TRUE, "Import-dataset")) / INDIRECT(ADDRESS(ROW(), COLUMN(), 4, TRUE, "Import-dataset")), "" )</f>
        <v>0.77272727272727271</v>
      </c>
      <c r="AB18" s="6" cm="1">
        <f t="array" aca="1" ref="AB18" ca="1">IFERROR( INDIRECT(ADDRESS(ROW()+1, COLUMN(), 4, TRUE, "Import-dataset")) / INDIRECT(ADDRESS(ROW(), COLUMN(), 4, TRUE, "Import-dataset")), "" )</f>
        <v>1.0822874604387209</v>
      </c>
      <c r="AC18" s="6" cm="1">
        <f t="array" aca="1" ref="AC18" ca="1">IFERROR( INDIRECT(ADDRESS(ROW()+1, COLUMN(), 4, TRUE, "Import-dataset")) / INDIRECT(ADDRESS(ROW(), COLUMN(), 4, TRUE, "Import-dataset")), "" )</f>
        <v>0.81818181818181823</v>
      </c>
      <c r="AD18" s="6" cm="1">
        <f t="array" aca="1" ref="AD18" ca="1">IFERROR( INDIRECT(ADDRESS(ROW()+1, COLUMN(), 4, TRUE, "Import-dataset")) / INDIRECT(ADDRESS(ROW(), COLUMN(), 4, TRUE, "Import-dataset")), "" )</f>
        <v>1.0471976401179941</v>
      </c>
      <c r="AE18" s="6" cm="1">
        <f t="array" aca="1" ref="AE18" ca="1">IFERROR( INDIRECT(ADDRESS(ROW()+1, COLUMN(), 4, TRUE, "Import-dataset")) / INDIRECT(ADDRESS(ROW(), COLUMN(), 4, TRUE, "Import-dataset")), "" )</f>
        <v>1.3888888888888888</v>
      </c>
      <c r="AF18" s="6" cm="1">
        <f t="array" aca="1" ref="AF18" ca="1">IFERROR( INDIRECT(ADDRESS(ROW()+1, COLUMN(), 4, TRUE, "Import-dataset")) / INDIRECT(ADDRESS(ROW(), COLUMN(), 4, TRUE, "Import-dataset")), "" )</f>
        <v>1.0247349823321554</v>
      </c>
      <c r="AG18" s="6" cm="1">
        <f t="array" aca="1" ref="AG18" ca="1">IFERROR( INDIRECT(ADDRESS(ROW()+1, COLUMN(), 4, TRUE, "Import-dataset")) / INDIRECT(ADDRESS(ROW(), COLUMN(), 4, TRUE, "Import-dataset")), "" )</f>
        <v>1.05</v>
      </c>
      <c r="AH18" s="6" cm="1">
        <f t="array" aca="1" ref="AH18" ca="1">IFERROR( INDIRECT(ADDRESS(ROW()+1, COLUMN(), 4, TRUE, "Import-dataset")) / INDIRECT(ADDRESS(ROW(), COLUMN(), 4, TRUE, "Import-dataset")), "" )</f>
        <v>1.0130222463374932</v>
      </c>
      <c r="AI18" s="6" cm="1">
        <f t="array" aca="1" ref="AI18" ca="1">IFERROR( INDIRECT(ADDRESS(ROW()+1, COLUMN(), 4, TRUE, "Import-dataset")) / INDIRECT(ADDRESS(ROW(), COLUMN(), 4, TRUE, "Import-dataset")), "" )</f>
        <v>0.96696574225122345</v>
      </c>
      <c r="AJ18" s="6" cm="1">
        <f t="array" aca="1" ref="AJ18" ca="1">IFERROR( INDIRECT(ADDRESS(ROW()+1, COLUMN(), 4, TRUE, "Import-dataset")) / INDIRECT(ADDRESS(ROW(), COLUMN(), 4, TRUE, "Import-dataset")), "" )</f>
        <v>0.97740112994350281</v>
      </c>
      <c r="AK18" s="6" cm="1">
        <f t="array" aca="1" ref="AK18" ca="1">IFERROR( INDIRECT(ADDRESS(ROW()+1, COLUMN(), 4, TRUE, "Import-dataset")) / INDIRECT(ADDRESS(ROW(), COLUMN(), 4, TRUE, "Import-dataset")), "" )</f>
        <v>0.98895027624309395</v>
      </c>
      <c r="AL18" s="6" cm="1">
        <f t="array" aca="1" ref="AL18" ca="1">IFERROR( INDIRECT(ADDRESS(ROW()+1, COLUMN(), 4, TRUE, "Import-dataset")) / INDIRECT(ADDRESS(ROW(), COLUMN(), 4, TRUE, "Import-dataset")), "" )</f>
        <v>1.0631011927664487</v>
      </c>
      <c r="AM18" s="6" cm="1">
        <f t="array" aca="1" ref="AM18" ca="1">IFERROR( INDIRECT(ADDRESS(ROW()+1, COLUMN(), 4, TRUE, "Import-dataset")) / INDIRECT(ADDRESS(ROW(), COLUMN(), 4, TRUE, "Import-dataset")), "" )</f>
        <v>1.0436213991769547</v>
      </c>
      <c r="AN18" s="6" cm="1">
        <f t="array" aca="1" ref="AN18" ca="1">IFERROR( INDIRECT(ADDRESS(ROW()+1, COLUMN(), 4, TRUE, "Import-dataset")) / INDIRECT(ADDRESS(ROW(), COLUMN(), 4, TRUE, "Import-dataset")), "" )</f>
        <v>0.97211660329531047</v>
      </c>
      <c r="AO18" s="6" cm="1">
        <f t="array" aca="1" ref="AO18" ca="1">IFERROR( INDIRECT(ADDRESS(ROW()+1, COLUMN(), 4, TRUE, "Import-dataset")) / INDIRECT(ADDRESS(ROW(), COLUMN(), 4, TRUE, "Import-dataset")), "" )</f>
        <v>0.98460354118552729</v>
      </c>
      <c r="AP18" s="6" cm="1">
        <f t="array" aca="1" ref="AP18" ca="1">IFERROR( INDIRECT(ADDRESS(ROW()+1, COLUMN(), 4, TRUE, "Import-dataset")) / INDIRECT(ADDRESS(ROW(), COLUMN(), 4, TRUE, "Import-dataset")), "" )</f>
        <v>1.0116731517509727</v>
      </c>
      <c r="AQ18" s="6" cm="1">
        <f t="array" aca="1" ref="AQ18" ca="1">IFERROR( INDIRECT(ADDRESS(ROW()+1, COLUMN(), 4, TRUE, "Import-dataset")) / INDIRECT(ADDRESS(ROW(), COLUMN(), 4, TRUE, "Import-dataset")), "" )</f>
        <v>0.9649238914626076</v>
      </c>
      <c r="AR18" s="6" cm="1">
        <f t="array" aca="1" ref="AR18" ca="1">IFERROR( INDIRECT(ADDRESS(ROW()+1, COLUMN(), 4, TRUE, "Import-dataset")) / INDIRECT(ADDRESS(ROW(), COLUMN(), 4, TRUE, "Import-dataset")), "" )</f>
        <v>1.0132675298038714</v>
      </c>
      <c r="AS18" s="6" cm="1">
        <f t="array" aca="1" ref="AS18" ca="1">IFERROR( INDIRECT(ADDRESS(ROW()+1, COLUMN(), 4, TRUE, "Import-dataset")) / INDIRECT(ADDRESS(ROW(), COLUMN(), 4, TRUE, "Import-dataset")), "" )</f>
        <v>0.80930232558139537</v>
      </c>
      <c r="AT18" s="6" cm="1">
        <f t="array" aca="1" ref="AT18" ca="1">IFERROR( INDIRECT(ADDRESS(ROW()+1, COLUMN(), 4, TRUE, "Import-dataset")) / INDIRECT(ADDRESS(ROW(), COLUMN(), 4, TRUE, "Import-dataset")), "" )</f>
        <v>1.012280701754386</v>
      </c>
      <c r="AU18" s="6" cm="1">
        <f t="array" aca="1" ref="AU18" ca="1">IFERROR( INDIRECT(ADDRESS(ROW()+1, COLUMN(), 4, TRUE, "Import-dataset")) / INDIRECT(ADDRESS(ROW(), COLUMN(), 4, TRUE, "Import-dataset")), "" )</f>
        <v>0.99095022624434392</v>
      </c>
      <c r="AV18" s="6" cm="1">
        <f t="array" aca="1" ref="AV18" ca="1">IFERROR( INDIRECT(ADDRESS(ROW()+1, COLUMN(), 4, TRUE, "Import-dataset")) / INDIRECT(ADDRESS(ROW(), COLUMN(), 4, TRUE, "Import-dataset")), "" )</f>
        <v>1.0139287177386318</v>
      </c>
      <c r="AW18" s="6" cm="1">
        <f t="array" aca="1" ref="AW18" ca="1">IFERROR( INDIRECT(ADDRESS(ROW()+1, COLUMN(), 4, TRUE, "Import-dataset")) / INDIRECT(ADDRESS(ROW(), COLUMN(), 4, TRUE, "Import-dataset")), "" )</f>
        <v>0.9423716291097155</v>
      </c>
      <c r="AX18" s="6" cm="1">
        <f t="array" aca="1" ref="AX18" ca="1">IFERROR( INDIRECT(ADDRESS(ROW()+1, COLUMN(), 4, TRUE, "Import-dataset")) / INDIRECT(ADDRESS(ROW(), COLUMN(), 4, TRUE, "Import-dataset")), "" )</f>
        <v>0.98418782942022043</v>
      </c>
      <c r="AY18" s="6" cm="1">
        <f t="array" aca="1" ref="AY18" ca="1">IFERROR( INDIRECT(ADDRESS(ROW()+1, COLUMN(), 4, TRUE, "Import-dataset")) / INDIRECT(ADDRESS(ROW(), COLUMN(), 4, TRUE, "Import-dataset")), "" )</f>
        <v>1.0876428960261295</v>
      </c>
      <c r="AZ18" s="6" cm="1">
        <f t="array" aca="1" ref="AZ18" ca="1">IFERROR( INDIRECT(ADDRESS(ROW()+1, COLUMN(), 4, TRUE, "Import-dataset")) / INDIRECT(ADDRESS(ROW(), COLUMN(), 4, TRUE, "Import-dataset")), "" )</f>
        <v>1.0931937172774868</v>
      </c>
      <c r="BA18" s="6" cm="1">
        <f t="array" aca="1" ref="BA18" ca="1">IFERROR( INDIRECT(ADDRESS(ROW()+1, COLUMN(), 4, TRUE, "Import-dataset")) / INDIRECT(ADDRESS(ROW(), COLUMN(), 4, TRUE, "Import-dataset")), "" )</f>
        <v>1.0452261306532664</v>
      </c>
      <c r="BB18" s="6" cm="1">
        <f t="array" aca="1" ref="BB18" ca="1">IFERROR( INDIRECT(ADDRESS(ROW()+1, COLUMN(), 4, TRUE, "Import-dataset")) / INDIRECT(ADDRESS(ROW(), COLUMN(), 4, TRUE, "Import-dataset")), "" )</f>
        <v>1.0121456797304</v>
      </c>
      <c r="BC18" s="6" cm="1">
        <f t="array" aca="1" ref="BC18" ca="1">IFERROR( INDIRECT(ADDRESS(ROW()+1, COLUMN(), 4, TRUE, "Import-dataset")) / INDIRECT(ADDRESS(ROW(), COLUMN(), 4, TRUE, "Import-dataset")), "" )</f>
        <v>0.97223119147562154</v>
      </c>
      <c r="BD18" s="6" cm="1">
        <f t="array" aca="1" ref="BD18" ca="1">IFERROR( INDIRECT(ADDRESS(ROW()+1, COLUMN(), 4, TRUE, "Import-dataset")) / INDIRECT(ADDRESS(ROW(), COLUMN(), 4, TRUE, "Import-dataset")), "" )</f>
        <v>1.0231149012567324</v>
      </c>
      <c r="BE18" s="6" cm="1">
        <f t="array" aca="1" ref="BE18" ca="1">IFERROR( INDIRECT(ADDRESS(ROW()+1, COLUMN(), 4, TRUE, "Import-dataset")) / INDIRECT(ADDRESS(ROW(), COLUMN(), 4, TRUE, "Import-dataset")), "" )</f>
        <v>1.3527454242928452</v>
      </c>
      <c r="BF18" s="6" cm="1">
        <f t="array" aca="1" ref="BF18" ca="1">IFERROR( INDIRECT(ADDRESS(ROW()+1, COLUMN(), 4, TRUE, "Import-dataset")) / INDIRECT(ADDRESS(ROW(), COLUMN(), 4, TRUE, "Import-dataset")), "" )</f>
        <v>1.0368162170219108</v>
      </c>
      <c r="BG18" s="6" cm="1">
        <f t="array" aca="1" ref="BG18" ca="1">IFERROR( INDIRECT(ADDRESS(ROW()+1, COLUMN(), 4, TRUE, "Import-dataset")) / INDIRECT(ADDRESS(ROW(), COLUMN(), 4, TRUE, "Import-dataset")), "" )</f>
        <v>0.9444793367667379</v>
      </c>
      <c r="BH18" s="6" cm="1">
        <f t="array" aca="1" ref="BH18" ca="1">IFERROR( INDIRECT(ADDRESS(ROW()+1, COLUMN(), 4, TRUE, "Import-dataset")) / INDIRECT(ADDRESS(ROW(), COLUMN(), 4, TRUE, "Import-dataset")), "" )</f>
        <v>1.0342899190581309</v>
      </c>
      <c r="BI18" s="6" cm="1">
        <f t="array" aca="1" ref="BI18" ca="1">IFERROR( INDIRECT(ADDRESS(ROW()+1, COLUMN(), 4, TRUE, "Import-dataset")) / INDIRECT(ADDRESS(ROW(), COLUMN(), 4, TRUE, "Import-dataset")), "" )</f>
        <v>1.0160577489687683</v>
      </c>
      <c r="BJ18" s="6" cm="1">
        <f t="array" aca="1" ref="BJ18" ca="1">IFERROR( INDIRECT(ADDRESS(ROW()+1, COLUMN(), 4, TRUE, "Import-dataset")) / INDIRECT(ADDRESS(ROW(), COLUMN(), 4, TRUE, "Import-dataset")), "" )</f>
        <v>1.0870389085396666</v>
      </c>
      <c r="BK18" s="6" cm="1">
        <f t="array" aca="1" ref="BK18" ca="1">IFERROR( INDIRECT(ADDRESS(ROW()+1, COLUMN(), 4, TRUE, "Import-dataset")) / INDIRECT(ADDRESS(ROW(), COLUMN(), 4, TRUE, "Import-dataset")), "" )</f>
        <v>0.83191249798938394</v>
      </c>
      <c r="BL18" s="6" cm="1">
        <f t="array" aca="1" ref="BL18" ca="1">IFERROR( INDIRECT(ADDRESS(ROW()+1, COLUMN(), 4, TRUE, "Import-dataset")) / INDIRECT(ADDRESS(ROW(), COLUMN(), 4, TRUE, "Import-dataset")), "" )</f>
        <v>0.99782466826190996</v>
      </c>
      <c r="BM18" s="6" cm="1">
        <f t="array" aca="1" ref="BM18" ca="1">IFERROR( INDIRECT(ADDRESS(ROW()+1, COLUMN(), 4, TRUE, "Import-dataset")) / INDIRECT(ADDRESS(ROW(), COLUMN(), 4, TRUE, "Import-dataset")), "" )</f>
        <v>1.0763723150357996</v>
      </c>
      <c r="BN18" s="6" cm="1">
        <f t="array" aca="1" ref="BN18" ca="1">IFERROR( INDIRECT(ADDRESS(ROW()+1, COLUMN(), 4, TRUE, "Import-dataset")) / INDIRECT(ADDRESS(ROW(), COLUMN(), 4, TRUE, "Import-dataset")), "" )</f>
        <v>1.0946531791907514</v>
      </c>
      <c r="BO18" s="6" cm="1">
        <f t="array" aca="1" ref="BO18" ca="1">IFERROR( INDIRECT(ADDRESS(ROW()+1, COLUMN(), 4, TRUE, "Import-dataset")) / INDIRECT(ADDRESS(ROW(), COLUMN(), 4, TRUE, "Import-dataset")), "" )</f>
        <v>1.0042826552462527</v>
      </c>
      <c r="BP18" s="6" cm="1">
        <f t="array" aca="1" ref="BP18" ca="1">IFERROR( INDIRECT(ADDRESS(ROW()+1, COLUMN(), 4, TRUE, "Import-dataset")) / INDIRECT(ADDRESS(ROW(), COLUMN(), 4, TRUE, "Import-dataset")), "" )</f>
        <v>1.0062836624775584</v>
      </c>
      <c r="BQ18" s="6" cm="1">
        <f t="array" aca="1" ref="BQ18" ca="1">IFERROR( INDIRECT(ADDRESS(ROW()+1, COLUMN(), 4, TRUE, "Import-dataset")) / INDIRECT(ADDRESS(ROW(), COLUMN(), 4, TRUE, "Import-dataset")), "" )</f>
        <v>0.88770571151984512</v>
      </c>
      <c r="BR18" s="6" cm="1">
        <f t="array" aca="1" ref="BR18" ca="1">IFERROR( INDIRECT(ADDRESS(ROW()+1, COLUMN(), 4, TRUE, "Import-dataset")) / INDIRECT(ADDRESS(ROW(), COLUMN(), 4, TRUE, "Import-dataset")), "" )</f>
        <v>1.027833668678739</v>
      </c>
      <c r="BS18" s="6" cm="1">
        <f t="array" aca="1" ref="BS18" ca="1">IFERROR( INDIRECT(ADDRESS(ROW()+1, COLUMN(), 4, TRUE, "Import-dataset")) / INDIRECT(ADDRESS(ROW(), COLUMN(), 4, TRUE, "Import-dataset")), "" )</f>
        <v>0.88560411311053988</v>
      </c>
      <c r="BT18" s="6" cm="1">
        <f t="array" aca="1" ref="BT18" ca="1">IFERROR( INDIRECT(ADDRESS(ROW()+1, COLUMN(), 4, TRUE, "Import-dataset")) / INDIRECT(ADDRESS(ROW(), COLUMN(), 4, TRUE, "Import-dataset")), "" )</f>
        <v>0.99764052741151976</v>
      </c>
      <c r="BU18" s="6" cm="1">
        <f t="array" aca="1" ref="BU18" ca="1">IFERROR( INDIRECT(ADDRESS(ROW()+1, COLUMN(), 4, TRUE, "Import-dataset")) / INDIRECT(ADDRESS(ROW(), COLUMN(), 4, TRUE, "Import-dataset")), "" )</f>
        <v>1.0206056821729628</v>
      </c>
      <c r="BV18" s="6" cm="1">
        <f t="array" aca="1" ref="BV18" ca="1">IFERROR( INDIRECT(ADDRESS(ROW()+1, COLUMN(), 4, TRUE, "Import-dataset")) / INDIRECT(ADDRESS(ROW(), COLUMN(), 4, TRUE, "Import-dataset")), "" )</f>
        <v>0.72499999999999998</v>
      </c>
      <c r="BW18" s="6" cm="1">
        <f t="array" aca="1" ref="BW18" ca="1">IFERROR( INDIRECT(ADDRESS(ROW()+1, COLUMN(), 4, TRUE, "Import-dataset")) / INDIRECT(ADDRESS(ROW(), COLUMN(), 4, TRUE, "Import-dataset")), "" )</f>
        <v>0.25</v>
      </c>
      <c r="BX18" s="6" t="str" cm="1">
        <f t="array" aca="1" ref="BX18" ca="1">IFERROR( INDIRECT(ADDRESS(ROW()+1, COLUMN(), 4, TRUE, "Import-dataset")) / INDIRECT(ADDRESS(ROW(), COLUMN(), 4, TRUE, "Import-dataset")), "" )</f>
        <v/>
      </c>
      <c r="BY18" s="6" cm="1">
        <f t="array" aca="1" ref="BY18" ca="1">IFERROR( INDIRECT(ADDRESS(ROW()+1, COLUMN(), 4, TRUE, "Import-dataset")) / INDIRECT(ADDRESS(ROW(), COLUMN(), 4, TRUE, "Import-dataset")), "" )</f>
        <v>1.1591723040191007</v>
      </c>
      <c r="BZ18" s="6" cm="1">
        <f t="array" aca="1" ref="BZ18" ca="1">IFERROR( INDIRECT(ADDRESS(ROW()+1, COLUMN(), 4, TRUE, "Import-dataset")) / INDIRECT(ADDRESS(ROW(), COLUMN(), 4, TRUE, "Import-dataset")), "" )</f>
        <v>0.49922239502332816</v>
      </c>
      <c r="CA18" s="6" cm="1">
        <f t="array" aca="1" ref="CA18" ca="1">IFERROR( INDIRECT(ADDRESS(ROW()+1, COLUMN(), 4, TRUE, "Import-dataset")) / INDIRECT(ADDRESS(ROW(), COLUMN(), 4, TRUE, "Import-dataset")), "" )</f>
        <v>1.01816472799906</v>
      </c>
    </row>
    <row r="19" spans="1:79">
      <c r="A19" s="6" t="s">
        <v>176</v>
      </c>
      <c r="B19" s="6" cm="1">
        <f t="array" aca="1" ref="B19" ca="1">IFERROR( INDIRECT(ADDRESS(ROW()+1, COLUMN(), 4, TRUE, "Import-dataset")) / INDIRECT(ADDRESS(ROW(), COLUMN(), 4, TRUE, "Import-dataset")), "" )</f>
        <v>1.0193386192225875</v>
      </c>
      <c r="C19" s="6" cm="1">
        <f t="array" aca="1" ref="C19" ca="1">IFERROR( INDIRECT(ADDRESS(ROW()+1, COLUMN(), 4, TRUE, "Import-dataset")) / INDIRECT(ADDRESS(ROW(), COLUMN(), 4, TRUE, "Import-dataset")), "" )</f>
        <v>0.80487804878048785</v>
      </c>
      <c r="D19" s="6" cm="1">
        <f t="array" aca="1" ref="D19" ca="1">IFERROR( INDIRECT(ADDRESS(ROW()+1, COLUMN(), 4, TRUE, "Import-dataset")) / INDIRECT(ADDRESS(ROW(), COLUMN(), 4, TRUE, "Import-dataset")), "" )</f>
        <v>1.2179487179487178</v>
      </c>
      <c r="E19" s="6" cm="1">
        <f t="array" aca="1" ref="E19" ca="1">IFERROR( INDIRECT(ADDRESS(ROW()+1, COLUMN(), 4, TRUE, "Import-dataset")) / INDIRECT(ADDRESS(ROW(), COLUMN(), 4, TRUE, "Import-dataset")), "" )</f>
        <v>1.109717868338558</v>
      </c>
      <c r="F19" s="6" cm="1">
        <f t="array" aca="1" ref="F19" ca="1">IFERROR( INDIRECT(ADDRESS(ROW()+1, COLUMN(), 4, TRUE, "Import-dataset")) / INDIRECT(ADDRESS(ROW(), COLUMN(), 4, TRUE, "Import-dataset")), "" )</f>
        <v>0.96944151738672291</v>
      </c>
      <c r="G19" s="6" cm="1">
        <f t="array" aca="1" ref="G19" ca="1">IFERROR( INDIRECT(ADDRESS(ROW()+1, COLUMN(), 4, TRUE, "Import-dataset")) / INDIRECT(ADDRESS(ROW(), COLUMN(), 4, TRUE, "Import-dataset")), "" )</f>
        <v>0.93154034229828853</v>
      </c>
      <c r="H19" s="6" cm="1">
        <f t="array" aca="1" ref="H19" ca="1">IFERROR( INDIRECT(ADDRESS(ROW()+1, COLUMN(), 4, TRUE, "Import-dataset")) / INDIRECT(ADDRESS(ROW(), COLUMN(), 4, TRUE, "Import-dataset")), "" )</f>
        <v>1.1086729362591432</v>
      </c>
      <c r="I19" s="6" cm="1">
        <f t="array" aca="1" ref="I19" ca="1">IFERROR( INDIRECT(ADDRESS(ROW()+1, COLUMN(), 4, TRUE, "Import-dataset")) / INDIRECT(ADDRESS(ROW(), COLUMN(), 4, TRUE, "Import-dataset")), "" )</f>
        <v>0.90625</v>
      </c>
      <c r="J19" s="6" cm="1">
        <f t="array" aca="1" ref="J19" ca="1">IFERROR( INDIRECT(ADDRESS(ROW()+1, COLUMN(), 4, TRUE, "Import-dataset")) / INDIRECT(ADDRESS(ROW(), COLUMN(), 4, TRUE, "Import-dataset")), "" )</f>
        <v>1.0014925373134329</v>
      </c>
      <c r="K19" s="6" cm="1">
        <f t="array" aca="1" ref="K19" ca="1">IFERROR( INDIRECT(ADDRESS(ROW()+1, COLUMN(), 4, TRUE, "Import-dataset")) / INDIRECT(ADDRESS(ROW(), COLUMN(), 4, TRUE, "Import-dataset")), "" )</f>
        <v>0.8612903225806452</v>
      </c>
      <c r="L19" s="6" cm="1">
        <f t="array" aca="1" ref="L19" ca="1">IFERROR( INDIRECT(ADDRESS(ROW()+1, COLUMN(), 4, TRUE, "Import-dataset")) / INDIRECT(ADDRESS(ROW(), COLUMN(), 4, TRUE, "Import-dataset")), "" )</f>
        <v>1.0400381315538607</v>
      </c>
      <c r="M19" s="6" cm="1">
        <f t="array" aca="1" ref="M19" ca="1">IFERROR( INDIRECT(ADDRESS(ROW()+1, COLUMN(), 4, TRUE, "Import-dataset")) / INDIRECT(ADDRESS(ROW(), COLUMN(), 4, TRUE, "Import-dataset")), "" )</f>
        <v>0.99062499999999998</v>
      </c>
      <c r="N19" s="6" cm="1">
        <f t="array" aca="1" ref="N19" ca="1">IFERROR( INDIRECT(ADDRESS(ROW()+1, COLUMN(), 4, TRUE, "Import-dataset")) / INDIRECT(ADDRESS(ROW(), COLUMN(), 4, TRUE, "Import-dataset")), "" )</f>
        <v>1.1134751773049645</v>
      </c>
      <c r="O19" s="6" cm="1">
        <f t="array" aca="1" ref="O19" ca="1">IFERROR( INDIRECT(ADDRESS(ROW()+1, COLUMN(), 4, TRUE, "Import-dataset")) / INDIRECT(ADDRESS(ROW(), COLUMN(), 4, TRUE, "Import-dataset")), "" )</f>
        <v>0.64960629921259838</v>
      </c>
      <c r="P19" s="6" cm="1">
        <f t="array" aca="1" ref="P19" ca="1">IFERROR( INDIRECT(ADDRESS(ROW()+1, COLUMN(), 4, TRUE, "Import-dataset")) / INDIRECT(ADDRESS(ROW(), COLUMN(), 4, TRUE, "Import-dataset")), "" )</f>
        <v>0.9757607013924704</v>
      </c>
      <c r="Q19" s="6" cm="1">
        <f t="array" aca="1" ref="Q19" ca="1">IFERROR( INDIRECT(ADDRESS(ROW()+1, COLUMN(), 4, TRUE, "Import-dataset")) / INDIRECT(ADDRESS(ROW(), COLUMN(), 4, TRUE, "Import-dataset")), "" )</f>
        <v>0</v>
      </c>
      <c r="R19" s="6" cm="1">
        <f t="array" aca="1" ref="R19" ca="1">IFERROR( INDIRECT(ADDRESS(ROW()+1, COLUMN(), 4, TRUE, "Import-dataset")) / INDIRECT(ADDRESS(ROW(), COLUMN(), 4, TRUE, "Import-dataset")), "" )</f>
        <v>0.90140845070422537</v>
      </c>
      <c r="S19" s="6" cm="1">
        <f t="array" aca="1" ref="S19" ca="1">IFERROR( INDIRECT(ADDRESS(ROW()+1, COLUMN(), 4, TRUE, "Import-dataset")) / INDIRECT(ADDRESS(ROW(), COLUMN(), 4, TRUE, "Import-dataset")), "" )</f>
        <v>1.0150375939849625</v>
      </c>
      <c r="T19" s="6" cm="1">
        <f t="array" aca="1" ref="T19" ca="1">IFERROR( INDIRECT(ADDRESS(ROW()+1, COLUMN(), 4, TRUE, "Import-dataset")) / INDIRECT(ADDRESS(ROW(), COLUMN(), 4, TRUE, "Import-dataset")), "" )</f>
        <v>1.0050167224080269</v>
      </c>
      <c r="U19" s="6" cm="1">
        <f t="array" aca="1" ref="U19" ca="1">IFERROR( INDIRECT(ADDRESS(ROW()+1, COLUMN(), 4, TRUE, "Import-dataset")) / INDIRECT(ADDRESS(ROW(), COLUMN(), 4, TRUE, "Import-dataset")), "" )</f>
        <v>1.0300429184549356</v>
      </c>
      <c r="V19" s="6" cm="1">
        <f t="array" aca="1" ref="V19" ca="1">IFERROR( INDIRECT(ADDRESS(ROW()+1, COLUMN(), 4, TRUE, "Import-dataset")) / INDIRECT(ADDRESS(ROW(), COLUMN(), 4, TRUE, "Import-dataset")), "" )</f>
        <v>0.92814371257485029</v>
      </c>
      <c r="W19" s="6" cm="1">
        <f t="array" aca="1" ref="W19" ca="1">IFERROR( INDIRECT(ADDRESS(ROW()+1, COLUMN(), 4, TRUE, "Import-dataset")) / INDIRECT(ADDRESS(ROW(), COLUMN(), 4, TRUE, "Import-dataset")), "" )</f>
        <v>0.94179894179894175</v>
      </c>
      <c r="X19" s="6" cm="1">
        <f t="array" aca="1" ref="X19" ca="1">IFERROR( INDIRECT(ADDRESS(ROW()+1, COLUMN(), 4, TRUE, "Import-dataset")) / INDIRECT(ADDRESS(ROW(), COLUMN(), 4, TRUE, "Import-dataset")), "" )</f>
        <v>0.94074074074074077</v>
      </c>
      <c r="Y19" s="6" cm="1">
        <f t="array" aca="1" ref="Y19" ca="1">IFERROR( INDIRECT(ADDRESS(ROW()+1, COLUMN(), 4, TRUE, "Import-dataset")) / INDIRECT(ADDRESS(ROW(), COLUMN(), 4, TRUE, "Import-dataset")), "" )</f>
        <v>0.95620437956204385</v>
      </c>
      <c r="Z19" s="6" cm="1">
        <f t="array" aca="1" ref="Z19" ca="1">IFERROR( INDIRECT(ADDRESS(ROW()+1, COLUMN(), 4, TRUE, "Import-dataset")) / INDIRECT(ADDRESS(ROW(), COLUMN(), 4, TRUE, "Import-dataset")), "" )</f>
        <v>1.2824244840992922</v>
      </c>
      <c r="AA19" s="6" cm="1">
        <f t="array" aca="1" ref="AA19" ca="1">IFERROR( INDIRECT(ADDRESS(ROW()+1, COLUMN(), 4, TRUE, "Import-dataset")) / INDIRECT(ADDRESS(ROW(), COLUMN(), 4, TRUE, "Import-dataset")), "" )</f>
        <v>1.0588235294117647</v>
      </c>
      <c r="AB19" s="6" cm="1">
        <f t="array" aca="1" ref="AB19" ca="1">IFERROR( INDIRECT(ADDRESS(ROW()+1, COLUMN(), 4, TRUE, "Import-dataset")) / INDIRECT(ADDRESS(ROW(), COLUMN(), 4, TRUE, "Import-dataset")), "" )</f>
        <v>1.2806292225471412</v>
      </c>
      <c r="AC19" s="6" cm="1">
        <f t="array" aca="1" ref="AC19" ca="1">IFERROR( INDIRECT(ADDRESS(ROW()+1, COLUMN(), 4, TRUE, "Import-dataset")) / INDIRECT(ADDRESS(ROW(), COLUMN(), 4, TRUE, "Import-dataset")), "" )</f>
        <v>1.4848484848484849</v>
      </c>
      <c r="AD19" s="6" cm="1">
        <f t="array" aca="1" ref="AD19" ca="1">IFERROR( INDIRECT(ADDRESS(ROW()+1, COLUMN(), 4, TRUE, "Import-dataset")) / INDIRECT(ADDRESS(ROW(), COLUMN(), 4, TRUE, "Import-dataset")), "" )</f>
        <v>1.0704225352112675</v>
      </c>
      <c r="AE19" s="6" cm="1">
        <f t="array" aca="1" ref="AE19" ca="1">IFERROR( INDIRECT(ADDRESS(ROW()+1, COLUMN(), 4, TRUE, "Import-dataset")) / INDIRECT(ADDRESS(ROW(), COLUMN(), 4, TRUE, "Import-dataset")), "" )</f>
        <v>0.72</v>
      </c>
      <c r="AF19" s="6" cm="1">
        <f t="array" aca="1" ref="AF19" ca="1">IFERROR( INDIRECT(ADDRESS(ROW()+1, COLUMN(), 4, TRUE, "Import-dataset")) / INDIRECT(ADDRESS(ROW(), COLUMN(), 4, TRUE, "Import-dataset")), "" )</f>
        <v>1.1137931034482758</v>
      </c>
      <c r="AG19" s="6" cm="1">
        <f t="array" aca="1" ref="AG19" ca="1">IFERROR( INDIRECT(ADDRESS(ROW()+1, COLUMN(), 4, TRUE, "Import-dataset")) / INDIRECT(ADDRESS(ROW(), COLUMN(), 4, TRUE, "Import-dataset")), "" )</f>
        <v>1.0238095238095237</v>
      </c>
      <c r="AH19" s="6" cm="1">
        <f t="array" aca="1" ref="AH19" ca="1">IFERROR( INDIRECT(ADDRESS(ROW()+1, COLUMN(), 4, TRUE, "Import-dataset")) / INDIRECT(ADDRESS(ROW(), COLUMN(), 4, TRUE, "Import-dataset")), "" )</f>
        <v>1.0952731655061596</v>
      </c>
      <c r="AI19" s="6" cm="1">
        <f t="array" aca="1" ref="AI19" ca="1">IFERROR( INDIRECT(ADDRESS(ROW()+1, COLUMN(), 4, TRUE, "Import-dataset")) / INDIRECT(ADDRESS(ROW(), COLUMN(), 4, TRUE, "Import-dataset")), "" )</f>
        <v>1.0847743568114721</v>
      </c>
      <c r="AJ19" s="6" cm="1">
        <f t="array" aca="1" ref="AJ19" ca="1">IFERROR( INDIRECT(ADDRESS(ROW()+1, COLUMN(), 4, TRUE, "Import-dataset")) / INDIRECT(ADDRESS(ROW(), COLUMN(), 4, TRUE, "Import-dataset")), "" )</f>
        <v>1.0476878612716762</v>
      </c>
      <c r="AK19" s="6" cm="1">
        <f t="array" aca="1" ref="AK19" ca="1">IFERROR( INDIRECT(ADDRESS(ROW()+1, COLUMN(), 4, TRUE, "Import-dataset")) / INDIRECT(ADDRESS(ROW(), COLUMN(), 4, TRUE, "Import-dataset")), "" )</f>
        <v>0.98882681564245811</v>
      </c>
      <c r="AL19" s="6" cm="1">
        <f t="array" aca="1" ref="AL19" ca="1">IFERROR( INDIRECT(ADDRESS(ROW()+1, COLUMN(), 4, TRUE, "Import-dataset")) / INDIRECT(ADDRESS(ROW(), COLUMN(), 4, TRUE, "Import-dataset")), "" )</f>
        <v>1.1807817589576548</v>
      </c>
      <c r="AM19" s="6" cm="1">
        <f t="array" aca="1" ref="AM19" ca="1">IFERROR( INDIRECT(ADDRESS(ROW()+1, COLUMN(), 4, TRUE, "Import-dataset")) / INDIRECT(ADDRESS(ROW(), COLUMN(), 4, TRUE, "Import-dataset")), "" )</f>
        <v>1.0212933753943219</v>
      </c>
      <c r="AN19" s="6" cm="1">
        <f t="array" aca="1" ref="AN19" ca="1">IFERROR( INDIRECT(ADDRESS(ROW()+1, COLUMN(), 4, TRUE, "Import-dataset")) / INDIRECT(ADDRESS(ROW(), COLUMN(), 4, TRUE, "Import-dataset")), "" )</f>
        <v>1.151238591916558</v>
      </c>
      <c r="AO19" s="6" cm="1">
        <f t="array" aca="1" ref="AO19" ca="1">IFERROR( INDIRECT(ADDRESS(ROW()+1, COLUMN(), 4, TRUE, "Import-dataset")) / INDIRECT(ADDRESS(ROW(), COLUMN(), 4, TRUE, "Import-dataset")), "" )</f>
        <v>0.97185301016419079</v>
      </c>
      <c r="AP19" s="6" cm="1">
        <f t="array" aca="1" ref="AP19" ca="1">IFERROR( INDIRECT(ADDRESS(ROW()+1, COLUMN(), 4, TRUE, "Import-dataset")) / INDIRECT(ADDRESS(ROW(), COLUMN(), 4, TRUE, "Import-dataset")), "" )</f>
        <v>1.0269230769230768</v>
      </c>
      <c r="AQ19" s="6" cm="1">
        <f t="array" aca="1" ref="AQ19" ca="1">IFERROR( INDIRECT(ADDRESS(ROW()+1, COLUMN(), 4, TRUE, "Import-dataset")) / INDIRECT(ADDRESS(ROW(), COLUMN(), 4, TRUE, "Import-dataset")), "" )</f>
        <v>1.0432098765432098</v>
      </c>
      <c r="AR19" s="6" cm="1">
        <f t="array" aca="1" ref="AR19" ca="1">IFERROR( INDIRECT(ADDRESS(ROW()+1, COLUMN(), 4, TRUE, "Import-dataset")) / INDIRECT(ADDRESS(ROW(), COLUMN(), 4, TRUE, "Import-dataset")), "" )</f>
        <v>1.0578784236827123</v>
      </c>
      <c r="AS19" s="6" cm="1">
        <f t="array" aca="1" ref="AS19" ca="1">IFERROR( INDIRECT(ADDRESS(ROW()+1, COLUMN(), 4, TRUE, "Import-dataset")) / INDIRECT(ADDRESS(ROW(), COLUMN(), 4, TRUE, "Import-dataset")), "" )</f>
        <v>0.94252873563218387</v>
      </c>
      <c r="AT19" s="6" cm="1">
        <f t="array" aca="1" ref="AT19" ca="1">IFERROR( INDIRECT(ADDRESS(ROW()+1, COLUMN(), 4, TRUE, "Import-dataset")) / INDIRECT(ADDRESS(ROW(), COLUMN(), 4, TRUE, "Import-dataset")), "" )</f>
        <v>1.0207972270363952</v>
      </c>
      <c r="AU19" s="6" cm="1">
        <f t="array" aca="1" ref="AU19" ca="1">IFERROR( INDIRECT(ADDRESS(ROW()+1, COLUMN(), 4, TRUE, "Import-dataset")) / INDIRECT(ADDRESS(ROW(), COLUMN(), 4, TRUE, "Import-dataset")), "" )</f>
        <v>1.0136986301369864</v>
      </c>
      <c r="AV19" s="6" cm="1">
        <f t="array" aca="1" ref="AV19" ca="1">IFERROR( INDIRECT(ADDRESS(ROW()+1, COLUMN(), 4, TRUE, "Import-dataset")) / INDIRECT(ADDRESS(ROW(), COLUMN(), 4, TRUE, "Import-dataset")), "" )</f>
        <v>1.0133333333333334</v>
      </c>
      <c r="AW19" s="6" cm="1">
        <f t="array" aca="1" ref="AW19" ca="1">IFERROR( INDIRECT(ADDRESS(ROW()+1, COLUMN(), 4, TRUE, "Import-dataset")) / INDIRECT(ADDRESS(ROW(), COLUMN(), 4, TRUE, "Import-dataset")), "" )</f>
        <v>0.97334378675029398</v>
      </c>
      <c r="AX19" s="6" cm="1">
        <f t="array" aca="1" ref="AX19" ca="1">IFERROR( INDIRECT(ADDRESS(ROW()+1, COLUMN(), 4, TRUE, "Import-dataset")) / INDIRECT(ADDRESS(ROW(), COLUMN(), 4, TRUE, "Import-dataset")), "" )</f>
        <v>1.0550146056475171</v>
      </c>
      <c r="AY19" s="6" cm="1">
        <f t="array" aca="1" ref="AY19" ca="1">IFERROR( INDIRECT(ADDRESS(ROW()+1, COLUMN(), 4, TRUE, "Import-dataset")) / INDIRECT(ADDRESS(ROW(), COLUMN(), 4, TRUE, "Import-dataset")), "" )</f>
        <v>1.2477477477477477</v>
      </c>
      <c r="AZ19" s="6" cm="1">
        <f t="array" aca="1" ref="AZ19" ca="1">IFERROR( INDIRECT(ADDRESS(ROW()+1, COLUMN(), 4, TRUE, "Import-dataset")) / INDIRECT(ADDRESS(ROW(), COLUMN(), 4, TRUE, "Import-dataset")), "" )</f>
        <v>0.92432950191570884</v>
      </c>
      <c r="BA19" s="6" cm="1">
        <f t="array" aca="1" ref="BA19" ca="1">IFERROR( INDIRECT(ADDRESS(ROW()+1, COLUMN(), 4, TRUE, "Import-dataset")) / INDIRECT(ADDRESS(ROW(), COLUMN(), 4, TRUE, "Import-dataset")), "" )</f>
        <v>1.1266025641025641</v>
      </c>
      <c r="BB19" s="6" cm="1">
        <f t="array" aca="1" ref="BB19" ca="1">IFERROR( INDIRECT(ADDRESS(ROW()+1, COLUMN(), 4, TRUE, "Import-dataset")) / INDIRECT(ADDRESS(ROW(), COLUMN(), 4, TRUE, "Import-dataset")), "" )</f>
        <v>1.0855882502070411</v>
      </c>
      <c r="BC19" s="6" cm="1">
        <f t="array" aca="1" ref="BC19" ca="1">IFERROR( INDIRECT(ADDRESS(ROW()+1, COLUMN(), 4, TRUE, "Import-dataset")) / INDIRECT(ADDRESS(ROW(), COLUMN(), 4, TRUE, "Import-dataset")), "" )</f>
        <v>1.0365327133842577</v>
      </c>
      <c r="BD19" s="6" cm="1">
        <f t="array" aca="1" ref="BD19" ca="1">IFERROR( INDIRECT(ADDRESS(ROW()+1, COLUMN(), 4, TRUE, "Import-dataset")) / INDIRECT(ADDRESS(ROW(), COLUMN(), 4, TRUE, "Import-dataset")), "" )</f>
        <v>1.2101338012722087</v>
      </c>
      <c r="BE19" s="6" cm="1">
        <f t="array" aca="1" ref="BE19" ca="1">IFERROR( INDIRECT(ADDRESS(ROW()+1, COLUMN(), 4, TRUE, "Import-dataset")) / INDIRECT(ADDRESS(ROW(), COLUMN(), 4, TRUE, "Import-dataset")), "" )</f>
        <v>0.79335793357933582</v>
      </c>
      <c r="BF19" s="6" cm="1">
        <f t="array" aca="1" ref="BF19" ca="1">IFERROR( INDIRECT(ADDRESS(ROW()+1, COLUMN(), 4, TRUE, "Import-dataset")) / INDIRECT(ADDRESS(ROW(), COLUMN(), 4, TRUE, "Import-dataset")), "" )</f>
        <v>1.1098332374928119</v>
      </c>
      <c r="BG19" s="6" cm="1">
        <f t="array" aca="1" ref="BG19" ca="1">IFERROR( INDIRECT(ADDRESS(ROW()+1, COLUMN(), 4, TRUE, "Import-dataset")) / INDIRECT(ADDRESS(ROW(), COLUMN(), 4, TRUE, "Import-dataset")), "" )</f>
        <v>1.0913685330496077</v>
      </c>
      <c r="BH19" s="6" cm="1">
        <f t="array" aca="1" ref="BH19" ca="1">IFERROR( INDIRECT(ADDRESS(ROW()+1, COLUMN(), 4, TRUE, "Import-dataset")) / INDIRECT(ADDRESS(ROW(), COLUMN(), 4, TRUE, "Import-dataset")), "" )</f>
        <v>1.2114399544678429</v>
      </c>
      <c r="BI19" s="6" cm="1">
        <f t="array" aca="1" ref="BI19" ca="1">IFERROR( INDIRECT(ADDRESS(ROW()+1, COLUMN(), 4, TRUE, "Import-dataset")) / INDIRECT(ADDRESS(ROW(), COLUMN(), 4, TRUE, "Import-dataset")), "" )</f>
        <v>1.0898941568798028</v>
      </c>
      <c r="BJ19" s="6" cm="1">
        <f t="array" aca="1" ref="BJ19" ca="1">IFERROR( INDIRECT(ADDRESS(ROW()+1, COLUMN(), 4, TRUE, "Import-dataset")) / INDIRECT(ADDRESS(ROW(), COLUMN(), 4, TRUE, "Import-dataset")), "" )</f>
        <v>1.0701336432306798</v>
      </c>
      <c r="BK19" s="6" cm="1">
        <f t="array" aca="1" ref="BK19" ca="1">IFERROR( INDIRECT(ADDRESS(ROW()+1, COLUMN(), 4, TRUE, "Import-dataset")) / INDIRECT(ADDRESS(ROW(), COLUMN(), 4, TRUE, "Import-dataset")), "" )</f>
        <v>0.88476411446249037</v>
      </c>
      <c r="BL19" s="6" cm="1">
        <f t="array" aca="1" ref="BL19" ca="1">IFERROR( INDIRECT(ADDRESS(ROW()+1, COLUMN(), 4, TRUE, "Import-dataset")) / INDIRECT(ADDRESS(ROW(), COLUMN(), 4, TRUE, "Import-dataset")), "" )</f>
        <v>1.0827883148027033</v>
      </c>
      <c r="BM19" s="6" cm="1">
        <f t="array" aca="1" ref="BM19" ca="1">IFERROR( INDIRECT(ADDRESS(ROW()+1, COLUMN(), 4, TRUE, "Import-dataset")) / INDIRECT(ADDRESS(ROW(), COLUMN(), 4, TRUE, "Import-dataset")), "" )</f>
        <v>1.0953436807095345</v>
      </c>
      <c r="BN19" s="6" cm="1">
        <f t="array" aca="1" ref="BN19" ca="1">IFERROR( INDIRECT(ADDRESS(ROW()+1, COLUMN(), 4, TRUE, "Import-dataset")) / INDIRECT(ADDRESS(ROW(), COLUMN(), 4, TRUE, "Import-dataset")), "" )</f>
        <v>1.1874587458745876</v>
      </c>
      <c r="BO19" s="6" cm="1">
        <f t="array" aca="1" ref="BO19" ca="1">IFERROR( INDIRECT(ADDRESS(ROW()+1, COLUMN(), 4, TRUE, "Import-dataset")) / INDIRECT(ADDRESS(ROW(), COLUMN(), 4, TRUE, "Import-dataset")), "" )</f>
        <v>1.1257995735607675</v>
      </c>
      <c r="BP19" s="6" cm="1">
        <f t="array" aca="1" ref="BP19" ca="1">IFERROR( INDIRECT(ADDRESS(ROW()+1, COLUMN(), 4, TRUE, "Import-dataset")) / INDIRECT(ADDRESS(ROW(), COLUMN(), 4, TRUE, "Import-dataset")), "" )</f>
        <v>1.0779066309842402</v>
      </c>
      <c r="BQ19" s="6" cm="1">
        <f t="array" aca="1" ref="BQ19" ca="1">IFERROR( INDIRECT(ADDRESS(ROW()+1, COLUMN(), 4, TRUE, "Import-dataset")) / INDIRECT(ADDRESS(ROW(), COLUMN(), 4, TRUE, "Import-dataset")), "" )</f>
        <v>1.0479825517993457</v>
      </c>
      <c r="BR19" s="6" cm="1">
        <f t="array" aca="1" ref="BR19" ca="1">IFERROR( INDIRECT(ADDRESS(ROW()+1, COLUMN(), 4, TRUE, "Import-dataset")) / INDIRECT(ADDRESS(ROW(), COLUMN(), 4, TRUE, "Import-dataset")), "" )</f>
        <v>1.1347471451876019</v>
      </c>
      <c r="BS19" s="6" cm="1">
        <f t="array" aca="1" ref="BS19" ca="1">IFERROR( INDIRECT(ADDRESS(ROW()+1, COLUMN(), 4, TRUE, "Import-dataset")) / INDIRECT(ADDRESS(ROW(), COLUMN(), 4, TRUE, "Import-dataset")), "" )</f>
        <v>0.97024673439767783</v>
      </c>
      <c r="BT19" s="6" cm="1">
        <f t="array" aca="1" ref="BT19" ca="1">IFERROR( INDIRECT(ADDRESS(ROW()+1, COLUMN(), 4, TRUE, "Import-dataset")) / INDIRECT(ADDRESS(ROW(), COLUMN(), 4, TRUE, "Import-dataset")), "" )</f>
        <v>1.0646911519198665</v>
      </c>
      <c r="BU19" s="6" cm="1">
        <f t="array" aca="1" ref="BU19" ca="1">IFERROR( INDIRECT(ADDRESS(ROW()+1, COLUMN(), 4, TRUE, "Import-dataset")) / INDIRECT(ADDRESS(ROW(), COLUMN(), 4, TRUE, "Import-dataset")), "" )</f>
        <v>0.82808198225757113</v>
      </c>
      <c r="BV19" s="6" cm="1">
        <f t="array" aca="1" ref="BV19" ca="1">IFERROR( INDIRECT(ADDRESS(ROW()+1, COLUMN(), 4, TRUE, "Import-dataset")) / INDIRECT(ADDRESS(ROW(), COLUMN(), 4, TRUE, "Import-dataset")), "" )</f>
        <v>1</v>
      </c>
      <c r="BW19" s="6" cm="1">
        <f t="array" aca="1" ref="BW19" ca="1">IFERROR( INDIRECT(ADDRESS(ROW()+1, COLUMN(), 4, TRUE, "Import-dataset")) / INDIRECT(ADDRESS(ROW(), COLUMN(), 4, TRUE, "Import-dataset")), "" )</f>
        <v>3.5</v>
      </c>
      <c r="BX19" s="6" t="str" cm="1">
        <f t="array" aca="1" ref="BX19" ca="1">IFERROR( INDIRECT(ADDRESS(ROW()+1, COLUMN(), 4, TRUE, "Import-dataset")) / INDIRECT(ADDRESS(ROW(), COLUMN(), 4, TRUE, "Import-dataset")), "" )</f>
        <v/>
      </c>
      <c r="BY19" s="6" cm="1">
        <f t="array" aca="1" ref="BY19" ca="1">IFERROR( INDIRECT(ADDRESS(ROW()+1, COLUMN(), 4, TRUE, "Import-dataset")) / INDIRECT(ADDRESS(ROW(), COLUMN(), 4, TRUE, "Import-dataset")), "" )</f>
        <v>0.84208719533127363</v>
      </c>
      <c r="BZ19" s="6" cm="1">
        <f t="array" aca="1" ref="BZ19" ca="1">IFERROR( INDIRECT(ADDRESS(ROW()+1, COLUMN(), 4, TRUE, "Import-dataset")) / INDIRECT(ADDRESS(ROW(), COLUMN(), 4, TRUE, "Import-dataset")), "" )</f>
        <v>0.62928348909657317</v>
      </c>
      <c r="CA19" s="6" cm="1">
        <f t="array" aca="1" ref="CA19" ca="1">IFERROR( INDIRECT(ADDRESS(ROW()+1, COLUMN(), 4, TRUE, "Import-dataset")) / INDIRECT(ADDRESS(ROW(), COLUMN(), 4, TRUE, "Import-dataset")), "" )</f>
        <v>1.0866491260462827</v>
      </c>
    </row>
    <row r="20" spans="1:79">
      <c r="A20" s="6" t="s">
        <v>177</v>
      </c>
      <c r="B20" s="6" cm="1">
        <f t="array" aca="1" ref="B20" ca="1">IFERROR( INDIRECT(ADDRESS(ROW()+1, COLUMN(), 4, TRUE, "Import-dataset")) / INDIRECT(ADDRESS(ROW(), COLUMN(), 4, TRUE, "Import-dataset")), "" )</f>
        <v>1.0952380952380953</v>
      </c>
      <c r="C20" s="6" cm="1">
        <f t="array" aca="1" ref="C20" ca="1">IFERROR( INDIRECT(ADDRESS(ROW()+1, COLUMN(), 4, TRUE, "Import-dataset")) / INDIRECT(ADDRESS(ROW(), COLUMN(), 4, TRUE, "Import-dataset")), "" )</f>
        <v>1.4242424242424243</v>
      </c>
      <c r="D20" s="6" cm="1">
        <f t="array" aca="1" ref="D20" ca="1">IFERROR( INDIRECT(ADDRESS(ROW()+1, COLUMN(), 4, TRUE, "Import-dataset")) / INDIRECT(ADDRESS(ROW(), COLUMN(), 4, TRUE, "Import-dataset")), "" )</f>
        <v>1.2771929824561403</v>
      </c>
      <c r="E20" s="6" cm="1">
        <f t="array" aca="1" ref="E20" ca="1">IFERROR( INDIRECT(ADDRESS(ROW()+1, COLUMN(), 4, TRUE, "Import-dataset")) / INDIRECT(ADDRESS(ROW(), COLUMN(), 4, TRUE, "Import-dataset")), "" )</f>
        <v>1.1129943502824859</v>
      </c>
      <c r="F20" s="6" cm="1">
        <f t="array" aca="1" ref="F20" ca="1">IFERROR( INDIRECT(ADDRESS(ROW()+1, COLUMN(), 4, TRUE, "Import-dataset")) / INDIRECT(ADDRESS(ROW(), COLUMN(), 4, TRUE, "Import-dataset")), "" )</f>
        <v>1.0728260869565218</v>
      </c>
      <c r="G20" s="6" cm="1">
        <f t="array" aca="1" ref="G20" ca="1">IFERROR( INDIRECT(ADDRESS(ROW()+1, COLUMN(), 4, TRUE, "Import-dataset")) / INDIRECT(ADDRESS(ROW(), COLUMN(), 4, TRUE, "Import-dataset")), "" )</f>
        <v>1.1154855643044619</v>
      </c>
      <c r="H20" s="6" cm="1">
        <f t="array" aca="1" ref="H20" ca="1">IFERROR( INDIRECT(ADDRESS(ROW()+1, COLUMN(), 4, TRUE, "Import-dataset")) / INDIRECT(ADDRESS(ROW(), COLUMN(), 4, TRUE, "Import-dataset")), "" )</f>
        <v>1.0612629594721961</v>
      </c>
      <c r="I20" s="6" cm="1">
        <f t="array" aca="1" ref="I20" ca="1">IFERROR( INDIRECT(ADDRESS(ROW()+1, COLUMN(), 4, TRUE, "Import-dataset")) / INDIRECT(ADDRESS(ROW(), COLUMN(), 4, TRUE, "Import-dataset")), "" )</f>
        <v>1.0459770114942528</v>
      </c>
      <c r="J20" s="6" cm="1">
        <f t="array" aca="1" ref="J20" ca="1">IFERROR( INDIRECT(ADDRESS(ROW()+1, COLUMN(), 4, TRUE, "Import-dataset")) / INDIRECT(ADDRESS(ROW(), COLUMN(), 4, TRUE, "Import-dataset")), "" )</f>
        <v>1.1028315946348732</v>
      </c>
      <c r="K20" s="6" cm="1">
        <f t="array" aca="1" ref="K20" ca="1">IFERROR( INDIRECT(ADDRESS(ROW()+1, COLUMN(), 4, TRUE, "Import-dataset")) / INDIRECT(ADDRESS(ROW(), COLUMN(), 4, TRUE, "Import-dataset")), "" )</f>
        <v>1.0711610486891385</v>
      </c>
      <c r="L20" s="6" cm="1">
        <f t="array" aca="1" ref="L20" ca="1">IFERROR( INDIRECT(ADDRESS(ROW()+1, COLUMN(), 4, TRUE, "Import-dataset")) / INDIRECT(ADDRESS(ROW(), COLUMN(), 4, TRUE, "Import-dataset")), "" )</f>
        <v>1.074243813015582</v>
      </c>
      <c r="M20" s="6" cm="1">
        <f t="array" aca="1" ref="M20" ca="1">IFERROR( INDIRECT(ADDRESS(ROW()+1, COLUMN(), 4, TRUE, "Import-dataset")) / INDIRECT(ADDRESS(ROW(), COLUMN(), 4, TRUE, "Import-dataset")), "" )</f>
        <v>1.0830704521556256</v>
      </c>
      <c r="N20" s="6" cm="1">
        <f t="array" aca="1" ref="N20" ca="1">IFERROR( INDIRECT(ADDRESS(ROW()+1, COLUMN(), 4, TRUE, "Import-dataset")) / INDIRECT(ADDRESS(ROW(), COLUMN(), 4, TRUE, "Import-dataset")), "" )</f>
        <v>1.0828025477707006</v>
      </c>
      <c r="O20" s="6" cm="1">
        <f t="array" aca="1" ref="O20" ca="1">IFERROR( INDIRECT(ADDRESS(ROW()+1, COLUMN(), 4, TRUE, "Import-dataset")) / INDIRECT(ADDRESS(ROW(), COLUMN(), 4, TRUE, "Import-dataset")), "" )</f>
        <v>1.103030303030303</v>
      </c>
      <c r="P20" s="6" cm="1">
        <f t="array" aca="1" ref="P20" ca="1">IFERROR( INDIRECT(ADDRESS(ROW()+1, COLUMN(), 4, TRUE, "Import-dataset")) / INDIRECT(ADDRESS(ROW(), COLUMN(), 4, TRUE, "Import-dataset")), "" )</f>
        <v>1.0317124735729386</v>
      </c>
      <c r="Q20" s="6" t="str" cm="1">
        <f t="array" aca="1" ref="Q20" ca="1">IFERROR( INDIRECT(ADDRESS(ROW()+1, COLUMN(), 4, TRUE, "Import-dataset")) / INDIRECT(ADDRESS(ROW(), COLUMN(), 4, TRUE, "Import-dataset")), "" )</f>
        <v/>
      </c>
      <c r="R20" s="6" cm="1">
        <f t="array" aca="1" ref="R20" ca="1">IFERROR( INDIRECT(ADDRESS(ROW()+1, COLUMN(), 4, TRUE, "Import-dataset")) / INDIRECT(ADDRESS(ROW(), COLUMN(), 4, TRUE, "Import-dataset")), "" )</f>
        <v>1.046875</v>
      </c>
      <c r="S20" s="6" cm="1">
        <f t="array" aca="1" ref="S20" ca="1">IFERROR( INDIRECT(ADDRESS(ROW()+1, COLUMN(), 4, TRUE, "Import-dataset")) / INDIRECT(ADDRESS(ROW(), COLUMN(), 4, TRUE, "Import-dataset")), "" )</f>
        <v>1.125925925925926</v>
      </c>
      <c r="T20" s="6" cm="1">
        <f t="array" aca="1" ref="T20" ca="1">IFERROR( INDIRECT(ADDRESS(ROW()+1, COLUMN(), 4, TRUE, "Import-dataset")) / INDIRECT(ADDRESS(ROW(), COLUMN(), 4, TRUE, "Import-dataset")), "" )</f>
        <v>0.96672212978369387</v>
      </c>
      <c r="U20" s="6" cm="1">
        <f t="array" aca="1" ref="U20" ca="1">IFERROR( INDIRECT(ADDRESS(ROW()+1, COLUMN(), 4, TRUE, "Import-dataset")) / INDIRECT(ADDRESS(ROW(), COLUMN(), 4, TRUE, "Import-dataset")), "" )</f>
        <v>0.98333333333333328</v>
      </c>
      <c r="V20" s="6" cm="1">
        <f t="array" aca="1" ref="V20" ca="1">IFERROR( INDIRECT(ADDRESS(ROW()+1, COLUMN(), 4, TRUE, "Import-dataset")) / INDIRECT(ADDRESS(ROW(), COLUMN(), 4, TRUE, "Import-dataset")), "" )</f>
        <v>0.92258064516129035</v>
      </c>
      <c r="W20" s="6" cm="1">
        <f t="array" aca="1" ref="W20" ca="1">IFERROR( INDIRECT(ADDRESS(ROW()+1, COLUMN(), 4, TRUE, "Import-dataset")) / INDIRECT(ADDRESS(ROW(), COLUMN(), 4, TRUE, "Import-dataset")), "" )</f>
        <v>1.0056179775280898</v>
      </c>
      <c r="X20" s="6" cm="1">
        <f t="array" aca="1" ref="X20" ca="1">IFERROR( INDIRECT(ADDRESS(ROW()+1, COLUMN(), 4, TRUE, "Import-dataset")) / INDIRECT(ADDRESS(ROW(), COLUMN(), 4, TRUE, "Import-dataset")), "" )</f>
        <v>1.311023622047244</v>
      </c>
      <c r="Y20" s="6" cm="1">
        <f t="array" aca="1" ref="Y20" ca="1">IFERROR( INDIRECT(ADDRESS(ROW()+1, COLUMN(), 4, TRUE, "Import-dataset")) / INDIRECT(ADDRESS(ROW(), COLUMN(), 4, TRUE, "Import-dataset")), "" )</f>
        <v>0.99236641221374045</v>
      </c>
      <c r="Z20" s="6" cm="1">
        <f t="array" aca="1" ref="Z20" ca="1">IFERROR( INDIRECT(ADDRESS(ROW()+1, COLUMN(), 4, TRUE, "Import-dataset")) / INDIRECT(ADDRESS(ROW(), COLUMN(), 4, TRUE, "Import-dataset")), "" )</f>
        <v>1.3384639303482586</v>
      </c>
      <c r="AA20" s="6" cm="1">
        <f t="array" aca="1" ref="AA20" ca="1">IFERROR( INDIRECT(ADDRESS(ROW()+1, COLUMN(), 4, TRUE, "Import-dataset")) / INDIRECT(ADDRESS(ROW(), COLUMN(), 4, TRUE, "Import-dataset")), "" )</f>
        <v>1.2777777777777777</v>
      </c>
      <c r="AB20" s="6" cm="1">
        <f t="array" aca="1" ref="AB20" ca="1">IFERROR( INDIRECT(ADDRESS(ROW()+1, COLUMN(), 4, TRUE, "Import-dataset")) / INDIRECT(ADDRESS(ROW(), COLUMN(), 4, TRUE, "Import-dataset")), "" )</f>
        <v>1.3417322834645669</v>
      </c>
      <c r="AC20" s="6" cm="1">
        <f t="array" aca="1" ref="AC20" ca="1">IFERROR( INDIRECT(ADDRESS(ROW()+1, COLUMN(), 4, TRUE, "Import-dataset")) / INDIRECT(ADDRESS(ROW(), COLUMN(), 4, TRUE, "Import-dataset")), "" )</f>
        <v>1.0544217687074831</v>
      </c>
      <c r="AD20" s="6" cm="1">
        <f t="array" aca="1" ref="AD20" ca="1">IFERROR( INDIRECT(ADDRESS(ROW()+1, COLUMN(), 4, TRUE, "Import-dataset")) / INDIRECT(ADDRESS(ROW(), COLUMN(), 4, TRUE, "Import-dataset")), "" )</f>
        <v>0.96842105263157896</v>
      </c>
      <c r="AE20" s="6" cm="1">
        <f t="array" aca="1" ref="AE20" ca="1">IFERROR( INDIRECT(ADDRESS(ROW()+1, COLUMN(), 4, TRUE, "Import-dataset")) / INDIRECT(ADDRESS(ROW(), COLUMN(), 4, TRUE, "Import-dataset")), "" )</f>
        <v>1.0555555555555556</v>
      </c>
      <c r="AF20" s="6" cm="1">
        <f t="array" aca="1" ref="AF20" ca="1">IFERROR( INDIRECT(ADDRESS(ROW()+1, COLUMN(), 4, TRUE, "Import-dataset")) / INDIRECT(ADDRESS(ROW(), COLUMN(), 4, TRUE, "Import-dataset")), "" )</f>
        <v>0.94427244582043346</v>
      </c>
      <c r="AG20" s="6" cm="1">
        <f t="array" aca="1" ref="AG20" ca="1">IFERROR( INDIRECT(ADDRESS(ROW()+1, COLUMN(), 4, TRUE, "Import-dataset")) / INDIRECT(ADDRESS(ROW(), COLUMN(), 4, TRUE, "Import-dataset")), "" )</f>
        <v>1.0232558139534884</v>
      </c>
      <c r="AH20" s="6" cm="1">
        <f t="array" aca="1" ref="AH20" ca="1">IFERROR( INDIRECT(ADDRESS(ROW()+1, COLUMN(), 4, TRUE, "Import-dataset")) / INDIRECT(ADDRESS(ROW(), COLUMN(), 4, TRUE, "Import-dataset")), "" )</f>
        <v>1.1058744422030686</v>
      </c>
      <c r="AI20" s="6" cm="1">
        <f t="array" aca="1" ref="AI20" ca="1">IFERROR( INDIRECT(ADDRESS(ROW()+1, COLUMN(), 4, TRUE, "Import-dataset")) / INDIRECT(ADDRESS(ROW(), COLUMN(), 4, TRUE, "Import-dataset")), "" )</f>
        <v>1.124416796267496</v>
      </c>
      <c r="AJ20" s="6" cm="1">
        <f t="array" aca="1" ref="AJ20" ca="1">IFERROR( INDIRECT(ADDRESS(ROW()+1, COLUMN(), 4, TRUE, "Import-dataset")) / INDIRECT(ADDRESS(ROW(), COLUMN(), 4, TRUE, "Import-dataset")), "" )</f>
        <v>1.4262068965517241</v>
      </c>
      <c r="AK20" s="6" cm="1">
        <f t="array" aca="1" ref="AK20" ca="1">IFERROR( INDIRECT(ADDRESS(ROW()+1, COLUMN(), 4, TRUE, "Import-dataset")) / INDIRECT(ADDRESS(ROW(), COLUMN(), 4, TRUE, "Import-dataset")), "" )</f>
        <v>1.0112994350282485</v>
      </c>
      <c r="AL20" s="6" cm="1">
        <f t="array" aca="1" ref="AL20" ca="1">IFERROR( INDIRECT(ADDRESS(ROW()+1, COLUMN(), 4, TRUE, "Import-dataset")) / INDIRECT(ADDRESS(ROW(), COLUMN(), 4, TRUE, "Import-dataset")), "" )</f>
        <v>1.0956321839080461</v>
      </c>
      <c r="AM20" s="6" cm="1">
        <f t="array" aca="1" ref="AM20" ca="1">IFERROR( INDIRECT(ADDRESS(ROW()+1, COLUMN(), 4, TRUE, "Import-dataset")) / INDIRECT(ADDRESS(ROW(), COLUMN(), 4, TRUE, "Import-dataset")), "" )</f>
        <v>1.1042471042471043</v>
      </c>
      <c r="AN20" s="6" cm="1">
        <f t="array" aca="1" ref="AN20" ca="1">IFERROR( INDIRECT(ADDRESS(ROW()+1, COLUMN(), 4, TRUE, "Import-dataset")) / INDIRECT(ADDRESS(ROW(), COLUMN(), 4, TRUE, "Import-dataset")), "" )</f>
        <v>1.1585503963759909</v>
      </c>
      <c r="AO20" s="6" cm="1">
        <f t="array" aca="1" ref="AO20" ca="1">IFERROR( INDIRECT(ADDRESS(ROW()+1, COLUMN(), 4, TRUE, "Import-dataset")) / INDIRECT(ADDRESS(ROW(), COLUMN(), 4, TRUE, "Import-dataset")), "" )</f>
        <v>1.073209975864843</v>
      </c>
      <c r="AP20" s="6" cm="1">
        <f t="array" aca="1" ref="AP20" ca="1">IFERROR( INDIRECT(ADDRESS(ROW()+1, COLUMN(), 4, TRUE, "Import-dataset")) / INDIRECT(ADDRESS(ROW(), COLUMN(), 4, TRUE, "Import-dataset")), "" )</f>
        <v>1.0402621722846441</v>
      </c>
      <c r="AQ20" s="6" cm="1">
        <f t="array" aca="1" ref="AQ20" ca="1">IFERROR( INDIRECT(ADDRESS(ROW()+1, COLUMN(), 4, TRUE, "Import-dataset")) / INDIRECT(ADDRESS(ROW(), COLUMN(), 4, TRUE, "Import-dataset")), "" )</f>
        <v>1.0420775805391189</v>
      </c>
      <c r="AR20" s="6" cm="1">
        <f t="array" aca="1" ref="AR20" ca="1">IFERROR( INDIRECT(ADDRESS(ROW()+1, COLUMN(), 4, TRUE, "Import-dataset")) / INDIRECT(ADDRESS(ROW(), COLUMN(), 4, TRUE, "Import-dataset")), "" )</f>
        <v>1.0847883281511601</v>
      </c>
      <c r="AS20" s="6" cm="1">
        <f t="array" aca="1" ref="AS20" ca="1">IFERROR( INDIRECT(ADDRESS(ROW()+1, COLUMN(), 4, TRUE, "Import-dataset")) / INDIRECT(ADDRESS(ROW(), COLUMN(), 4, TRUE, "Import-dataset")), "" )</f>
        <v>0.85365853658536583</v>
      </c>
      <c r="AT20" s="6" cm="1">
        <f t="array" aca="1" ref="AT20" ca="1">IFERROR( INDIRECT(ADDRESS(ROW()+1, COLUMN(), 4, TRUE, "Import-dataset")) / INDIRECT(ADDRESS(ROW(), COLUMN(), 4, TRUE, "Import-dataset")), "" )</f>
        <v>1.0899830220713074</v>
      </c>
      <c r="AU20" s="6" cm="1">
        <f t="array" aca="1" ref="AU20" ca="1">IFERROR( INDIRECT(ADDRESS(ROW()+1, COLUMN(), 4, TRUE, "Import-dataset")) / INDIRECT(ADDRESS(ROW(), COLUMN(), 4, TRUE, "Import-dataset")), "" )</f>
        <v>0.88438438438438438</v>
      </c>
      <c r="AV20" s="6" cm="1">
        <f t="array" aca="1" ref="AV20" ca="1">IFERROR( INDIRECT(ADDRESS(ROW()+1, COLUMN(), 4, TRUE, "Import-dataset")) / INDIRECT(ADDRESS(ROW(), COLUMN(), 4, TRUE, "Import-dataset")), "" )</f>
        <v>1.0223285486443381</v>
      </c>
      <c r="AW20" s="6" cm="1">
        <f t="array" aca="1" ref="AW20" ca="1">IFERROR( INDIRECT(ADDRESS(ROW()+1, COLUMN(), 4, TRUE, "Import-dataset")) / INDIRECT(ADDRESS(ROW(), COLUMN(), 4, TRUE, "Import-dataset")), "" )</f>
        <v>0.93113169552960129</v>
      </c>
      <c r="AX20" s="6" cm="1">
        <f t="array" aca="1" ref="AX20" ca="1">IFERROR( INDIRECT(ADDRESS(ROW()+1, COLUMN(), 4, TRUE, "Import-dataset")) / INDIRECT(ADDRESS(ROW(), COLUMN(), 4, TRUE, "Import-dataset")), "" )</f>
        <v>0.98384863867097372</v>
      </c>
      <c r="AY20" s="6" cm="1">
        <f t="array" aca="1" ref="AY20" ca="1">IFERROR( INDIRECT(ADDRESS(ROW()+1, COLUMN(), 4, TRUE, "Import-dataset")) / INDIRECT(ADDRESS(ROW(), COLUMN(), 4, TRUE, "Import-dataset")), "" )</f>
        <v>1.3850782190132371</v>
      </c>
      <c r="AZ20" s="6" cm="1">
        <f t="array" aca="1" ref="AZ20" ca="1">IFERROR( INDIRECT(ADDRESS(ROW()+1, COLUMN(), 4, TRUE, "Import-dataset")) / INDIRECT(ADDRESS(ROW(), COLUMN(), 4, TRUE, "Import-dataset")), "" )</f>
        <v>1.1357512953367876</v>
      </c>
      <c r="BA20" s="6" cm="1">
        <f t="array" aca="1" ref="BA20" ca="1">IFERROR( INDIRECT(ADDRESS(ROW()+1, COLUMN(), 4, TRUE, "Import-dataset")) / INDIRECT(ADDRESS(ROW(), COLUMN(), 4, TRUE, "Import-dataset")), "" )</f>
        <v>1.1172119487908962</v>
      </c>
      <c r="BB20" s="6" cm="1">
        <f t="array" aca="1" ref="BB20" ca="1">IFERROR( INDIRECT(ADDRESS(ROW()+1, COLUMN(), 4, TRUE, "Import-dataset")) / INDIRECT(ADDRESS(ROW(), COLUMN(), 4, TRUE, "Import-dataset")), "" )</f>
        <v>1.0710871697466955</v>
      </c>
      <c r="BC20" s="6" cm="1">
        <f t="array" aca="1" ref="BC20" ca="1">IFERROR( INDIRECT(ADDRESS(ROW()+1, COLUMN(), 4, TRUE, "Import-dataset")) / INDIRECT(ADDRESS(ROW(), COLUMN(), 4, TRUE, "Import-dataset")), "" )</f>
        <v>1.1223966677347004</v>
      </c>
      <c r="BD20" s="6" cm="1">
        <f t="array" aca="1" ref="BD20" ca="1">IFERROR( INDIRECT(ADDRESS(ROW()+1, COLUMN(), 4, TRUE, "Import-dataset")) / INDIRECT(ADDRESS(ROW(), COLUMN(), 4, TRUE, "Import-dataset")), "" )</f>
        <v>1.1315932572050027</v>
      </c>
      <c r="BE20" s="6" cm="1">
        <f t="array" aca="1" ref="BE20" ca="1">IFERROR( INDIRECT(ADDRESS(ROW()+1, COLUMN(), 4, TRUE, "Import-dataset")) / INDIRECT(ADDRESS(ROW(), COLUMN(), 4, TRUE, "Import-dataset")), "" )</f>
        <v>1.3488372093023255</v>
      </c>
      <c r="BF20" s="6" cm="1">
        <f t="array" aca="1" ref="BF20" ca="1">IFERROR( INDIRECT(ADDRESS(ROW()+1, COLUMN(), 4, TRUE, "Import-dataset")) / INDIRECT(ADDRESS(ROW(), COLUMN(), 4, TRUE, "Import-dataset")), "" )</f>
        <v>1.0564766839378239</v>
      </c>
      <c r="BG20" s="6" cm="1">
        <f t="array" aca="1" ref="BG20" ca="1">IFERROR( INDIRECT(ADDRESS(ROW()+1, COLUMN(), 4, TRUE, "Import-dataset")) / INDIRECT(ADDRESS(ROW(), COLUMN(), 4, TRUE, "Import-dataset")), "" )</f>
        <v>1.0711674384596637</v>
      </c>
      <c r="BH20" s="6" cm="1">
        <f t="array" aca="1" ref="BH20" ca="1">IFERROR( INDIRECT(ADDRESS(ROW()+1, COLUMN(), 4, TRUE, "Import-dataset")) / INDIRECT(ADDRESS(ROW(), COLUMN(), 4, TRUE, "Import-dataset")), "" )</f>
        <v>1.0016443504815598</v>
      </c>
      <c r="BI20" s="6" cm="1">
        <f t="array" aca="1" ref="BI20" ca="1">IFERROR( INDIRECT(ADDRESS(ROW()+1, COLUMN(), 4, TRUE, "Import-dataset")) / INDIRECT(ADDRESS(ROW(), COLUMN(), 4, TRUE, "Import-dataset")), "" )</f>
        <v>1.0364507117201012</v>
      </c>
      <c r="BJ20" s="6" cm="1">
        <f t="array" aca="1" ref="BJ20" ca="1">IFERROR( INDIRECT(ADDRESS(ROW()+1, COLUMN(), 4, TRUE, "Import-dataset")) / INDIRECT(ADDRESS(ROW(), COLUMN(), 4, TRUE, "Import-dataset")), "" )</f>
        <v>1.107672259325623</v>
      </c>
      <c r="BK20" s="6" cm="1">
        <f t="array" aca="1" ref="BK20" ca="1">IFERROR( INDIRECT(ADDRESS(ROW()+1, COLUMN(), 4, TRUE, "Import-dataset")) / INDIRECT(ADDRESS(ROW(), COLUMN(), 4, TRUE, "Import-dataset")), "" )</f>
        <v>0.98645104895104896</v>
      </c>
      <c r="BL20" s="6" cm="1">
        <f t="array" aca="1" ref="BL20" ca="1">IFERROR( INDIRECT(ADDRESS(ROW()+1, COLUMN(), 4, TRUE, "Import-dataset")) / INDIRECT(ADDRESS(ROW(), COLUMN(), 4, TRUE, "Import-dataset")), "" )</f>
        <v>1.070669955202094</v>
      </c>
      <c r="BM20" s="6" cm="1">
        <f t="array" aca="1" ref="BM20" ca="1">IFERROR( INDIRECT(ADDRESS(ROW()+1, COLUMN(), 4, TRUE, "Import-dataset")) / INDIRECT(ADDRESS(ROW(), COLUMN(), 4, TRUE, "Import-dataset")), "" )</f>
        <v>1.034412955465587</v>
      </c>
      <c r="BN20" s="6" cm="1">
        <f t="array" aca="1" ref="BN20" ca="1">IFERROR( INDIRECT(ADDRESS(ROW()+1, COLUMN(), 4, TRUE, "Import-dataset")) / INDIRECT(ADDRESS(ROW(), COLUMN(), 4, TRUE, "Import-dataset")), "" )</f>
        <v>1.0906058921623123</v>
      </c>
      <c r="BO20" s="6" cm="1">
        <f t="array" aca="1" ref="BO20" ca="1">IFERROR( INDIRECT(ADDRESS(ROW()+1, COLUMN(), 4, TRUE, "Import-dataset")) / INDIRECT(ADDRESS(ROW(), COLUMN(), 4, TRUE, "Import-dataset")), "" )</f>
        <v>1.0643939393939394</v>
      </c>
      <c r="BP20" s="6" cm="1">
        <f t="array" aca="1" ref="BP20" ca="1">IFERROR( INDIRECT(ADDRESS(ROW()+1, COLUMN(), 4, TRUE, "Import-dataset")) / INDIRECT(ADDRESS(ROW(), COLUMN(), 4, TRUE, "Import-dataset")), "" )</f>
        <v>1.1268965517241378</v>
      </c>
      <c r="BQ20" s="6" cm="1">
        <f t="array" aca="1" ref="BQ20" ca="1">IFERROR( INDIRECT(ADDRESS(ROW()+1, COLUMN(), 4, TRUE, "Import-dataset")) / INDIRECT(ADDRESS(ROW(), COLUMN(), 4, TRUE, "Import-dataset")), "" )</f>
        <v>1.093652445369407</v>
      </c>
      <c r="BR20" s="6" cm="1">
        <f t="array" aca="1" ref="BR20" ca="1">IFERROR( INDIRECT(ADDRESS(ROW()+1, COLUMN(), 4, TRUE, "Import-dataset")) / INDIRECT(ADDRESS(ROW(), COLUMN(), 4, TRUE, "Import-dataset")), "" )</f>
        <v>1.0598044853364001</v>
      </c>
      <c r="BS20" s="6" cm="1">
        <f t="array" aca="1" ref="BS20" ca="1">IFERROR( INDIRECT(ADDRESS(ROW()+1, COLUMN(), 4, TRUE, "Import-dataset")) / INDIRECT(ADDRESS(ROW(), COLUMN(), 4, TRUE, "Import-dataset")), "" )</f>
        <v>0.98878085265519822</v>
      </c>
      <c r="BT20" s="6" cm="1">
        <f t="array" aca="1" ref="BT20" ca="1">IFERROR( INDIRECT(ADDRESS(ROW()+1, COLUMN(), 4, TRUE, "Import-dataset")) / INDIRECT(ADDRESS(ROW(), COLUMN(), 4, TRUE, "Import-dataset")), "" )</f>
        <v>1.0572324578596628</v>
      </c>
      <c r="BU20" s="6" cm="1">
        <f t="array" aca="1" ref="BU20" ca="1">IFERROR( INDIRECT(ADDRESS(ROW()+1, COLUMN(), 4, TRUE, "Import-dataset")) / INDIRECT(ADDRESS(ROW(), COLUMN(), 4, TRUE, "Import-dataset")), "" )</f>
        <v>1.0956778721832288</v>
      </c>
      <c r="BV20" s="6" cm="1">
        <f t="array" aca="1" ref="BV20" ca="1">IFERROR( INDIRECT(ADDRESS(ROW()+1, COLUMN(), 4, TRUE, "Import-dataset")) / INDIRECT(ADDRESS(ROW(), COLUMN(), 4, TRUE, "Import-dataset")), "" )</f>
        <v>1.0344827586206897</v>
      </c>
      <c r="BW20" s="6" cm="1">
        <f t="array" aca="1" ref="BW20" ca="1">IFERROR( INDIRECT(ADDRESS(ROW()+1, COLUMN(), 4, TRUE, "Import-dataset")) / INDIRECT(ADDRESS(ROW(), COLUMN(), 4, TRUE, "Import-dataset")), "" )</f>
        <v>0.42857142857142855</v>
      </c>
      <c r="BX20" s="6" cm="1">
        <f t="array" aca="1" ref="BX20" ca="1">IFERROR( INDIRECT(ADDRESS(ROW()+1, COLUMN(), 4, TRUE, "Import-dataset")) / INDIRECT(ADDRESS(ROW(), COLUMN(), 4, TRUE, "Import-dataset")), "" )</f>
        <v>0</v>
      </c>
      <c r="BY20" s="6" cm="1">
        <f t="array" aca="1" ref="BY20" ca="1">IFERROR( INDIRECT(ADDRESS(ROW()+1, COLUMN(), 4, TRUE, "Import-dataset")) / INDIRECT(ADDRESS(ROW(), COLUMN(), 4, TRUE, "Import-dataset")), "" )</f>
        <v>1.1402364451691807</v>
      </c>
      <c r="BZ20" s="6" cm="1">
        <f t="array" aca="1" ref="BZ20" ca="1">IFERROR( INDIRECT(ADDRESS(ROW()+1, COLUMN(), 4, TRUE, "Import-dataset")) / INDIRECT(ADDRESS(ROW(), COLUMN(), 4, TRUE, "Import-dataset")), "" )</f>
        <v>0.67326732673267331</v>
      </c>
      <c r="CA20" s="6" cm="1">
        <f t="array" aca="1" ref="CA20" ca="1">IFERROR( INDIRECT(ADDRESS(ROW()+1, COLUMN(), 4, TRUE, "Import-dataset")) / INDIRECT(ADDRESS(ROW(), COLUMN(), 4, TRUE, "Import-dataset")), "" )</f>
        <v>1.1017012750713289</v>
      </c>
    </row>
    <row r="21" spans="1:79">
      <c r="A21" s="6" t="s">
        <v>178</v>
      </c>
      <c r="B21" s="6" cm="1">
        <f t="array" aca="1" ref="B21" ca="1">IFERROR( INDIRECT(ADDRESS(ROW()+1, COLUMN(), 4, TRUE, "Import-dataset")) / INDIRECT(ADDRESS(ROW(), COLUMN(), 4, TRUE, "Import-dataset")), "" )</f>
        <v>1.10687684046423</v>
      </c>
      <c r="C21" s="6" cm="1">
        <f t="array" aca="1" ref="C21" ca="1">IFERROR( INDIRECT(ADDRESS(ROW()+1, COLUMN(), 4, TRUE, "Import-dataset")) / INDIRECT(ADDRESS(ROW(), COLUMN(), 4, TRUE, "Import-dataset")), "" )</f>
        <v>1.3191489361702127</v>
      </c>
      <c r="D21" s="6" cm="1">
        <f t="array" aca="1" ref="D21" ca="1">IFERROR( INDIRECT(ADDRESS(ROW()+1, COLUMN(), 4, TRUE, "Import-dataset")) / INDIRECT(ADDRESS(ROW(), COLUMN(), 4, TRUE, "Import-dataset")), "" )</f>
        <v>1.0494505494505495</v>
      </c>
      <c r="E21" s="6" cm="1">
        <f t="array" aca="1" ref="E21" ca="1">IFERROR( INDIRECT(ADDRESS(ROW()+1, COLUMN(), 4, TRUE, "Import-dataset")) / INDIRECT(ADDRESS(ROW(), COLUMN(), 4, TRUE, "Import-dataset")), "" )</f>
        <v>1.116751269035533</v>
      </c>
      <c r="F21" s="6" cm="1">
        <f t="array" aca="1" ref="F21" ca="1">IFERROR( INDIRECT(ADDRESS(ROW()+1, COLUMN(), 4, TRUE, "Import-dataset")) / INDIRECT(ADDRESS(ROW(), COLUMN(), 4, TRUE, "Import-dataset")), "" )</f>
        <v>1.1469098277608916</v>
      </c>
      <c r="G21" s="6" cm="1">
        <f t="array" aca="1" ref="G21" ca="1">IFERROR( INDIRECT(ADDRESS(ROW()+1, COLUMN(), 4, TRUE, "Import-dataset")) / INDIRECT(ADDRESS(ROW(), COLUMN(), 4, TRUE, "Import-dataset")), "" )</f>
        <v>1.171764705882353</v>
      </c>
      <c r="H21" s="6" cm="1">
        <f t="array" aca="1" ref="H21" ca="1">IFERROR( INDIRECT(ADDRESS(ROW()+1, COLUMN(), 4, TRUE, "Import-dataset")) / INDIRECT(ADDRESS(ROW(), COLUMN(), 4, TRUE, "Import-dataset")), "" )</f>
        <v>1.1003552397868561</v>
      </c>
      <c r="I21" s="6" cm="1">
        <f t="array" aca="1" ref="I21" ca="1">IFERROR( INDIRECT(ADDRESS(ROW()+1, COLUMN(), 4, TRUE, "Import-dataset")) / INDIRECT(ADDRESS(ROW(), COLUMN(), 4, TRUE, "Import-dataset")), "" )</f>
        <v>1.0274725274725274</v>
      </c>
      <c r="J21" s="6" cm="1">
        <f t="array" aca="1" ref="J21" ca="1">IFERROR( INDIRECT(ADDRESS(ROW()+1, COLUMN(), 4, TRUE, "Import-dataset")) / INDIRECT(ADDRESS(ROW(), COLUMN(), 4, TRUE, "Import-dataset")), "" )</f>
        <v>1.0756756756756756</v>
      </c>
      <c r="K21" s="6" cm="1">
        <f t="array" aca="1" ref="K21" ca="1">IFERROR( INDIRECT(ADDRESS(ROW()+1, COLUMN(), 4, TRUE, "Import-dataset")) / INDIRECT(ADDRESS(ROW(), COLUMN(), 4, TRUE, "Import-dataset")), "" )</f>
        <v>1.2482517482517483</v>
      </c>
      <c r="L21" s="6" cm="1">
        <f t="array" aca="1" ref="L21" ca="1">IFERROR( INDIRECT(ADDRESS(ROW()+1, COLUMN(), 4, TRUE, "Import-dataset")) / INDIRECT(ADDRESS(ROW(), COLUMN(), 4, TRUE, "Import-dataset")), "" )</f>
        <v>1.0580204778156996</v>
      </c>
      <c r="M21" s="6" cm="1">
        <f t="array" aca="1" ref="M21" ca="1">IFERROR( INDIRECT(ADDRESS(ROW()+1, COLUMN(), 4, TRUE, "Import-dataset")) / INDIRECT(ADDRESS(ROW(), COLUMN(), 4, TRUE, "Import-dataset")), "" )</f>
        <v>1.2398058252427184</v>
      </c>
      <c r="N21" s="6" cm="1">
        <f t="array" aca="1" ref="N21" ca="1">IFERROR( INDIRECT(ADDRESS(ROW()+1, COLUMN(), 4, TRUE, "Import-dataset")) / INDIRECT(ADDRESS(ROW(), COLUMN(), 4, TRUE, "Import-dataset")), "" )</f>
        <v>1.2317647058823529</v>
      </c>
      <c r="O21" s="6" cm="1">
        <f t="array" aca="1" ref="O21" ca="1">IFERROR( INDIRECT(ADDRESS(ROW()+1, COLUMN(), 4, TRUE, "Import-dataset")) / INDIRECT(ADDRESS(ROW(), COLUMN(), 4, TRUE, "Import-dataset")), "" )</f>
        <v>1.2747252747252746</v>
      </c>
      <c r="P21" s="6" cm="1">
        <f t="array" aca="1" ref="P21" ca="1">IFERROR( INDIRECT(ADDRESS(ROW()+1, COLUMN(), 4, TRUE, "Import-dataset")) / INDIRECT(ADDRESS(ROW(), COLUMN(), 4, TRUE, "Import-dataset")), "" )</f>
        <v>1.134733606557377</v>
      </c>
      <c r="Q21" s="6" t="str" cm="1">
        <f t="array" aca="1" ref="Q21" ca="1">IFERROR( INDIRECT(ADDRESS(ROW()+1, COLUMN(), 4, TRUE, "Import-dataset")) / INDIRECT(ADDRESS(ROW(), COLUMN(), 4, TRUE, "Import-dataset")), "" )</f>
        <v/>
      </c>
      <c r="R21" s="6" cm="1">
        <f t="array" aca="1" ref="R21" ca="1">IFERROR( INDIRECT(ADDRESS(ROW()+1, COLUMN(), 4, TRUE, "Import-dataset")) / INDIRECT(ADDRESS(ROW(), COLUMN(), 4, TRUE, "Import-dataset")), "" )</f>
        <v>0.94029850746268662</v>
      </c>
      <c r="S21" s="6" cm="1">
        <f t="array" aca="1" ref="S21" ca="1">IFERROR( INDIRECT(ADDRESS(ROW()+1, COLUMN(), 4, TRUE, "Import-dataset")) / INDIRECT(ADDRESS(ROW(), COLUMN(), 4, TRUE, "Import-dataset")), "" )</f>
        <v>1.2236842105263157</v>
      </c>
      <c r="T21" s="6" cm="1">
        <f t="array" aca="1" ref="T21" ca="1">IFERROR( INDIRECT(ADDRESS(ROW()+1, COLUMN(), 4, TRUE, "Import-dataset")) / INDIRECT(ADDRESS(ROW(), COLUMN(), 4, TRUE, "Import-dataset")), "" )</f>
        <v>0.94492254733218584</v>
      </c>
      <c r="U21" s="6" cm="1">
        <f t="array" aca="1" ref="U21" ca="1">IFERROR( INDIRECT(ADDRESS(ROW()+1, COLUMN(), 4, TRUE, "Import-dataset")) / INDIRECT(ADDRESS(ROW(), COLUMN(), 4, TRUE, "Import-dataset")), "" )</f>
        <v>1.0381355932203389</v>
      </c>
      <c r="V21" s="6" cm="1">
        <f t="array" aca="1" ref="V21" ca="1">IFERROR( INDIRECT(ADDRESS(ROW()+1, COLUMN(), 4, TRUE, "Import-dataset")) / INDIRECT(ADDRESS(ROW(), COLUMN(), 4, TRUE, "Import-dataset")), "" )</f>
        <v>1.0419580419580419</v>
      </c>
      <c r="W21" s="6" cm="1">
        <f t="array" aca="1" ref="W21" ca="1">IFERROR( INDIRECT(ADDRESS(ROW()+1, COLUMN(), 4, TRUE, "Import-dataset")) / INDIRECT(ADDRESS(ROW(), COLUMN(), 4, TRUE, "Import-dataset")), "" )</f>
        <v>0.95530726256983245</v>
      </c>
      <c r="X21" s="6" cm="1">
        <f t="array" aca="1" ref="X21" ca="1">IFERROR( INDIRECT(ADDRESS(ROW()+1, COLUMN(), 4, TRUE, "Import-dataset")) / INDIRECT(ADDRESS(ROW(), COLUMN(), 4, TRUE, "Import-dataset")), "" )</f>
        <v>1.6846846846846846</v>
      </c>
      <c r="Y21" s="6" cm="1">
        <f t="array" aca="1" ref="Y21" ca="1">IFERROR( INDIRECT(ADDRESS(ROW()+1, COLUMN(), 4, TRUE, "Import-dataset")) / INDIRECT(ADDRESS(ROW(), COLUMN(), 4, TRUE, "Import-dataset")), "" )</f>
        <v>1.1230769230769231</v>
      </c>
      <c r="Z21" s="6" cm="1">
        <f t="array" aca="1" ref="Z21" ca="1">IFERROR( INDIRECT(ADDRESS(ROW()+1, COLUMN(), 4, TRUE, "Import-dataset")) / INDIRECT(ADDRESS(ROW(), COLUMN(), 4, TRUE, "Import-dataset")), "" )</f>
        <v>1.3463816935764896</v>
      </c>
      <c r="AA21" s="6" cm="1">
        <f t="array" aca="1" ref="AA21" ca="1">IFERROR( INDIRECT(ADDRESS(ROW()+1, COLUMN(), 4, TRUE, "Import-dataset")) / INDIRECT(ADDRESS(ROW(), COLUMN(), 4, TRUE, "Import-dataset")), "" )</f>
        <v>0.82608695652173914</v>
      </c>
      <c r="AB21" s="6" cm="1">
        <f t="array" aca="1" ref="AB21" ca="1">IFERROR( INDIRECT(ADDRESS(ROW()+1, COLUMN(), 4, TRUE, "Import-dataset")) / INDIRECT(ADDRESS(ROW(), COLUMN(), 4, TRUE, "Import-dataset")), "" )</f>
        <v>1.3120892018779342</v>
      </c>
      <c r="AC21" s="6" cm="1">
        <f t="array" aca="1" ref="AC21" ca="1">IFERROR( INDIRECT(ADDRESS(ROW()+1, COLUMN(), 4, TRUE, "Import-dataset")) / INDIRECT(ADDRESS(ROW(), COLUMN(), 4, TRUE, "Import-dataset")), "" )</f>
        <v>5.193548387096774</v>
      </c>
      <c r="AD21" s="6" cm="1">
        <f t="array" aca="1" ref="AD21" ca="1">IFERROR( INDIRECT(ADDRESS(ROW()+1, COLUMN(), 4, TRUE, "Import-dataset")) / INDIRECT(ADDRESS(ROW(), COLUMN(), 4, TRUE, "Import-dataset")), "" )</f>
        <v>1.3016304347826086</v>
      </c>
      <c r="AE21" s="6" cm="1">
        <f t="array" aca="1" ref="AE21" ca="1">IFERROR( INDIRECT(ADDRESS(ROW()+1, COLUMN(), 4, TRUE, "Import-dataset")) / INDIRECT(ADDRESS(ROW(), COLUMN(), 4, TRUE, "Import-dataset")), "" )</f>
        <v>1</v>
      </c>
      <c r="AF21" s="6" cm="1">
        <f t="array" aca="1" ref="AF21" ca="1">IFERROR( INDIRECT(ADDRESS(ROW()+1, COLUMN(), 4, TRUE, "Import-dataset")) / INDIRECT(ADDRESS(ROW(), COLUMN(), 4, TRUE, "Import-dataset")), "" )</f>
        <v>1.340983606557377</v>
      </c>
      <c r="AG21" s="6" cm="1">
        <f t="array" aca="1" ref="AG21" ca="1">IFERROR( INDIRECT(ADDRESS(ROW()+1, COLUMN(), 4, TRUE, "Import-dataset")) / INDIRECT(ADDRESS(ROW(), COLUMN(), 4, TRUE, "Import-dataset")), "" )</f>
        <v>1.1590909090909092</v>
      </c>
      <c r="AH21" s="6" cm="1">
        <f t="array" aca="1" ref="AH21" ca="1">IFERROR( INDIRECT(ADDRESS(ROW()+1, COLUMN(), 4, TRUE, "Import-dataset")) / INDIRECT(ADDRESS(ROW(), COLUMN(), 4, TRUE, "Import-dataset")), "" )</f>
        <v>1.0490299043723399</v>
      </c>
      <c r="AI21" s="6" cm="1">
        <f t="array" aca="1" ref="AI21" ca="1">IFERROR( INDIRECT(ADDRESS(ROW()+1, COLUMN(), 4, TRUE, "Import-dataset")) / INDIRECT(ADDRESS(ROW(), COLUMN(), 4, TRUE, "Import-dataset")), "" )</f>
        <v>1.1065006915629323</v>
      </c>
      <c r="AJ21" s="6" cm="1">
        <f t="array" aca="1" ref="AJ21" ca="1">IFERROR( INDIRECT(ADDRESS(ROW()+1, COLUMN(), 4, TRUE, "Import-dataset")) / INDIRECT(ADDRESS(ROW(), COLUMN(), 4, TRUE, "Import-dataset")), "" )</f>
        <v>1.0560928433268859</v>
      </c>
      <c r="AK21" s="6" cm="1">
        <f t="array" aca="1" ref="AK21" ca="1">IFERROR( INDIRECT(ADDRESS(ROW()+1, COLUMN(), 4, TRUE, "Import-dataset")) / INDIRECT(ADDRESS(ROW(), COLUMN(), 4, TRUE, "Import-dataset")), "" )</f>
        <v>1.1229050279329609</v>
      </c>
      <c r="AL21" s="6" cm="1">
        <f t="array" aca="1" ref="AL21" ca="1">IFERROR( INDIRECT(ADDRESS(ROW()+1, COLUMN(), 4, TRUE, "Import-dataset")) / INDIRECT(ADDRESS(ROW(), COLUMN(), 4, TRUE, "Import-dataset")), "" )</f>
        <v>1.0183242411526088</v>
      </c>
      <c r="AM21" s="6" cm="1">
        <f t="array" aca="1" ref="AM21" ca="1">IFERROR( INDIRECT(ADDRESS(ROW()+1, COLUMN(), 4, TRUE, "Import-dataset")) / INDIRECT(ADDRESS(ROW(), COLUMN(), 4, TRUE, "Import-dataset")), "" )</f>
        <v>1.0846153846153845</v>
      </c>
      <c r="AN21" s="6" cm="1">
        <f t="array" aca="1" ref="AN21" ca="1">IFERROR( INDIRECT(ADDRESS(ROW()+1, COLUMN(), 4, TRUE, "Import-dataset")) / INDIRECT(ADDRESS(ROW(), COLUMN(), 4, TRUE, "Import-dataset")), "" )</f>
        <v>0.76050830889540566</v>
      </c>
      <c r="AO21" s="6" cm="1">
        <f t="array" aca="1" ref="AO21" ca="1">IFERROR( INDIRECT(ADDRESS(ROW()+1, COLUMN(), 4, TRUE, "Import-dataset")) / INDIRECT(ADDRESS(ROW(), COLUMN(), 4, TRUE, "Import-dataset")), "" )</f>
        <v>1.1446776611694154</v>
      </c>
      <c r="AP21" s="6" cm="1">
        <f t="array" aca="1" ref="AP21" ca="1">IFERROR( INDIRECT(ADDRESS(ROW()+1, COLUMN(), 4, TRUE, "Import-dataset")) / INDIRECT(ADDRESS(ROW(), COLUMN(), 4, TRUE, "Import-dataset")), "" )</f>
        <v>1.0963096309630964</v>
      </c>
      <c r="AQ21" s="6" cm="1">
        <f t="array" aca="1" ref="AQ21" ca="1">IFERROR( INDIRECT(ADDRESS(ROW()+1, COLUMN(), 4, TRUE, "Import-dataset")) / INDIRECT(ADDRESS(ROW(), COLUMN(), 4, TRUE, "Import-dataset")), "" )</f>
        <v>1.0914826498422714</v>
      </c>
      <c r="AR21" s="6" cm="1">
        <f t="array" aca="1" ref="AR21" ca="1">IFERROR( INDIRECT(ADDRESS(ROW()+1, COLUMN(), 4, TRUE, "Import-dataset")) / INDIRECT(ADDRESS(ROW(), COLUMN(), 4, TRUE, "Import-dataset")), "" )</f>
        <v>1.0721530151030758</v>
      </c>
      <c r="AS21" s="6" cm="1">
        <f t="array" aca="1" ref="AS21" ca="1">IFERROR( INDIRECT(ADDRESS(ROW()+1, COLUMN(), 4, TRUE, "Import-dataset")) / INDIRECT(ADDRESS(ROW(), COLUMN(), 4, TRUE, "Import-dataset")), "" )</f>
        <v>1.0428571428571429</v>
      </c>
      <c r="AT21" s="6" cm="1">
        <f t="array" aca="1" ref="AT21" ca="1">IFERROR( INDIRECT(ADDRESS(ROW()+1, COLUMN(), 4, TRUE, "Import-dataset")) / INDIRECT(ADDRESS(ROW(), COLUMN(), 4, TRUE, "Import-dataset")), "" )</f>
        <v>1.2050882658359294</v>
      </c>
      <c r="AU21" s="6" cm="1">
        <f t="array" aca="1" ref="AU21" ca="1">IFERROR( INDIRECT(ADDRESS(ROW()+1, COLUMN(), 4, TRUE, "Import-dataset")) / INDIRECT(ADDRESS(ROW(), COLUMN(), 4, TRUE, "Import-dataset")), "" )</f>
        <v>1.069609507640068</v>
      </c>
      <c r="AV21" s="6" cm="1">
        <f t="array" aca="1" ref="AV21" ca="1">IFERROR( INDIRECT(ADDRESS(ROW()+1, COLUMN(), 4, TRUE, "Import-dataset")) / INDIRECT(ADDRESS(ROW(), COLUMN(), 4, TRUE, "Import-dataset")), "" )</f>
        <v>1.0245709828393135</v>
      </c>
      <c r="AW21" s="6" cm="1">
        <f t="array" aca="1" ref="AW21" ca="1">IFERROR( INDIRECT(ADDRESS(ROW()+1, COLUMN(), 4, TRUE, "Import-dataset")) / INDIRECT(ADDRESS(ROW(), COLUMN(), 4, TRUE, "Import-dataset")), "" )</f>
        <v>1.0540657439446366</v>
      </c>
      <c r="AX21" s="6" cm="1">
        <f t="array" aca="1" ref="AX21" ca="1">IFERROR( INDIRECT(ADDRESS(ROW()+1, COLUMN(), 4, TRUE, "Import-dataset")) / INDIRECT(ADDRESS(ROW(), COLUMN(), 4, TRUE, "Import-dataset")), "" )</f>
        <v>1.0628517823639776</v>
      </c>
      <c r="AY21" s="6" cm="1">
        <f t="array" aca="1" ref="AY21" ca="1">IFERROR( INDIRECT(ADDRESS(ROW()+1, COLUMN(), 4, TRUE, "Import-dataset")) / INDIRECT(ADDRESS(ROW(), COLUMN(), 4, TRUE, "Import-dataset")), "" )</f>
        <v>0.95482189400521289</v>
      </c>
      <c r="AZ21" s="6" cm="1">
        <f t="array" aca="1" ref="AZ21" ca="1">IFERROR( INDIRECT(ADDRESS(ROW()+1, COLUMN(), 4, TRUE, "Import-dataset")) / INDIRECT(ADDRESS(ROW(), COLUMN(), 4, TRUE, "Import-dataset")), "" )</f>
        <v>1.3512773722627738</v>
      </c>
      <c r="BA21" s="6" cm="1">
        <f t="array" aca="1" ref="BA21" ca="1">IFERROR( INDIRECT(ADDRESS(ROW()+1, COLUMN(), 4, TRUE, "Import-dataset")) / INDIRECT(ADDRESS(ROW(), COLUMN(), 4, TRUE, "Import-dataset")), "" )</f>
        <v>1.079449961802903</v>
      </c>
      <c r="BB21" s="6" cm="1">
        <f t="array" aca="1" ref="BB21" ca="1">IFERROR( INDIRECT(ADDRESS(ROW()+1, COLUMN(), 4, TRUE, "Import-dataset")) / INDIRECT(ADDRESS(ROW(), COLUMN(), 4, TRUE, "Import-dataset")), "" )</f>
        <v>1.0878235969591696</v>
      </c>
      <c r="BC21" s="6" cm="1">
        <f t="array" aca="1" ref="BC21" ca="1">IFERROR( INDIRECT(ADDRESS(ROW()+1, COLUMN(), 4, TRUE, "Import-dataset")) / INDIRECT(ADDRESS(ROW(), COLUMN(), 4, TRUE, "Import-dataset")), "" )</f>
        <v>1.0451041964030832</v>
      </c>
      <c r="BD21" s="6" cm="1">
        <f t="array" aca="1" ref="BD21" ca="1">IFERROR( INDIRECT(ADDRESS(ROW()+1, COLUMN(), 4, TRUE, "Import-dataset")) / INDIRECT(ADDRESS(ROW(), COLUMN(), 4, TRUE, "Import-dataset")), "" )</f>
        <v>1.0941854877462758</v>
      </c>
      <c r="BE21" s="6" cm="1">
        <f t="array" aca="1" ref="BE21" ca="1">IFERROR( INDIRECT(ADDRESS(ROW()+1, COLUMN(), 4, TRUE, "Import-dataset")) / INDIRECT(ADDRESS(ROW(), COLUMN(), 4, TRUE, "Import-dataset")), "" )</f>
        <v>0.83448275862068966</v>
      </c>
      <c r="BF21" s="6" cm="1">
        <f t="array" aca="1" ref="BF21" ca="1">IFERROR( INDIRECT(ADDRESS(ROW()+1, COLUMN(), 4, TRUE, "Import-dataset")) / INDIRECT(ADDRESS(ROW(), COLUMN(), 4, TRUE, "Import-dataset")), "" )</f>
        <v>1.1419813634134379</v>
      </c>
      <c r="BG21" s="6" cm="1">
        <f t="array" aca="1" ref="BG21" ca="1">IFERROR( INDIRECT(ADDRESS(ROW()+1, COLUMN(), 4, TRUE, "Import-dataset")) / INDIRECT(ADDRESS(ROW(), COLUMN(), 4, TRUE, "Import-dataset")), "" )</f>
        <v>1.1034129692832764</v>
      </c>
      <c r="BH21" s="6" cm="1">
        <f t="array" aca="1" ref="BH21" ca="1">IFERROR( INDIRECT(ADDRESS(ROW()+1, COLUMN(), 4, TRUE, "Import-dataset")) / INDIRECT(ADDRESS(ROW(), COLUMN(), 4, TRUE, "Import-dataset")), "" )</f>
        <v>1.1457551594746718</v>
      </c>
      <c r="BI21" s="6" cm="1">
        <f t="array" aca="1" ref="BI21" ca="1">IFERROR( INDIRECT(ADDRESS(ROW()+1, COLUMN(), 4, TRUE, "Import-dataset")) / INDIRECT(ADDRESS(ROW(), COLUMN(), 4, TRUE, "Import-dataset")), "" )</f>
        <v>1.0816326530612246</v>
      </c>
      <c r="BJ21" s="6" cm="1">
        <f t="array" aca="1" ref="BJ21" ca="1">IFERROR( INDIRECT(ADDRESS(ROW()+1, COLUMN(), 4, TRUE, "Import-dataset")) / INDIRECT(ADDRESS(ROW(), COLUMN(), 4, TRUE, "Import-dataset")), "" )</f>
        <v>1.0531372549019609</v>
      </c>
      <c r="BK21" s="6" cm="1">
        <f t="array" aca="1" ref="BK21" ca="1">IFERROR( INDIRECT(ADDRESS(ROW()+1, COLUMN(), 4, TRUE, "Import-dataset")) / INDIRECT(ADDRESS(ROW(), COLUMN(), 4, TRUE, "Import-dataset")), "" )</f>
        <v>1.0910500664599025</v>
      </c>
      <c r="BL21" s="6" cm="1">
        <f t="array" aca="1" ref="BL21" ca="1">IFERROR( INDIRECT(ADDRESS(ROW()+1, COLUMN(), 4, TRUE, "Import-dataset")) / INDIRECT(ADDRESS(ROW(), COLUMN(), 4, TRUE, "Import-dataset")), "" )</f>
        <v>1.0915330731982511</v>
      </c>
      <c r="BM21" s="6" cm="1">
        <f t="array" aca="1" ref="BM21" ca="1">IFERROR( INDIRECT(ADDRESS(ROW()+1, COLUMN(), 4, TRUE, "Import-dataset")) / INDIRECT(ADDRESS(ROW(), COLUMN(), 4, TRUE, "Import-dataset")), "" )</f>
        <v>1.1565557729941291</v>
      </c>
      <c r="BN21" s="6" cm="1">
        <f t="array" aca="1" ref="BN21" ca="1">IFERROR( INDIRECT(ADDRESS(ROW()+1, COLUMN(), 4, TRUE, "Import-dataset")) / INDIRECT(ADDRESS(ROW(), COLUMN(), 4, TRUE, "Import-dataset")), "" )</f>
        <v>1.1462793068297656</v>
      </c>
      <c r="BO21" s="6" cm="1">
        <f t="array" aca="1" ref="BO21" ca="1">IFERROR( INDIRECT(ADDRESS(ROW()+1, COLUMN(), 4, TRUE, "Import-dataset")) / INDIRECT(ADDRESS(ROW(), COLUMN(), 4, TRUE, "Import-dataset")), "" )</f>
        <v>1.0658362989323844</v>
      </c>
      <c r="BP21" s="6" cm="1">
        <f t="array" aca="1" ref="BP21" ca="1">IFERROR( INDIRECT(ADDRESS(ROW()+1, COLUMN(), 4, TRUE, "Import-dataset")) / INDIRECT(ADDRESS(ROW(), COLUMN(), 4, TRUE, "Import-dataset")), "" )</f>
        <v>1.0653610771113831</v>
      </c>
      <c r="BQ21" s="6" cm="1">
        <f t="array" aca="1" ref="BQ21" ca="1">IFERROR( INDIRECT(ADDRESS(ROW()+1, COLUMN(), 4, TRUE, "Import-dataset")) / INDIRECT(ADDRESS(ROW(), COLUMN(), 4, TRUE, "Import-dataset")), "" )</f>
        <v>1.1065651760228354</v>
      </c>
      <c r="BR21" s="6" cm="1">
        <f t="array" aca="1" ref="BR21" ca="1">IFERROR( INDIRECT(ADDRESS(ROW()+1, COLUMN(), 4, TRUE, "Import-dataset")) / INDIRECT(ADDRESS(ROW(), COLUMN(), 4, TRUE, "Import-dataset")), "" )</f>
        <v>1.1017362995116657</v>
      </c>
      <c r="BS21" s="6" cm="1">
        <f t="array" aca="1" ref="BS21" ca="1">IFERROR( INDIRECT(ADDRESS(ROW()+1, COLUMN(), 4, TRUE, "Import-dataset")) / INDIRECT(ADDRESS(ROW(), COLUMN(), 4, TRUE, "Import-dataset")), "" )</f>
        <v>0.99621785173978816</v>
      </c>
      <c r="BT21" s="6" cm="1">
        <f t="array" aca="1" ref="BT21" ca="1">IFERROR( INDIRECT(ADDRESS(ROW()+1, COLUMN(), 4, TRUE, "Import-dataset")) / INDIRECT(ADDRESS(ROW(), COLUMN(), 4, TRUE, "Import-dataset")), "" )</f>
        <v>1.0980101347175875</v>
      </c>
      <c r="BU21" s="6" cm="1">
        <f t="array" aca="1" ref="BU21" ca="1">IFERROR( INDIRECT(ADDRESS(ROW()+1, COLUMN(), 4, TRUE, "Import-dataset")) / INDIRECT(ADDRESS(ROW(), COLUMN(), 4, TRUE, "Import-dataset")), "" )</f>
        <v>2.0209035738368173</v>
      </c>
      <c r="BV21" s="6" cm="1">
        <f t="array" aca="1" ref="BV21" ca="1">IFERROR( INDIRECT(ADDRESS(ROW()+1, COLUMN(), 4, TRUE, "Import-dataset")) / INDIRECT(ADDRESS(ROW(), COLUMN(), 4, TRUE, "Import-dataset")), "" )</f>
        <v>1.3666666666666667</v>
      </c>
      <c r="BW21" s="6" cm="1">
        <f t="array" aca="1" ref="BW21" ca="1">IFERROR( INDIRECT(ADDRESS(ROW()+1, COLUMN(), 4, TRUE, "Import-dataset")) / INDIRECT(ADDRESS(ROW(), COLUMN(), 4, TRUE, "Import-dataset")), "" )</f>
        <v>0.33333333333333331</v>
      </c>
      <c r="BX21" s="6" t="str" cm="1">
        <f t="array" aca="1" ref="BX21" ca="1">IFERROR( INDIRECT(ADDRESS(ROW()+1, COLUMN(), 4, TRUE, "Import-dataset")) / INDIRECT(ADDRESS(ROW(), COLUMN(), 4, TRUE, "Import-dataset")), "" )</f>
        <v/>
      </c>
      <c r="BY21" s="6" cm="1">
        <f t="array" aca="1" ref="BY21" ca="1">IFERROR( INDIRECT(ADDRESS(ROW()+1, COLUMN(), 4, TRUE, "Import-dataset")) / INDIRECT(ADDRESS(ROW(), COLUMN(), 4, TRUE, "Import-dataset")), "" )</f>
        <v>2.0704326063639615</v>
      </c>
      <c r="BZ21" s="6" cm="1">
        <f t="array" aca="1" ref="BZ21" ca="1">IFERROR( INDIRECT(ADDRESS(ROW()+1, COLUMN(), 4, TRUE, "Import-dataset")) / INDIRECT(ADDRESS(ROW(), COLUMN(), 4, TRUE, "Import-dataset")), "" )</f>
        <v>1.1838235294117647</v>
      </c>
      <c r="CA21" s="6" cm="1">
        <f t="array" aca="1" ref="CA21" ca="1">IFERROR( INDIRECT(ADDRESS(ROW()+1, COLUMN(), 4, TRUE, "Import-dataset")) / INDIRECT(ADDRESS(ROW(), COLUMN(), 4, TRUE, "Import-dataset")), "" )</f>
        <v>1.1311595506773258</v>
      </c>
    </row>
    <row r="22" spans="1:79">
      <c r="A22" s="6" t="s">
        <v>179</v>
      </c>
      <c r="B22" s="6" cm="1">
        <f t="array" aca="1" ref="B22" ca="1">IFERROR( INDIRECT(ADDRESS(ROW()+1, COLUMN(), 4, TRUE, "Import-dataset")) / INDIRECT(ADDRESS(ROW(), COLUMN(), 4, TRUE, "Import-dataset")), "" )</f>
        <v>1.1256651017214399</v>
      </c>
      <c r="C22" s="6" cm="1">
        <f t="array" aca="1" ref="C22" ca="1">IFERROR( INDIRECT(ADDRESS(ROW()+1, COLUMN(), 4, TRUE, "Import-dataset")) / INDIRECT(ADDRESS(ROW(), COLUMN(), 4, TRUE, "Import-dataset")), "" )</f>
        <v>0.87096774193548387</v>
      </c>
      <c r="D22" s="6" cm="1">
        <f t="array" aca="1" ref="D22" ca="1">IFERROR( INDIRECT(ADDRESS(ROW()+1, COLUMN(), 4, TRUE, "Import-dataset")) / INDIRECT(ADDRESS(ROW(), COLUMN(), 4, TRUE, "Import-dataset")), "" )</f>
        <v>1.243455497382199</v>
      </c>
      <c r="E22" s="6" cm="1">
        <f t="array" aca="1" ref="E22" ca="1">IFERROR( INDIRECT(ADDRESS(ROW()+1, COLUMN(), 4, TRUE, "Import-dataset")) / INDIRECT(ADDRESS(ROW(), COLUMN(), 4, TRUE, "Import-dataset")), "" )</f>
        <v>1.0977272727272727</v>
      </c>
      <c r="F22" s="6" cm="1">
        <f t="array" aca="1" ref="F22" ca="1">IFERROR( INDIRECT(ADDRESS(ROW()+1, COLUMN(), 4, TRUE, "Import-dataset")) / INDIRECT(ADDRESS(ROW(), COLUMN(), 4, TRUE, "Import-dataset")), "" )</f>
        <v>1.0185512367491165</v>
      </c>
      <c r="G22" s="6" cm="1">
        <f t="array" aca="1" ref="G22" ca="1">IFERROR( INDIRECT(ADDRESS(ROW()+1, COLUMN(), 4, TRUE, "Import-dataset")) / INDIRECT(ADDRESS(ROW(), COLUMN(), 4, TRUE, "Import-dataset")), "" )</f>
        <v>1.1405622489959839</v>
      </c>
      <c r="H22" s="6" cm="1">
        <f t="array" aca="1" ref="H22" ca="1">IFERROR( INDIRECT(ADDRESS(ROW()+1, COLUMN(), 4, TRUE, "Import-dataset")) / INDIRECT(ADDRESS(ROW(), COLUMN(), 4, TRUE, "Import-dataset")), "" )</f>
        <v>1.1339790153349476</v>
      </c>
      <c r="I22" s="6" cm="1">
        <f t="array" aca="1" ref="I22" ca="1">IFERROR( INDIRECT(ADDRESS(ROW()+1, COLUMN(), 4, TRUE, "Import-dataset")) / INDIRECT(ADDRESS(ROW(), COLUMN(), 4, TRUE, "Import-dataset")), "" )</f>
        <v>1.2032085561497325</v>
      </c>
      <c r="J22" s="6" cm="1">
        <f t="array" aca="1" ref="J22" ca="1">IFERROR( INDIRECT(ADDRESS(ROW()+1, COLUMN(), 4, TRUE, "Import-dataset")) / INDIRECT(ADDRESS(ROW(), COLUMN(), 4, TRUE, "Import-dataset")), "" )</f>
        <v>1.1394472361809045</v>
      </c>
      <c r="K22" s="6" cm="1">
        <f t="array" aca="1" ref="K22" ca="1">IFERROR( INDIRECT(ADDRESS(ROW()+1, COLUMN(), 4, TRUE, "Import-dataset")) / INDIRECT(ADDRESS(ROW(), COLUMN(), 4, TRUE, "Import-dataset")), "" )</f>
        <v>1.4229691876750701</v>
      </c>
      <c r="L22" s="6" cm="1">
        <f t="array" aca="1" ref="L22" ca="1">IFERROR( INDIRECT(ADDRESS(ROW()+1, COLUMN(), 4, TRUE, "Import-dataset")) / INDIRECT(ADDRESS(ROW(), COLUMN(), 4, TRUE, "Import-dataset")), "" )</f>
        <v>1.0975806451612904</v>
      </c>
      <c r="M22" s="6" cm="1">
        <f t="array" aca="1" ref="M22" ca="1">IFERROR( INDIRECT(ADDRESS(ROW()+1, COLUMN(), 4, TRUE, "Import-dataset")) / INDIRECT(ADDRESS(ROW(), COLUMN(), 4, TRUE, "Import-dataset")), "" )</f>
        <v>1.1174628034455756</v>
      </c>
      <c r="N22" s="6" cm="1">
        <f t="array" aca="1" ref="N22" ca="1">IFERROR( INDIRECT(ADDRESS(ROW()+1, COLUMN(), 4, TRUE, "Import-dataset")) / INDIRECT(ADDRESS(ROW(), COLUMN(), 4, TRUE, "Import-dataset")), "" )</f>
        <v>1.1556829035339065</v>
      </c>
      <c r="O22" s="6" cm="1">
        <f t="array" aca="1" ref="O22" ca="1">IFERROR( INDIRECT(ADDRESS(ROW()+1, COLUMN(), 4, TRUE, "Import-dataset")) / INDIRECT(ADDRESS(ROW(), COLUMN(), 4, TRUE, "Import-dataset")), "" )</f>
        <v>0.95258620689655171</v>
      </c>
      <c r="P22" s="6" cm="1">
        <f t="array" aca="1" ref="P22" ca="1">IFERROR( INDIRECT(ADDRESS(ROW()+1, COLUMN(), 4, TRUE, "Import-dataset")) / INDIRECT(ADDRESS(ROW(), COLUMN(), 4, TRUE, "Import-dataset")), "" )</f>
        <v>1.1160270880361174</v>
      </c>
      <c r="Q22" s="6" t="str" cm="1">
        <f t="array" aca="1" ref="Q22" ca="1">IFERROR( INDIRECT(ADDRESS(ROW()+1, COLUMN(), 4, TRUE, "Import-dataset")) / INDIRECT(ADDRESS(ROW(), COLUMN(), 4, TRUE, "Import-dataset")), "" )</f>
        <v/>
      </c>
      <c r="R22" s="6" cm="1">
        <f t="array" aca="1" ref="R22" ca="1">IFERROR( INDIRECT(ADDRESS(ROW()+1, COLUMN(), 4, TRUE, "Import-dataset")) / INDIRECT(ADDRESS(ROW(), COLUMN(), 4, TRUE, "Import-dataset")), "" )</f>
        <v>1.126984126984127</v>
      </c>
      <c r="S22" s="6" cm="1">
        <f t="array" aca="1" ref="S22" ca="1">IFERROR( INDIRECT(ADDRESS(ROW()+1, COLUMN(), 4, TRUE, "Import-dataset")) / INDIRECT(ADDRESS(ROW(), COLUMN(), 4, TRUE, "Import-dataset")), "" )</f>
        <v>0.89784946236559138</v>
      </c>
      <c r="T22" s="6" cm="1">
        <f t="array" aca="1" ref="T22" ca="1">IFERROR( INDIRECT(ADDRESS(ROW()+1, COLUMN(), 4, TRUE, "Import-dataset")) / INDIRECT(ADDRESS(ROW(), COLUMN(), 4, TRUE, "Import-dataset")), "" )</f>
        <v>1.1693989071038251</v>
      </c>
      <c r="U22" s="6" cm="1">
        <f t="array" aca="1" ref="U22" ca="1">IFERROR( INDIRECT(ADDRESS(ROW()+1, COLUMN(), 4, TRUE, "Import-dataset")) / INDIRECT(ADDRESS(ROW(), COLUMN(), 4, TRUE, "Import-dataset")), "" )</f>
        <v>1.1673469387755102</v>
      </c>
      <c r="V22" s="6" cm="1">
        <f t="array" aca="1" ref="V22" ca="1">IFERROR( INDIRECT(ADDRESS(ROW()+1, COLUMN(), 4, TRUE, "Import-dataset")) / INDIRECT(ADDRESS(ROW(), COLUMN(), 4, TRUE, "Import-dataset")), "" )</f>
        <v>0.94630872483221473</v>
      </c>
      <c r="W22" s="6" cm="1">
        <f t="array" aca="1" ref="W22" ca="1">IFERROR( INDIRECT(ADDRESS(ROW()+1, COLUMN(), 4, TRUE, "Import-dataset")) / INDIRECT(ADDRESS(ROW(), COLUMN(), 4, TRUE, "Import-dataset")), "" )</f>
        <v>1.0467836257309941</v>
      </c>
      <c r="X22" s="6" cm="1">
        <f t="array" aca="1" ref="X22" ca="1">IFERROR( INDIRECT(ADDRESS(ROW()+1, COLUMN(), 4, TRUE, "Import-dataset")) / INDIRECT(ADDRESS(ROW(), COLUMN(), 4, TRUE, "Import-dataset")), "" )</f>
        <v>1.2299465240641712</v>
      </c>
      <c r="Y22" s="6" cm="1">
        <f t="array" aca="1" ref="Y22" ca="1">IFERROR( INDIRECT(ADDRESS(ROW()+1, COLUMN(), 4, TRUE, "Import-dataset")) / INDIRECT(ADDRESS(ROW(), COLUMN(), 4, TRUE, "Import-dataset")), "" )</f>
        <v>1.0136986301369864</v>
      </c>
      <c r="Z22" s="6" cm="1">
        <f t="array" aca="1" ref="Z22" ca="1">IFERROR( INDIRECT(ADDRESS(ROW()+1, COLUMN(), 4, TRUE, "Import-dataset")) / INDIRECT(ADDRESS(ROW(), COLUMN(), 4, TRUE, "Import-dataset")), "" )</f>
        <v>1.0543525148822361</v>
      </c>
      <c r="AA22" s="6" cm="1">
        <f t="array" aca="1" ref="AA22" ca="1">IFERROR( INDIRECT(ADDRESS(ROW()+1, COLUMN(), 4, TRUE, "Import-dataset")) / INDIRECT(ADDRESS(ROW(), COLUMN(), 4, TRUE, "Import-dataset")), "" )</f>
        <v>1</v>
      </c>
      <c r="AB22" s="6" cm="1">
        <f t="array" aca="1" ref="AB22" ca="1">IFERROR( INDIRECT(ADDRESS(ROW()+1, COLUMN(), 4, TRUE, "Import-dataset")) / INDIRECT(ADDRESS(ROW(), COLUMN(), 4, TRUE, "Import-dataset")), "" )</f>
        <v>1.0474550496466588</v>
      </c>
      <c r="AC22" s="6" cm="1">
        <f t="array" aca="1" ref="AC22" ca="1">IFERROR( INDIRECT(ADDRESS(ROW()+1, COLUMN(), 4, TRUE, "Import-dataset")) / INDIRECT(ADDRESS(ROW(), COLUMN(), 4, TRUE, "Import-dataset")), "" )</f>
        <v>1.2496894409937889</v>
      </c>
      <c r="AD22" s="6" cm="1">
        <f t="array" aca="1" ref="AD22" ca="1">IFERROR( INDIRECT(ADDRESS(ROW()+1, COLUMN(), 4, TRUE, "Import-dataset")) / INDIRECT(ADDRESS(ROW(), COLUMN(), 4, TRUE, "Import-dataset")), "" )</f>
        <v>1.1189979123173277</v>
      </c>
      <c r="AE22" s="6" cm="1">
        <f t="array" aca="1" ref="AE22" ca="1">IFERROR( INDIRECT(ADDRESS(ROW()+1, COLUMN(), 4, TRUE, "Import-dataset")) / INDIRECT(ADDRESS(ROW(), COLUMN(), 4, TRUE, "Import-dataset")), "" )</f>
        <v>1.5263157894736843</v>
      </c>
      <c r="AF22" s="6" cm="1">
        <f t="array" aca="1" ref="AF22" ca="1">IFERROR( INDIRECT(ADDRESS(ROW()+1, COLUMN(), 4, TRUE, "Import-dataset")) / INDIRECT(ADDRESS(ROW(), COLUMN(), 4, TRUE, "Import-dataset")), "" )</f>
        <v>1.1124694376528117</v>
      </c>
      <c r="AG22" s="6" cm="1">
        <f t="array" aca="1" ref="AG22" ca="1">IFERROR( INDIRECT(ADDRESS(ROW()+1, COLUMN(), 4, TRUE, "Import-dataset")) / INDIRECT(ADDRESS(ROW(), COLUMN(), 4, TRUE, "Import-dataset")), "" )</f>
        <v>0.98039215686274506</v>
      </c>
      <c r="AH22" s="6" cm="1">
        <f t="array" aca="1" ref="AH22" ca="1">IFERROR( INDIRECT(ADDRESS(ROW()+1, COLUMN(), 4, TRUE, "Import-dataset")) / INDIRECT(ADDRESS(ROW(), COLUMN(), 4, TRUE, "Import-dataset")), "" )</f>
        <v>1.0766150279270734</v>
      </c>
      <c r="AI22" s="6" cm="1">
        <f t="array" aca="1" ref="AI22" ca="1">IFERROR( INDIRECT(ADDRESS(ROW()+1, COLUMN(), 4, TRUE, "Import-dataset")) / INDIRECT(ADDRESS(ROW(), COLUMN(), 4, TRUE, "Import-dataset")), "" )</f>
        <v>1.0587500000000001</v>
      </c>
      <c r="AJ22" s="6" cm="1">
        <f t="array" aca="1" ref="AJ22" ca="1">IFERROR( INDIRECT(ADDRESS(ROW()+1, COLUMN(), 4, TRUE, "Import-dataset")) / INDIRECT(ADDRESS(ROW(), COLUMN(), 4, TRUE, "Import-dataset")), "" )</f>
        <v>0.98168498168498164</v>
      </c>
      <c r="AK22" s="6" cm="1">
        <f t="array" aca="1" ref="AK22" ca="1">IFERROR( INDIRECT(ADDRESS(ROW()+1, COLUMN(), 4, TRUE, "Import-dataset")) / INDIRECT(ADDRESS(ROW(), COLUMN(), 4, TRUE, "Import-dataset")), "" )</f>
        <v>0.99336650082918743</v>
      </c>
      <c r="AL22" s="6" cm="1">
        <f t="array" aca="1" ref="AL22" ca="1">IFERROR( INDIRECT(ADDRESS(ROW()+1, COLUMN(), 4, TRUE, "Import-dataset")) / INDIRECT(ADDRESS(ROW(), COLUMN(), 4, TRUE, "Import-dataset")), "" )</f>
        <v>1.0979395604395605</v>
      </c>
      <c r="AM22" s="6" cm="1">
        <f t="array" aca="1" ref="AM22" ca="1">IFERROR( INDIRECT(ADDRESS(ROW()+1, COLUMN(), 4, TRUE, "Import-dataset")) / INDIRECT(ADDRESS(ROW(), COLUMN(), 4, TRUE, "Import-dataset")), "" )</f>
        <v>1.0373952288845907</v>
      </c>
      <c r="AN22" s="6" cm="1">
        <f t="array" aca="1" ref="AN22" ca="1">IFERROR( INDIRECT(ADDRESS(ROW()+1, COLUMN(), 4, TRUE, "Import-dataset")) / INDIRECT(ADDRESS(ROW(), COLUMN(), 4, TRUE, "Import-dataset")), "" )</f>
        <v>1.1876606683804627</v>
      </c>
      <c r="AO22" s="6" cm="1">
        <f t="array" aca="1" ref="AO22" ca="1">IFERROR( INDIRECT(ADDRESS(ROW()+1, COLUMN(), 4, TRUE, "Import-dataset")) / INDIRECT(ADDRESS(ROW(), COLUMN(), 4, TRUE, "Import-dataset")), "" )</f>
        <v>1.1414538310412574</v>
      </c>
      <c r="AP22" s="6" cm="1">
        <f t="array" aca="1" ref="AP22" ca="1">IFERROR( INDIRECT(ADDRESS(ROW()+1, COLUMN(), 4, TRUE, "Import-dataset")) / INDIRECT(ADDRESS(ROW(), COLUMN(), 4, TRUE, "Import-dataset")), "" )</f>
        <v>1.0714285714285714</v>
      </c>
      <c r="AQ22" s="6" cm="1">
        <f t="array" aca="1" ref="AQ22" ca="1">IFERROR( INDIRECT(ADDRESS(ROW()+1, COLUMN(), 4, TRUE, "Import-dataset")) / INDIRECT(ADDRESS(ROW(), COLUMN(), 4, TRUE, "Import-dataset")), "" )</f>
        <v>1.0398843930635837</v>
      </c>
      <c r="AR22" s="6" cm="1">
        <f t="array" aca="1" ref="AR22" ca="1">IFERROR( INDIRECT(ADDRESS(ROW()+1, COLUMN(), 4, TRUE, "Import-dataset")) / INDIRECT(ADDRESS(ROW(), COLUMN(), 4, TRUE, "Import-dataset")), "" )</f>
        <v>1.0926430517711172</v>
      </c>
      <c r="AS22" s="6" cm="1">
        <f t="array" aca="1" ref="AS22" ca="1">IFERROR( INDIRECT(ADDRESS(ROW()+1, COLUMN(), 4, TRUE, "Import-dataset")) / INDIRECT(ADDRESS(ROW(), COLUMN(), 4, TRUE, "Import-dataset")), "" )</f>
        <v>1.178082191780822</v>
      </c>
      <c r="AT22" s="6" cm="1">
        <f t="array" aca="1" ref="AT22" ca="1">IFERROR( INDIRECT(ADDRESS(ROW()+1, COLUMN(), 4, TRUE, "Import-dataset")) / INDIRECT(ADDRESS(ROW(), COLUMN(), 4, TRUE, "Import-dataset")), "" )</f>
        <v>1.059887979319259</v>
      </c>
      <c r="AU22" s="6" cm="1">
        <f t="array" aca="1" ref="AU22" ca="1">IFERROR( INDIRECT(ADDRESS(ROW()+1, COLUMN(), 4, TRUE, "Import-dataset")) / INDIRECT(ADDRESS(ROW(), COLUMN(), 4, TRUE, "Import-dataset")), "" )</f>
        <v>1.0269841269841269</v>
      </c>
      <c r="AV22" s="6" cm="1">
        <f t="array" aca="1" ref="AV22" ca="1">IFERROR( INDIRECT(ADDRESS(ROW()+1, COLUMN(), 4, TRUE, "Import-dataset")) / INDIRECT(ADDRESS(ROW(), COLUMN(), 4, TRUE, "Import-dataset")), "" )</f>
        <v>1.0468214693566806</v>
      </c>
      <c r="AW22" s="6" cm="1">
        <f t="array" aca="1" ref="AW22" ca="1">IFERROR( INDIRECT(ADDRESS(ROW()+1, COLUMN(), 4, TRUE, "Import-dataset")) / INDIRECT(ADDRESS(ROW(), COLUMN(), 4, TRUE, "Import-dataset")), "" )</f>
        <v>1.0147722609766106</v>
      </c>
      <c r="AX22" s="6" cm="1">
        <f t="array" aca="1" ref="AX22" ca="1">IFERROR( INDIRECT(ADDRESS(ROW()+1, COLUMN(), 4, TRUE, "Import-dataset")) / INDIRECT(ADDRESS(ROW(), COLUMN(), 4, TRUE, "Import-dataset")), "" )</f>
        <v>1.0511915269196823</v>
      </c>
      <c r="AY22" s="6" cm="1">
        <f t="array" aca="1" ref="AY22" ca="1">IFERROR( INDIRECT(ADDRESS(ROW()+1, COLUMN(), 4, TRUE, "Import-dataset")) / INDIRECT(ADDRESS(ROW(), COLUMN(), 4, TRUE, "Import-dataset")), "" )</f>
        <v>1.1507430997876857</v>
      </c>
      <c r="AZ22" s="6" cm="1">
        <f t="array" aca="1" ref="AZ22" ca="1">IFERROR( INDIRECT(ADDRESS(ROW()+1, COLUMN(), 4, TRUE, "Import-dataset")) / INDIRECT(ADDRESS(ROW(), COLUMN(), 4, TRUE, "Import-dataset")), "" )</f>
        <v>1.2694125590817016</v>
      </c>
      <c r="BA22" s="6" cm="1">
        <f t="array" aca="1" ref="BA22" ca="1">IFERROR( INDIRECT(ADDRESS(ROW()+1, COLUMN(), 4, TRUE, "Import-dataset")) / INDIRECT(ADDRESS(ROW(), COLUMN(), 4, TRUE, "Import-dataset")), "" )</f>
        <v>1.1073366359990564</v>
      </c>
      <c r="BB22" s="6" cm="1">
        <f t="array" aca="1" ref="BB22" ca="1">IFERROR( INDIRECT(ADDRESS(ROW()+1, COLUMN(), 4, TRUE, "Import-dataset")) / INDIRECT(ADDRESS(ROW(), COLUMN(), 4, TRUE, "Import-dataset")), "" )</f>
        <v>1.0550782346102967</v>
      </c>
      <c r="BC22" s="6" cm="1">
        <f t="array" aca="1" ref="BC22" ca="1">IFERROR( INDIRECT(ADDRESS(ROW()+1, COLUMN(), 4, TRUE, "Import-dataset")) / INDIRECT(ADDRESS(ROW(), COLUMN(), 4, TRUE, "Import-dataset")), "" )</f>
        <v>1.0789401802786125</v>
      </c>
      <c r="BD22" s="6" cm="1">
        <f t="array" aca="1" ref="BD22" ca="1">IFERROR( INDIRECT(ADDRESS(ROW()+1, COLUMN(), 4, TRUE, "Import-dataset")) / INDIRECT(ADDRESS(ROW(), COLUMN(), 4, TRUE, "Import-dataset")), "" )</f>
        <v>1.0374762113892548</v>
      </c>
      <c r="BE22" s="6" cm="1">
        <f t="array" aca="1" ref="BE22" ca="1">IFERROR( INDIRECT(ADDRESS(ROW()+1, COLUMN(), 4, TRUE, "Import-dataset")) / INDIRECT(ADDRESS(ROW(), COLUMN(), 4, TRUE, "Import-dataset")), "" )</f>
        <v>1.1143250688705235</v>
      </c>
      <c r="BF22" s="6" cm="1">
        <f t="array" aca="1" ref="BF22" ca="1">IFERROR( INDIRECT(ADDRESS(ROW()+1, COLUMN(), 4, TRUE, "Import-dataset")) / INDIRECT(ADDRESS(ROW(), COLUMN(), 4, TRUE, "Import-dataset")), "" )</f>
        <v>1.063989692935366</v>
      </c>
      <c r="BG22" s="6" cm="1">
        <f t="array" aca="1" ref="BG22" ca="1">IFERROR( INDIRECT(ADDRESS(ROW()+1, COLUMN(), 4, TRUE, "Import-dataset")) / INDIRECT(ADDRESS(ROW(), COLUMN(), 4, TRUE, "Import-dataset")), "" )</f>
        <v>0.92576554283946799</v>
      </c>
      <c r="BH22" s="6" cm="1">
        <f t="array" aca="1" ref="BH22" ca="1">IFERROR( INDIRECT(ADDRESS(ROW()+1, COLUMN(), 4, TRUE, "Import-dataset")) / INDIRECT(ADDRESS(ROW(), COLUMN(), 4, TRUE, "Import-dataset")), "" )</f>
        <v>1.1172858458704329</v>
      </c>
      <c r="BI22" s="6" cm="1">
        <f t="array" aca="1" ref="BI22" ca="1">IFERROR( INDIRECT(ADDRESS(ROW()+1, COLUMN(), 4, TRUE, "Import-dataset")) / INDIRECT(ADDRESS(ROW(), COLUMN(), 4, TRUE, "Import-dataset")), "" )</f>
        <v>1.0571971045449151</v>
      </c>
      <c r="BJ22" s="6" cm="1">
        <f t="array" aca="1" ref="BJ22" ca="1">IFERROR( INDIRECT(ADDRESS(ROW()+1, COLUMN(), 4, TRUE, "Import-dataset")) / INDIRECT(ADDRESS(ROW(), COLUMN(), 4, TRUE, "Import-dataset")), "" )</f>
        <v>1.1314932042450196</v>
      </c>
      <c r="BK22" s="6" cm="1">
        <f t="array" aca="1" ref="BK22" ca="1">IFERROR( INDIRECT(ADDRESS(ROW()+1, COLUMN(), 4, TRUE, "Import-dataset")) / INDIRECT(ADDRESS(ROW(), COLUMN(), 4, TRUE, "Import-dataset")), "" )</f>
        <v>0.83086294416243656</v>
      </c>
      <c r="BL22" s="6" cm="1">
        <f t="array" aca="1" ref="BL22" ca="1">IFERROR( INDIRECT(ADDRESS(ROW()+1, COLUMN(), 4, TRUE, "Import-dataset")) / INDIRECT(ADDRESS(ROW(), COLUMN(), 4, TRUE, "Import-dataset")), "" )</f>
        <v>1.0548281505728314</v>
      </c>
      <c r="BM22" s="6" cm="1">
        <f t="array" aca="1" ref="BM22" ca="1">IFERROR( INDIRECT(ADDRESS(ROW()+1, COLUMN(), 4, TRUE, "Import-dataset")) / INDIRECT(ADDRESS(ROW(), COLUMN(), 4, TRUE, "Import-dataset")), "" )</f>
        <v>1.1201353637901861</v>
      </c>
      <c r="BN22" s="6" cm="1">
        <f t="array" aca="1" ref="BN22" ca="1">IFERROR( INDIRECT(ADDRESS(ROW()+1, COLUMN(), 4, TRUE, "Import-dataset")) / INDIRECT(ADDRESS(ROW(), COLUMN(), 4, TRUE, "Import-dataset")), "" )</f>
        <v>1.0827034237438862</v>
      </c>
      <c r="BO22" s="6" cm="1">
        <f t="array" aca="1" ref="BO22" ca="1">IFERROR( INDIRECT(ADDRESS(ROW()+1, COLUMN(), 4, TRUE, "Import-dataset")) / INDIRECT(ADDRESS(ROW(), COLUMN(), 4, TRUE, "Import-dataset")), "" )</f>
        <v>1.0984974958263773</v>
      </c>
      <c r="BP22" s="6" cm="1">
        <f t="array" aca="1" ref="BP22" ca="1">IFERROR( INDIRECT(ADDRESS(ROW()+1, COLUMN(), 4, TRUE, "Import-dataset")) / INDIRECT(ADDRESS(ROW(), COLUMN(), 4, TRUE, "Import-dataset")), "" )</f>
        <v>1.0259650735294117</v>
      </c>
      <c r="BQ22" s="6" cm="1">
        <f t="array" aca="1" ref="BQ22" ca="1">IFERROR( INDIRECT(ADDRESS(ROW()+1, COLUMN(), 4, TRUE, "Import-dataset")) / INDIRECT(ADDRESS(ROW(), COLUMN(), 4, TRUE, "Import-dataset")), "" )</f>
        <v>1.0060189165950129</v>
      </c>
      <c r="BR22" s="6" cm="1">
        <f t="array" aca="1" ref="BR22" ca="1">IFERROR( INDIRECT(ADDRESS(ROW()+1, COLUMN(), 4, TRUE, "Import-dataset")) / INDIRECT(ADDRESS(ROW(), COLUMN(), 4, TRUE, "Import-dataset")), "" )</f>
        <v>1.0396454075350898</v>
      </c>
      <c r="BS22" s="6" cm="1">
        <f t="array" aca="1" ref="BS22" ca="1">IFERROR( INDIRECT(ADDRESS(ROW()+1, COLUMN(), 4, TRUE, "Import-dataset")) / INDIRECT(ADDRESS(ROW(), COLUMN(), 4, TRUE, "Import-dataset")), "" )</f>
        <v>1.0220197418375094</v>
      </c>
      <c r="BT22" s="6" cm="1">
        <f t="array" aca="1" ref="BT22" ca="1">IFERROR( INDIRECT(ADDRESS(ROW()+1, COLUMN(), 4, TRUE, "Import-dataset")) / INDIRECT(ADDRESS(ROW(), COLUMN(), 4, TRUE, "Import-dataset")), "" )</f>
        <v>1.0723773075191356</v>
      </c>
      <c r="BU22" s="6" cm="1">
        <f t="array" aca="1" ref="BU22" ca="1">IFERROR( INDIRECT(ADDRESS(ROW()+1, COLUMN(), 4, TRUE, "Import-dataset")) / INDIRECT(ADDRESS(ROW(), COLUMN(), 4, TRUE, "Import-dataset")), "" )</f>
        <v>1.0977644310977643</v>
      </c>
      <c r="BV22" s="6" cm="1">
        <f t="array" aca="1" ref="BV22" ca="1">IFERROR( INDIRECT(ADDRESS(ROW()+1, COLUMN(), 4, TRUE, "Import-dataset")) / INDIRECT(ADDRESS(ROW(), COLUMN(), 4, TRUE, "Import-dataset")), "" )</f>
        <v>0.92682926829268297</v>
      </c>
      <c r="BW22" s="6" cm="1">
        <f t="array" aca="1" ref="BW22" ca="1">IFERROR( INDIRECT(ADDRESS(ROW()+1, COLUMN(), 4, TRUE, "Import-dataset")) / INDIRECT(ADDRESS(ROW(), COLUMN(), 4, TRUE, "Import-dataset")), "" )</f>
        <v>3</v>
      </c>
      <c r="BX22" s="6" t="str" cm="1">
        <f t="array" aca="1" ref="BX22" ca="1">IFERROR( INDIRECT(ADDRESS(ROW()+1, COLUMN(), 4, TRUE, "Import-dataset")) / INDIRECT(ADDRESS(ROW(), COLUMN(), 4, TRUE, "Import-dataset")), "" )</f>
        <v/>
      </c>
      <c r="BY22" s="6" cm="1">
        <f t="array" aca="1" ref="BY22" ca="1">IFERROR( INDIRECT(ADDRESS(ROW()+1, COLUMN(), 4, TRUE, "Import-dataset")) / INDIRECT(ADDRESS(ROW(), COLUMN(), 4, TRUE, "Import-dataset")), "" )</f>
        <v>1.0581937489207391</v>
      </c>
      <c r="BZ22" s="6" cm="1">
        <f t="array" aca="1" ref="BZ22" ca="1">IFERROR( INDIRECT(ADDRESS(ROW()+1, COLUMN(), 4, TRUE, "Import-dataset")) / INDIRECT(ADDRESS(ROW(), COLUMN(), 4, TRUE, "Import-dataset")), "" )</f>
        <v>2.5341614906832297</v>
      </c>
      <c r="CA22" s="6" cm="1">
        <f t="array" aca="1" ref="CA22" ca="1">IFERROR( INDIRECT(ADDRESS(ROW()+1, COLUMN(), 4, TRUE, "Import-dataset")) / INDIRECT(ADDRESS(ROW(), COLUMN(), 4, TRUE, "Import-dataset")), "" )</f>
        <v>1.0668325550215314</v>
      </c>
    </row>
    <row r="23" spans="1:79">
      <c r="A23" s="6" t="s">
        <v>180</v>
      </c>
      <c r="B23" s="6" cm="1">
        <f t="array" aca="1" ref="B23" ca="1">IFERROR( INDIRECT(ADDRESS(ROW()+1, COLUMN(), 4, TRUE, "Import-dataset")) / INDIRECT(ADDRESS(ROW(), COLUMN(), 4, TRUE, "Import-dataset")), "" )</f>
        <v>1.1519532879188099</v>
      </c>
      <c r="C23" s="6" cm="1">
        <f t="array" aca="1" ref="C23" ca="1">IFERROR( INDIRECT(ADDRESS(ROW()+1, COLUMN(), 4, TRUE, "Import-dataset")) / INDIRECT(ADDRESS(ROW(), COLUMN(), 4, TRUE, "Import-dataset")), "" )</f>
        <v>1.287037037037037</v>
      </c>
      <c r="D23" s="6" cm="1">
        <f t="array" aca="1" ref="D23" ca="1">IFERROR( INDIRECT(ADDRESS(ROW()+1, COLUMN(), 4, TRUE, "Import-dataset")) / INDIRECT(ADDRESS(ROW(), COLUMN(), 4, TRUE, "Import-dataset")), "" )</f>
        <v>1.0336842105263158</v>
      </c>
      <c r="E23" s="6" cm="1">
        <f t="array" aca="1" ref="E23" ca="1">IFERROR( INDIRECT(ADDRESS(ROW()+1, COLUMN(), 4, TRUE, "Import-dataset")) / INDIRECT(ADDRESS(ROW(), COLUMN(), 4, TRUE, "Import-dataset")), "" )</f>
        <v>1.4057971014492754</v>
      </c>
      <c r="F23" s="6" cm="1">
        <f t="array" aca="1" ref="F23" ca="1">IFERROR( INDIRECT(ADDRESS(ROW()+1, COLUMN(), 4, TRUE, "Import-dataset")) / INDIRECT(ADDRESS(ROW(), COLUMN(), 4, TRUE, "Import-dataset")), "" )</f>
        <v>1.0537727666955767</v>
      </c>
      <c r="G23" s="6" cm="1">
        <f t="array" aca="1" ref="G23" ca="1">IFERROR( INDIRECT(ADDRESS(ROW()+1, COLUMN(), 4, TRUE, "Import-dataset")) / INDIRECT(ADDRESS(ROW(), COLUMN(), 4, TRUE, "Import-dataset")), "" )</f>
        <v>1.3450704225352113</v>
      </c>
      <c r="H23" s="6" cm="1">
        <f t="array" aca="1" ref="H23" ca="1">IFERROR( INDIRECT(ADDRESS(ROW()+1, COLUMN(), 4, TRUE, "Import-dataset")) / INDIRECT(ADDRESS(ROW(), COLUMN(), 4, TRUE, "Import-dataset")), "" )</f>
        <v>1.1779359430604983</v>
      </c>
      <c r="I23" s="6" cm="1">
        <f t="array" aca="1" ref="I23" ca="1">IFERROR( INDIRECT(ADDRESS(ROW()+1, COLUMN(), 4, TRUE, "Import-dataset")) / INDIRECT(ADDRESS(ROW(), COLUMN(), 4, TRUE, "Import-dataset")), "" )</f>
        <v>1.0533333333333332</v>
      </c>
      <c r="J23" s="6" cm="1">
        <f t="array" aca="1" ref="J23" ca="1">IFERROR( INDIRECT(ADDRESS(ROW()+1, COLUMN(), 4, TRUE, "Import-dataset")) / INDIRECT(ADDRESS(ROW(), COLUMN(), 4, TRUE, "Import-dataset")), "" )</f>
        <v>1.1984564498346195</v>
      </c>
      <c r="K23" s="6" cm="1">
        <f t="array" aca="1" ref="K23" ca="1">IFERROR( INDIRECT(ADDRESS(ROW()+1, COLUMN(), 4, TRUE, "Import-dataset")) / INDIRECT(ADDRESS(ROW(), COLUMN(), 4, TRUE, "Import-dataset")), "" )</f>
        <v>1.1141732283464567</v>
      </c>
      <c r="L23" s="6" cm="1">
        <f t="array" aca="1" ref="L23" ca="1">IFERROR( INDIRECT(ADDRESS(ROW()+1, COLUMN(), 4, TRUE, "Import-dataset")) / INDIRECT(ADDRESS(ROW(), COLUMN(), 4, TRUE, "Import-dataset")), "" )</f>
        <v>1.0646583394562821</v>
      </c>
      <c r="M23" s="6" cm="1">
        <f t="array" aca="1" ref="M23" ca="1">IFERROR( INDIRECT(ADDRESS(ROW()+1, COLUMN(), 4, TRUE, "Import-dataset")) / INDIRECT(ADDRESS(ROW(), COLUMN(), 4, TRUE, "Import-dataset")), "" )</f>
        <v>1.1618780658724597</v>
      </c>
      <c r="N23" s="6" cm="1">
        <f t="array" aca="1" ref="N23" ca="1">IFERROR( INDIRECT(ADDRESS(ROW()+1, COLUMN(), 4, TRUE, "Import-dataset")) / INDIRECT(ADDRESS(ROW(), COLUMN(), 4, TRUE, "Import-dataset")), "" )</f>
        <v>1.2148760330578512</v>
      </c>
      <c r="O23" s="6" cm="1">
        <f t="array" aca="1" ref="O23" ca="1">IFERROR( INDIRECT(ADDRESS(ROW()+1, COLUMN(), 4, TRUE, "Import-dataset")) / INDIRECT(ADDRESS(ROW(), COLUMN(), 4, TRUE, "Import-dataset")), "" )</f>
        <v>0.84615384615384615</v>
      </c>
      <c r="P23" s="6" cm="1">
        <f t="array" aca="1" ref="P23" ca="1">IFERROR( INDIRECT(ADDRESS(ROW()+1, COLUMN(), 4, TRUE, "Import-dataset")) / INDIRECT(ADDRESS(ROW(), COLUMN(), 4, TRUE, "Import-dataset")), "" )</f>
        <v>1.1634304207119741</v>
      </c>
      <c r="Q23" s="6" t="str" cm="1">
        <f t="array" aca="1" ref="Q23" ca="1">IFERROR( INDIRECT(ADDRESS(ROW()+1, COLUMN(), 4, TRUE, "Import-dataset")) / INDIRECT(ADDRESS(ROW(), COLUMN(), 4, TRUE, "Import-dataset")), "" )</f>
        <v/>
      </c>
      <c r="R23" s="6" cm="1">
        <f t="array" aca="1" ref="R23" ca="1">IFERROR( INDIRECT(ADDRESS(ROW()+1, COLUMN(), 4, TRUE, "Import-dataset")) / INDIRECT(ADDRESS(ROW(), COLUMN(), 4, TRUE, "Import-dataset")), "" )</f>
        <v>0.81690140845070425</v>
      </c>
      <c r="S23" s="6" cm="1">
        <f t="array" aca="1" ref="S23" ca="1">IFERROR( INDIRECT(ADDRESS(ROW()+1, COLUMN(), 4, TRUE, "Import-dataset")) / INDIRECT(ADDRESS(ROW(), COLUMN(), 4, TRUE, "Import-dataset")), "" )</f>
        <v>1.3652694610778444</v>
      </c>
      <c r="T23" s="6" cm="1">
        <f t="array" aca="1" ref="T23" ca="1">IFERROR( INDIRECT(ADDRESS(ROW()+1, COLUMN(), 4, TRUE, "Import-dataset")) / INDIRECT(ADDRESS(ROW(), COLUMN(), 4, TRUE, "Import-dataset")), "" )</f>
        <v>1.0311526479750779</v>
      </c>
      <c r="U23" s="6" cm="1">
        <f t="array" aca="1" ref="U23" ca="1">IFERROR( INDIRECT(ADDRESS(ROW()+1, COLUMN(), 4, TRUE, "Import-dataset")) / INDIRECT(ADDRESS(ROW(), COLUMN(), 4, TRUE, "Import-dataset")), "" )</f>
        <v>1.1328671328671329</v>
      </c>
      <c r="V23" s="6" cm="1">
        <f t="array" aca="1" ref="V23" ca="1">IFERROR( INDIRECT(ADDRESS(ROW()+1, COLUMN(), 4, TRUE, "Import-dataset")) / INDIRECT(ADDRESS(ROW(), COLUMN(), 4, TRUE, "Import-dataset")), "" )</f>
        <v>0.99290780141843971</v>
      </c>
      <c r="W23" s="6" cm="1">
        <f t="array" aca="1" ref="W23" ca="1">IFERROR( INDIRECT(ADDRESS(ROW()+1, COLUMN(), 4, TRUE, "Import-dataset")) / INDIRECT(ADDRESS(ROW(), COLUMN(), 4, TRUE, "Import-dataset")), "" )</f>
        <v>3.0558659217877095</v>
      </c>
      <c r="X23" s="6" cm="1">
        <f t="array" aca="1" ref="X23" ca="1">IFERROR( INDIRECT(ADDRESS(ROW()+1, COLUMN(), 4, TRUE, "Import-dataset")) / INDIRECT(ADDRESS(ROW(), COLUMN(), 4, TRUE, "Import-dataset")), "" )</f>
        <v>0.84057971014492749</v>
      </c>
      <c r="Y23" s="6" cm="1">
        <f t="array" aca="1" ref="Y23" ca="1">IFERROR( INDIRECT(ADDRESS(ROW()+1, COLUMN(), 4, TRUE, "Import-dataset")) / INDIRECT(ADDRESS(ROW(), COLUMN(), 4, TRUE, "Import-dataset")), "" )</f>
        <v>1.1385135135135136</v>
      </c>
      <c r="Z23" s="6" cm="1">
        <f t="array" aca="1" ref="Z23" ca="1">IFERROR( INDIRECT(ADDRESS(ROW()+1, COLUMN(), 4, TRUE, "Import-dataset")) / INDIRECT(ADDRESS(ROW(), COLUMN(), 4, TRUE, "Import-dataset")), "" )</f>
        <v>1.452131576794043</v>
      </c>
      <c r="AA23" s="6" cm="1">
        <f t="array" aca="1" ref="AA23" ca="1">IFERROR( INDIRECT(ADDRESS(ROW()+1, COLUMN(), 4, TRUE, "Import-dataset")) / INDIRECT(ADDRESS(ROW(), COLUMN(), 4, TRUE, "Import-dataset")), "" )</f>
        <v>1.4210526315789473</v>
      </c>
      <c r="AB23" s="6" cm="1">
        <f t="array" aca="1" ref="AB23" ca="1">IFERROR( INDIRECT(ADDRESS(ROW()+1, COLUMN(), 4, TRUE, "Import-dataset")) / INDIRECT(ADDRESS(ROW(), COLUMN(), 4, TRUE, "Import-dataset")), "" )</f>
        <v>1.4362269951748581</v>
      </c>
      <c r="AC23" s="6" cm="1">
        <f t="array" aca="1" ref="AC23" ca="1">IFERROR( INDIRECT(ADDRESS(ROW()+1, COLUMN(), 4, TRUE, "Import-dataset")) / INDIRECT(ADDRESS(ROW(), COLUMN(), 4, TRUE, "Import-dataset")), "" )</f>
        <v>1.820079522862823</v>
      </c>
      <c r="AD23" s="6" cm="1">
        <f t="array" aca="1" ref="AD23" ca="1">IFERROR( INDIRECT(ADDRESS(ROW()+1, COLUMN(), 4, TRUE, "Import-dataset")) / INDIRECT(ADDRESS(ROW(), COLUMN(), 4, TRUE, "Import-dataset")), "" )</f>
        <v>1.125</v>
      </c>
      <c r="AE23" s="6" cm="1">
        <f t="array" aca="1" ref="AE23" ca="1">IFERROR( INDIRECT(ADDRESS(ROW()+1, COLUMN(), 4, TRUE, "Import-dataset")) / INDIRECT(ADDRESS(ROW(), COLUMN(), 4, TRUE, "Import-dataset")), "" )</f>
        <v>1.3448275862068966</v>
      </c>
      <c r="AF23" s="6" cm="1">
        <f t="array" aca="1" ref="AF23" ca="1">IFERROR( INDIRECT(ADDRESS(ROW()+1, COLUMN(), 4, TRUE, "Import-dataset")) / INDIRECT(ADDRESS(ROW(), COLUMN(), 4, TRUE, "Import-dataset")), "" )</f>
        <v>1.0945054945054946</v>
      </c>
      <c r="AG23" s="6" cm="1">
        <f t="array" aca="1" ref="AG23" ca="1">IFERROR( INDIRECT(ADDRESS(ROW()+1, COLUMN(), 4, TRUE, "Import-dataset")) / INDIRECT(ADDRESS(ROW(), COLUMN(), 4, TRUE, "Import-dataset")), "" )</f>
        <v>1.36</v>
      </c>
      <c r="AH23" s="6" cm="1">
        <f t="array" aca="1" ref="AH23" ca="1">IFERROR( INDIRECT(ADDRESS(ROW()+1, COLUMN(), 4, TRUE, "Import-dataset")) / INDIRECT(ADDRESS(ROW(), COLUMN(), 4, TRUE, "Import-dataset")), "" )</f>
        <v>1.1673355520751763</v>
      </c>
      <c r="AI23" s="6" cm="1">
        <f t="array" aca="1" ref="AI23" ca="1">IFERROR( INDIRECT(ADDRESS(ROW()+1, COLUMN(), 4, TRUE, "Import-dataset")) / INDIRECT(ADDRESS(ROW(), COLUMN(), 4, TRUE, "Import-dataset")), "" )</f>
        <v>1.0723140495867769</v>
      </c>
      <c r="AJ23" s="6" cm="1">
        <f t="array" aca="1" ref="AJ23" ca="1">IFERROR( INDIRECT(ADDRESS(ROW()+1, COLUMN(), 4, TRUE, "Import-dataset")) / INDIRECT(ADDRESS(ROW(), COLUMN(), 4, TRUE, "Import-dataset")), "" )</f>
        <v>1.7042910447761195</v>
      </c>
      <c r="AK23" s="6" cm="1">
        <f t="array" aca="1" ref="AK23" ca="1">IFERROR( INDIRECT(ADDRESS(ROW()+1, COLUMN(), 4, TRUE, "Import-dataset")) / INDIRECT(ADDRESS(ROW(), COLUMN(), 4, TRUE, "Import-dataset")), "" )</f>
        <v>1.1686143572621035</v>
      </c>
      <c r="AL23" s="6" cm="1">
        <f t="array" aca="1" ref="AL23" ca="1">IFERROR( INDIRECT(ADDRESS(ROW()+1, COLUMN(), 4, TRUE, "Import-dataset")) / INDIRECT(ADDRESS(ROW(), COLUMN(), 4, TRUE, "Import-dataset")), "" )</f>
        <v>1.0430376579507068</v>
      </c>
      <c r="AM23" s="6" cm="1">
        <f t="array" aca="1" ref="AM23" ca="1">IFERROR( INDIRECT(ADDRESS(ROW()+1, COLUMN(), 4, TRUE, "Import-dataset")) / INDIRECT(ADDRESS(ROW(), COLUMN(), 4, TRUE, "Import-dataset")), "" )</f>
        <v>1.0602858918582971</v>
      </c>
      <c r="AN23" s="6" cm="1">
        <f t="array" aca="1" ref="AN23" ca="1">IFERROR( INDIRECT(ADDRESS(ROW()+1, COLUMN(), 4, TRUE, "Import-dataset")) / INDIRECT(ADDRESS(ROW(), COLUMN(), 4, TRUE, "Import-dataset")), "" )</f>
        <v>2.4372294372294374</v>
      </c>
      <c r="AO23" s="6" cm="1">
        <f t="array" aca="1" ref="AO23" ca="1">IFERROR( INDIRECT(ADDRESS(ROW()+1, COLUMN(), 4, TRUE, "Import-dataset")) / INDIRECT(ADDRESS(ROW(), COLUMN(), 4, TRUE, "Import-dataset")), "" )</f>
        <v>1.0481927710843373</v>
      </c>
      <c r="AP23" s="6" cm="1">
        <f t="array" aca="1" ref="AP23" ca="1">IFERROR( INDIRECT(ADDRESS(ROW()+1, COLUMN(), 4, TRUE, "Import-dataset")) / INDIRECT(ADDRESS(ROW(), COLUMN(), 4, TRUE, "Import-dataset")), "" )</f>
        <v>1.0827586206896551</v>
      </c>
      <c r="AQ23" s="6" cm="1">
        <f t="array" aca="1" ref="AQ23" ca="1">IFERROR( INDIRECT(ADDRESS(ROW()+1, COLUMN(), 4, TRUE, "Import-dataset")) / INDIRECT(ADDRESS(ROW(), COLUMN(), 4, TRUE, "Import-dataset")), "" )</f>
        <v>1.1951083935519733</v>
      </c>
      <c r="AR23" s="6" cm="1">
        <f t="array" aca="1" ref="AR23" ca="1">IFERROR( INDIRECT(ADDRESS(ROW()+1, COLUMN(), 4, TRUE, "Import-dataset")) / INDIRECT(ADDRESS(ROW(), COLUMN(), 4, TRUE, "Import-dataset")), "" )</f>
        <v>1.1811508963440456</v>
      </c>
      <c r="AS23" s="6" cm="1">
        <f t="array" aca="1" ref="AS23" ca="1">IFERROR( INDIRECT(ADDRESS(ROW()+1, COLUMN(), 4, TRUE, "Import-dataset")) / INDIRECT(ADDRESS(ROW(), COLUMN(), 4, TRUE, "Import-dataset")), "" )</f>
        <v>1.0988372093023255</v>
      </c>
      <c r="AT23" s="6" cm="1">
        <f t="array" aca="1" ref="AT23" ca="1">IFERROR( INDIRECT(ADDRESS(ROW()+1, COLUMN(), 4, TRUE, "Import-dataset")) / INDIRECT(ADDRESS(ROW(), COLUMN(), 4, TRUE, "Import-dataset")), "" )</f>
        <v>1.102439024390244</v>
      </c>
      <c r="AU23" s="6" cm="1">
        <f t="array" aca="1" ref="AU23" ca="1">IFERROR( INDIRECT(ADDRESS(ROW()+1, COLUMN(), 4, TRUE, "Import-dataset")) / INDIRECT(ADDRESS(ROW(), COLUMN(), 4, TRUE, "Import-dataset")), "" )</f>
        <v>1.0989180834621328</v>
      </c>
      <c r="AV23" s="6" cm="1">
        <f t="array" aca="1" ref="AV23" ca="1">IFERROR( INDIRECT(ADDRESS(ROW()+1, COLUMN(), 4, TRUE, "Import-dataset")) / INDIRECT(ADDRESS(ROW(), COLUMN(), 4, TRUE, "Import-dataset")), "" )</f>
        <v>1.0530909090909091</v>
      </c>
      <c r="AW23" s="6" cm="1">
        <f t="array" aca="1" ref="AW23" ca="1">IFERROR( INDIRECT(ADDRESS(ROW()+1, COLUMN(), 4, TRUE, "Import-dataset")) / INDIRECT(ADDRESS(ROW(), COLUMN(), 4, TRUE, "Import-dataset")), "" )</f>
        <v>1.0537808329963607</v>
      </c>
      <c r="AX23" s="6" cm="1">
        <f t="array" aca="1" ref="AX23" ca="1">IFERROR( INDIRECT(ADDRESS(ROW()+1, COLUMN(), 4, TRUE, "Import-dataset")) / INDIRECT(ADDRESS(ROW(), COLUMN(), 4, TRUE, "Import-dataset")), "" )</f>
        <v>1.1553316540722083</v>
      </c>
      <c r="AY23" s="6" cm="1">
        <f t="array" aca="1" ref="AY23" ca="1">IFERROR( INDIRECT(ADDRESS(ROW()+1, COLUMN(), 4, TRUE, "Import-dataset")) / INDIRECT(ADDRESS(ROW(), COLUMN(), 4, TRUE, "Import-dataset")), "" )</f>
        <v>1.4243542435424354</v>
      </c>
      <c r="AZ23" s="6" cm="1">
        <f t="array" aca="1" ref="AZ23" ca="1">IFERROR( INDIRECT(ADDRESS(ROW()+1, COLUMN(), 4, TRUE, "Import-dataset")) / INDIRECT(ADDRESS(ROW(), COLUMN(), 4, TRUE, "Import-dataset")), "" )</f>
        <v>1.2095744680851064</v>
      </c>
      <c r="BA23" s="6" cm="1">
        <f t="array" aca="1" ref="BA23" ca="1">IFERROR( INDIRECT(ADDRESS(ROW()+1, COLUMN(), 4, TRUE, "Import-dataset")) / INDIRECT(ADDRESS(ROW(), COLUMN(), 4, TRUE, "Import-dataset")), "" )</f>
        <v>1.1853429910524074</v>
      </c>
      <c r="BB23" s="6" cm="1">
        <f t="array" aca="1" ref="BB23" ca="1">IFERROR( INDIRECT(ADDRESS(ROW()+1, COLUMN(), 4, TRUE, "Import-dataset")) / INDIRECT(ADDRESS(ROW(), COLUMN(), 4, TRUE, "Import-dataset")), "" )</f>
        <v>1.1147908461139044</v>
      </c>
      <c r="BC23" s="6" cm="1">
        <f t="array" aca="1" ref="BC23" ca="1">IFERROR( INDIRECT(ADDRESS(ROW()+1, COLUMN(), 4, TRUE, "Import-dataset")) / INDIRECT(ADDRESS(ROW(), COLUMN(), 4, TRUE, "Import-dataset")), "" )</f>
        <v>1.2896202531645569</v>
      </c>
      <c r="BD23" s="6" cm="1">
        <f t="array" aca="1" ref="BD23" ca="1">IFERROR( INDIRECT(ADDRESS(ROW()+1, COLUMN(), 4, TRUE, "Import-dataset")) / INDIRECT(ADDRESS(ROW(), COLUMN(), 4, TRUE, "Import-dataset")), "" )</f>
        <v>1.2153238323691267</v>
      </c>
      <c r="BE23" s="6" cm="1">
        <f t="array" aca="1" ref="BE23" ca="1">IFERROR( INDIRECT(ADDRESS(ROW()+1, COLUMN(), 4, TRUE, "Import-dataset")) / INDIRECT(ADDRESS(ROW(), COLUMN(), 4, TRUE, "Import-dataset")), "" )</f>
        <v>0.9715698393077874</v>
      </c>
      <c r="BF23" s="6" cm="1">
        <f t="array" aca="1" ref="BF23" ca="1">IFERROR( INDIRECT(ADDRESS(ROW()+1, COLUMN(), 4, TRUE, "Import-dataset")) / INDIRECT(ADDRESS(ROW(), COLUMN(), 4, TRUE, "Import-dataset")), "" )</f>
        <v>1.1029263370332998</v>
      </c>
      <c r="BG23" s="6" cm="1">
        <f t="array" aca="1" ref="BG23" ca="1">IFERROR( INDIRECT(ADDRESS(ROW()+1, COLUMN(), 4, TRUE, "Import-dataset")) / INDIRECT(ADDRESS(ROW(), COLUMN(), 4, TRUE, "Import-dataset")), "" )</f>
        <v>0.99632475776812568</v>
      </c>
      <c r="BH23" s="6" cm="1">
        <f t="array" aca="1" ref="BH23" ca="1">IFERROR( INDIRECT(ADDRESS(ROW()+1, COLUMN(), 4, TRUE, "Import-dataset")) / INDIRECT(ADDRESS(ROW(), COLUMN(), 4, TRUE, "Import-dataset")), "" )</f>
        <v>1.025648071814601</v>
      </c>
      <c r="BI23" s="6" cm="1">
        <f t="array" aca="1" ref="BI23" ca="1">IFERROR( INDIRECT(ADDRESS(ROW()+1, COLUMN(), 4, TRUE, "Import-dataset")) / INDIRECT(ADDRESS(ROW(), COLUMN(), 4, TRUE, "Import-dataset")), "" )</f>
        <v>1.1040520821641038</v>
      </c>
      <c r="BJ23" s="6" cm="1">
        <f t="array" aca="1" ref="BJ23" ca="1">IFERROR( INDIRECT(ADDRESS(ROW()+1, COLUMN(), 4, TRUE, "Import-dataset")) / INDIRECT(ADDRESS(ROW(), COLUMN(), 4, TRUE, "Import-dataset")), "" )</f>
        <v>1.0884034719651159</v>
      </c>
      <c r="BK23" s="6" cm="1">
        <f t="array" aca="1" ref="BK23" ca="1">IFERROR( INDIRECT(ADDRESS(ROW()+1, COLUMN(), 4, TRUE, "Import-dataset")) / INDIRECT(ADDRESS(ROW(), COLUMN(), 4, TRUE, "Import-dataset")), "" )</f>
        <v>1.5070869990224829</v>
      </c>
      <c r="BL23" s="6" cm="1">
        <f t="array" aca="1" ref="BL23" ca="1">IFERROR( INDIRECT(ADDRESS(ROW()+1, COLUMN(), 4, TRUE, "Import-dataset")) / INDIRECT(ADDRESS(ROW(), COLUMN(), 4, TRUE, "Import-dataset")), "" )</f>
        <v>1.1375199052713241</v>
      </c>
      <c r="BM23" s="6" cm="1">
        <f t="array" aca="1" ref="BM23" ca="1">IFERROR( INDIRECT(ADDRESS(ROW()+1, COLUMN(), 4, TRUE, "Import-dataset")) / INDIRECT(ADDRESS(ROW(), COLUMN(), 4, TRUE, "Import-dataset")), "" )</f>
        <v>1.1858006042296072</v>
      </c>
      <c r="BN23" s="6" cm="1">
        <f t="array" aca="1" ref="BN23" ca="1">IFERROR( INDIRECT(ADDRESS(ROW()+1, COLUMN(), 4, TRUE, "Import-dataset")) / INDIRECT(ADDRESS(ROW(), COLUMN(), 4, TRUE, "Import-dataset")), "" )</f>
        <v>1.151129363449692</v>
      </c>
      <c r="BO23" s="6" cm="1">
        <f t="array" aca="1" ref="BO23" ca="1">IFERROR( INDIRECT(ADDRESS(ROW()+1, COLUMN(), 4, TRUE, "Import-dataset")) / INDIRECT(ADDRESS(ROW(), COLUMN(), 4, TRUE, "Import-dataset")), "" )</f>
        <v>1.1580547112462005</v>
      </c>
      <c r="BP23" s="6" cm="1">
        <f t="array" aca="1" ref="BP23" ca="1">IFERROR( INDIRECT(ADDRESS(ROW()+1, COLUMN(), 4, TRUE, "Import-dataset")) / INDIRECT(ADDRESS(ROW(), COLUMN(), 4, TRUE, "Import-dataset")), "" )</f>
        <v>1.1307950727883538</v>
      </c>
      <c r="BQ23" s="6" cm="1">
        <f t="array" aca="1" ref="BQ23" ca="1">IFERROR( INDIRECT(ADDRESS(ROW()+1, COLUMN(), 4, TRUE, "Import-dataset")) / INDIRECT(ADDRESS(ROW(), COLUMN(), 4, TRUE, "Import-dataset")), "" )</f>
        <v>1.1136752136752137</v>
      </c>
      <c r="BR23" s="6" cm="1">
        <f t="array" aca="1" ref="BR23" ca="1">IFERROR( INDIRECT(ADDRESS(ROW()+1, COLUMN(), 4, TRUE, "Import-dataset")) / INDIRECT(ADDRESS(ROW(), COLUMN(), 4, TRUE, "Import-dataset")), "" )</f>
        <v>1.1470866887730933</v>
      </c>
      <c r="BS23" s="6" cm="1">
        <f t="array" aca="1" ref="BS23" ca="1">IFERROR( INDIRECT(ADDRESS(ROW()+1, COLUMN(), 4, TRUE, "Import-dataset")) / INDIRECT(ADDRESS(ROW(), COLUMN(), 4, TRUE, "Import-dataset")), "" )</f>
        <v>1.0594353640416048</v>
      </c>
      <c r="BT23" s="6" cm="1">
        <f t="array" aca="1" ref="BT23" ca="1">IFERROR( INDIRECT(ADDRESS(ROW()+1, COLUMN(), 4, TRUE, "Import-dataset")) / INDIRECT(ADDRESS(ROW(), COLUMN(), 4, TRUE, "Import-dataset")), "" )</f>
        <v>1.1432770022042615</v>
      </c>
      <c r="BU23" s="6" cm="1">
        <f t="array" aca="1" ref="BU23" ca="1">IFERROR( INDIRECT(ADDRESS(ROW()+1, COLUMN(), 4, TRUE, "Import-dataset")) / INDIRECT(ADDRESS(ROW(), COLUMN(), 4, TRUE, "Import-dataset")), "" )</f>
        <v>1.8518237082066868</v>
      </c>
      <c r="BV23" s="6" cm="1">
        <f t="array" aca="1" ref="BV23" ca="1">IFERROR( INDIRECT(ADDRESS(ROW()+1, COLUMN(), 4, TRUE, "Import-dataset")) / INDIRECT(ADDRESS(ROW(), COLUMN(), 4, TRUE, "Import-dataset")), "" )</f>
        <v>1.3421052631578947</v>
      </c>
      <c r="BW23" s="6" cm="1">
        <f t="array" aca="1" ref="BW23" ca="1">IFERROR( INDIRECT(ADDRESS(ROW()+1, COLUMN(), 4, TRUE, "Import-dataset")) / INDIRECT(ADDRESS(ROW(), COLUMN(), 4, TRUE, "Import-dataset")), "" )</f>
        <v>2</v>
      </c>
      <c r="BX23" s="6" t="str" cm="1">
        <f t="array" aca="1" ref="BX23" ca="1">IFERROR( INDIRECT(ADDRESS(ROW()+1, COLUMN(), 4, TRUE, "Import-dataset")) / INDIRECT(ADDRESS(ROW(), COLUMN(), 4, TRUE, "Import-dataset")), "" )</f>
        <v/>
      </c>
      <c r="BY23" s="6" cm="1">
        <f t="array" aca="1" ref="BY23" ca="1">IFERROR( INDIRECT(ADDRESS(ROW()+1, COLUMN(), 4, TRUE, "Import-dataset")) / INDIRECT(ADDRESS(ROW(), COLUMN(), 4, TRUE, "Import-dataset")), "" )</f>
        <v>1.5882832898172323</v>
      </c>
      <c r="BZ23" s="6" cm="1">
        <f t="array" aca="1" ref="BZ23" ca="1">IFERROR( INDIRECT(ADDRESS(ROW()+1, COLUMN(), 4, TRUE, "Import-dataset")) / INDIRECT(ADDRESS(ROW(), COLUMN(), 4, TRUE, "Import-dataset")), "" )</f>
        <v>5.8799019607843137</v>
      </c>
      <c r="CA23" s="6" cm="1">
        <f t="array" aca="1" ref="CA23" ca="1">IFERROR( INDIRECT(ADDRESS(ROW()+1, COLUMN(), 4, TRUE, "Import-dataset")) / INDIRECT(ADDRESS(ROW(), COLUMN(), 4, TRUE, "Import-dataset")), "" )</f>
        <v>1.2031993865357375</v>
      </c>
    </row>
    <row r="24" spans="1:79">
      <c r="A24" s="6" t="s">
        <v>181</v>
      </c>
      <c r="B24" s="6" cm="1">
        <f t="array" aca="1" ref="B24" ca="1">IFERROR( INDIRECT(ADDRESS(ROW()+1, COLUMN(), 4, TRUE, "Import-dataset")) / INDIRECT(ADDRESS(ROW(), COLUMN(), 4, TRUE, "Import-dataset")), "" )</f>
        <v>1.0424812937484915</v>
      </c>
      <c r="C24" s="6" cm="1">
        <f t="array" aca="1" ref="C24" ca="1">IFERROR( INDIRECT(ADDRESS(ROW()+1, COLUMN(), 4, TRUE, "Import-dataset")) / INDIRECT(ADDRESS(ROW(), COLUMN(), 4, TRUE, "Import-dataset")), "" )</f>
        <v>0.72661870503597126</v>
      </c>
      <c r="D24" s="6" cm="1">
        <f t="array" aca="1" ref="D24" ca="1">IFERROR( INDIRECT(ADDRESS(ROW()+1, COLUMN(), 4, TRUE, "Import-dataset")) / INDIRECT(ADDRESS(ROW(), COLUMN(), 4, TRUE, "Import-dataset")), "" )</f>
        <v>1.1690427698574337</v>
      </c>
      <c r="E24" s="6" cm="1">
        <f t="array" aca="1" ref="E24" ca="1">IFERROR( INDIRECT(ADDRESS(ROW()+1, COLUMN(), 4, TRUE, "Import-dataset")) / INDIRECT(ADDRESS(ROW(), COLUMN(), 4, TRUE, "Import-dataset")), "" )</f>
        <v>0.79823269513991169</v>
      </c>
      <c r="F24" s="6" cm="1">
        <f t="array" aca="1" ref="F24" ca="1">IFERROR( INDIRECT(ADDRESS(ROW()+1, COLUMN(), 4, TRUE, "Import-dataset")) / INDIRECT(ADDRESS(ROW(), COLUMN(), 4, TRUE, "Import-dataset")), "" )</f>
        <v>1.042798353909465</v>
      </c>
      <c r="G24" s="6" cm="1">
        <f t="array" aca="1" ref="G24" ca="1">IFERROR( INDIRECT(ADDRESS(ROW()+1, COLUMN(), 4, TRUE, "Import-dataset")) / INDIRECT(ADDRESS(ROW(), COLUMN(), 4, TRUE, "Import-dataset")), "" )</f>
        <v>1.0903141361256545</v>
      </c>
      <c r="H24" s="6" cm="1">
        <f t="array" aca="1" ref="H24" ca="1">IFERROR( INDIRECT(ADDRESS(ROW()+1, COLUMN(), 4, TRUE, "Import-dataset")) / INDIRECT(ADDRESS(ROW(), COLUMN(), 4, TRUE, "Import-dataset")), "" )</f>
        <v>0.97341389728096672</v>
      </c>
      <c r="I24" s="6" cm="1">
        <f t="array" aca="1" ref="I24" ca="1">IFERROR( INDIRECT(ADDRESS(ROW()+1, COLUMN(), 4, TRUE, "Import-dataset")) / INDIRECT(ADDRESS(ROW(), COLUMN(), 4, TRUE, "Import-dataset")), "" )</f>
        <v>1.2025316455696202</v>
      </c>
      <c r="J24" s="6" cm="1">
        <f t="array" aca="1" ref="J24" ca="1">IFERROR( INDIRECT(ADDRESS(ROW()+1, COLUMN(), 4, TRUE, "Import-dataset")) / INDIRECT(ADDRESS(ROW(), COLUMN(), 4, TRUE, "Import-dataset")), "" )</f>
        <v>1.1122355105795769</v>
      </c>
      <c r="K24" s="6" cm="1">
        <f t="array" aca="1" ref="K24" ca="1">IFERROR( INDIRECT(ADDRESS(ROW()+1, COLUMN(), 4, TRUE, "Import-dataset")) / INDIRECT(ADDRESS(ROW(), COLUMN(), 4, TRUE, "Import-dataset")), "" )</f>
        <v>1.0512367491166077</v>
      </c>
      <c r="L24" s="6" cm="1">
        <f t="array" aca="1" ref="L24" ca="1">IFERROR( INDIRECT(ADDRESS(ROW()+1, COLUMN(), 4, TRUE, "Import-dataset")) / INDIRECT(ADDRESS(ROW(), COLUMN(), 4, TRUE, "Import-dataset")), "" )</f>
        <v>1.1200828157349896</v>
      </c>
      <c r="M24" s="6" cm="1">
        <f t="array" aca="1" ref="M24" ca="1">IFERROR( INDIRECT(ADDRESS(ROW()+1, COLUMN(), 4, TRUE, "Import-dataset")) / INDIRECT(ADDRESS(ROW(), COLUMN(), 4, TRUE, "Import-dataset")), "" )</f>
        <v>1.0542822677925212</v>
      </c>
      <c r="N24" s="6" cm="1">
        <f t="array" aca="1" ref="N24" ca="1">IFERROR( INDIRECT(ADDRESS(ROW()+1, COLUMN(), 4, TRUE, "Import-dataset")) / INDIRECT(ADDRESS(ROW(), COLUMN(), 4, TRUE, "Import-dataset")), "" )</f>
        <v>1</v>
      </c>
      <c r="O24" s="6" cm="1">
        <f t="array" aca="1" ref="O24" ca="1">IFERROR( INDIRECT(ADDRESS(ROW()+1, COLUMN(), 4, TRUE, "Import-dataset")) / INDIRECT(ADDRESS(ROW(), COLUMN(), 4, TRUE, "Import-dataset")), "" )</f>
        <v>1.481283422459893</v>
      </c>
      <c r="P24" s="6" cm="1">
        <f t="array" aca="1" ref="P24" ca="1">IFERROR( INDIRECT(ADDRESS(ROW()+1, COLUMN(), 4, TRUE, "Import-dataset")) / INDIRECT(ADDRESS(ROW(), COLUMN(), 4, TRUE, "Import-dataset")), "" )</f>
        <v>0.69610570236439495</v>
      </c>
      <c r="Q24" s="6" t="str" cm="1">
        <f t="array" aca="1" ref="Q24" ca="1">IFERROR( INDIRECT(ADDRESS(ROW()+1, COLUMN(), 4, TRUE, "Import-dataset")) / INDIRECT(ADDRESS(ROW(), COLUMN(), 4, TRUE, "Import-dataset")), "" )</f>
        <v/>
      </c>
      <c r="R24" s="6" cm="1">
        <f t="array" aca="1" ref="R24" ca="1">IFERROR( INDIRECT(ADDRESS(ROW()+1, COLUMN(), 4, TRUE, "Import-dataset")) / INDIRECT(ADDRESS(ROW(), COLUMN(), 4, TRUE, "Import-dataset")), "" )</f>
        <v>0.86206896551724133</v>
      </c>
      <c r="S24" s="6" cm="1">
        <f t="array" aca="1" ref="S24" ca="1">IFERROR( INDIRECT(ADDRESS(ROW()+1, COLUMN(), 4, TRUE, "Import-dataset")) / INDIRECT(ADDRESS(ROW(), COLUMN(), 4, TRUE, "Import-dataset")), "" )</f>
        <v>0.56578947368421051</v>
      </c>
      <c r="T24" s="6" cm="1">
        <f t="array" aca="1" ref="T24" ca="1">IFERROR( INDIRECT(ADDRESS(ROW()+1, COLUMN(), 4, TRUE, "Import-dataset")) / INDIRECT(ADDRESS(ROW(), COLUMN(), 4, TRUE, "Import-dataset")), "" )</f>
        <v>0.85800604229607247</v>
      </c>
      <c r="U24" s="6" cm="1">
        <f t="array" aca="1" ref="U24" ca="1">IFERROR( INDIRECT(ADDRESS(ROW()+1, COLUMN(), 4, TRUE, "Import-dataset")) / INDIRECT(ADDRESS(ROW(), COLUMN(), 4, TRUE, "Import-dataset")), "" )</f>
        <v>0.55864197530864201</v>
      </c>
      <c r="V24" s="6" cm="1">
        <f t="array" aca="1" ref="V24" ca="1">IFERROR( INDIRECT(ADDRESS(ROW()+1, COLUMN(), 4, TRUE, "Import-dataset")) / INDIRECT(ADDRESS(ROW(), COLUMN(), 4, TRUE, "Import-dataset")), "" )</f>
        <v>0.98571428571428577</v>
      </c>
      <c r="W24" s="6" cm="1">
        <f t="array" aca="1" ref="W24" ca="1">IFERROR( INDIRECT(ADDRESS(ROW()+1, COLUMN(), 4, TRUE, "Import-dataset")) / INDIRECT(ADDRESS(ROW(), COLUMN(), 4, TRUE, "Import-dataset")), "" )</f>
        <v>0.28153564899451555</v>
      </c>
      <c r="X24" s="6" cm="1">
        <f t="array" aca="1" ref="X24" ca="1">IFERROR( INDIRECT(ADDRESS(ROW()+1, COLUMN(), 4, TRUE, "Import-dataset")) / INDIRECT(ADDRESS(ROW(), COLUMN(), 4, TRUE, "Import-dataset")), "" )</f>
        <v>0.76379310344827589</v>
      </c>
      <c r="Y24" s="6" cm="1">
        <f t="array" aca="1" ref="Y24" ca="1">IFERROR( INDIRECT(ADDRESS(ROW()+1, COLUMN(), 4, TRUE, "Import-dataset")) / INDIRECT(ADDRESS(ROW(), COLUMN(), 4, TRUE, "Import-dataset")), "" )</f>
        <v>1.0029673590504451</v>
      </c>
      <c r="Z24" s="6" cm="1">
        <f t="array" aca="1" ref="Z24" ca="1">IFERROR( INDIRECT(ADDRESS(ROW()+1, COLUMN(), 4, TRUE, "Import-dataset")) / INDIRECT(ADDRESS(ROW(), COLUMN(), 4, TRUE, "Import-dataset")), "" )</f>
        <v>0.71594398895556866</v>
      </c>
      <c r="AA24" s="6" cm="1">
        <f t="array" aca="1" ref="AA24" ca="1">IFERROR( INDIRECT(ADDRESS(ROW()+1, COLUMN(), 4, TRUE, "Import-dataset")) / INDIRECT(ADDRESS(ROW(), COLUMN(), 4, TRUE, "Import-dataset")), "" )</f>
        <v>0.92592592592592593</v>
      </c>
      <c r="AB24" s="6" cm="1">
        <f t="array" aca="1" ref="AB24" ca="1">IFERROR( INDIRECT(ADDRESS(ROW()+1, COLUMN(), 4, TRUE, "Import-dataset")) / INDIRECT(ADDRESS(ROW(), COLUMN(), 4, TRUE, "Import-dataset")), "" )</f>
        <v>0.6874981418165601</v>
      </c>
      <c r="AC24" s="6" cm="1">
        <f t="array" aca="1" ref="AC24" ca="1">IFERROR( INDIRECT(ADDRESS(ROW()+1, COLUMN(), 4, TRUE, "Import-dataset")) / INDIRECT(ADDRESS(ROW(), COLUMN(), 4, TRUE, "Import-dataset")), "" )</f>
        <v>1.2359366466411796</v>
      </c>
      <c r="AD24" s="6" cm="1">
        <f t="array" aca="1" ref="AD24" ca="1">IFERROR( INDIRECT(ADDRESS(ROW()+1, COLUMN(), 4, TRUE, "Import-dataset")) / INDIRECT(ADDRESS(ROW(), COLUMN(), 4, TRUE, "Import-dataset")), "" )</f>
        <v>0.93034825870646765</v>
      </c>
      <c r="AE24" s="6" cm="1">
        <f t="array" aca="1" ref="AE24" ca="1">IFERROR( INDIRECT(ADDRESS(ROW()+1, COLUMN(), 4, TRUE, "Import-dataset")) / INDIRECT(ADDRESS(ROW(), COLUMN(), 4, TRUE, "Import-dataset")), "" )</f>
        <v>0.76923076923076927</v>
      </c>
      <c r="AF24" s="6" cm="1">
        <f t="array" aca="1" ref="AF24" ca="1">IFERROR( INDIRECT(ADDRESS(ROW()+1, COLUMN(), 4, TRUE, "Import-dataset")) / INDIRECT(ADDRESS(ROW(), COLUMN(), 4, TRUE, "Import-dataset")), "" )</f>
        <v>0.93775100401606426</v>
      </c>
      <c r="AG24" s="6" cm="1">
        <f t="array" aca="1" ref="AG24" ca="1">IFERROR( INDIRECT(ADDRESS(ROW()+1, COLUMN(), 4, TRUE, "Import-dataset")) / INDIRECT(ADDRESS(ROW(), COLUMN(), 4, TRUE, "Import-dataset")), "" )</f>
        <v>0.94117647058823528</v>
      </c>
      <c r="AH24" s="6" cm="1">
        <f t="array" aca="1" ref="AH24" ca="1">IFERROR( INDIRECT(ADDRESS(ROW()+1, COLUMN(), 4, TRUE, "Import-dataset")) / INDIRECT(ADDRESS(ROW(), COLUMN(), 4, TRUE, "Import-dataset")), "" )</f>
        <v>0.91941637667183762</v>
      </c>
      <c r="AI24" s="6" cm="1">
        <f t="array" aca="1" ref="AI24" ca="1">IFERROR( INDIRECT(ADDRESS(ROW()+1, COLUMN(), 4, TRUE, "Import-dataset")) / INDIRECT(ADDRESS(ROW(), COLUMN(), 4, TRUE, "Import-dataset")), "" )</f>
        <v>0.88053949903660889</v>
      </c>
      <c r="AJ24" s="6" cm="1">
        <f t="array" aca="1" ref="AJ24" ca="1">IFERROR( INDIRECT(ADDRESS(ROW()+1, COLUMN(), 4, TRUE, "Import-dataset")) / INDIRECT(ADDRESS(ROW(), COLUMN(), 4, TRUE, "Import-dataset")), "" )</f>
        <v>0.73399014778325122</v>
      </c>
      <c r="AK24" s="6" cm="1">
        <f t="array" aca="1" ref="AK24" ca="1">IFERROR( INDIRECT(ADDRESS(ROW()+1, COLUMN(), 4, TRUE, "Import-dataset")) / INDIRECT(ADDRESS(ROW(), COLUMN(), 4, TRUE, "Import-dataset")), "" )</f>
        <v>0.88428571428571423</v>
      </c>
      <c r="AL24" s="6" cm="1">
        <f t="array" aca="1" ref="AL24" ca="1">IFERROR( INDIRECT(ADDRESS(ROW()+1, COLUMN(), 4, TRUE, "Import-dataset")) / INDIRECT(ADDRESS(ROW(), COLUMN(), 4, TRUE, "Import-dataset")), "" )</f>
        <v>1.1240254288113229</v>
      </c>
      <c r="AM24" s="6" cm="1">
        <f t="array" aca="1" ref="AM24" ca="1">IFERROR( INDIRECT(ADDRESS(ROW()+1, COLUMN(), 4, TRUE, "Import-dataset")) / INDIRECT(ADDRESS(ROW(), COLUMN(), 4, TRUE, "Import-dataset")), "" )</f>
        <v>1.0791324736225087</v>
      </c>
      <c r="AN24" s="6" cm="1">
        <f t="array" aca="1" ref="AN24" ca="1">IFERROR( INDIRECT(ADDRESS(ROW()+1, COLUMN(), 4, TRUE, "Import-dataset")) / INDIRECT(ADDRESS(ROW(), COLUMN(), 4, TRUE, "Import-dataset")), "" )</f>
        <v>0.4178507992895204</v>
      </c>
      <c r="AO24" s="6" cm="1">
        <f t="array" aca="1" ref="AO24" ca="1">IFERROR( INDIRECT(ADDRESS(ROW()+1, COLUMN(), 4, TRUE, "Import-dataset")) / INDIRECT(ADDRESS(ROW(), COLUMN(), 4, TRUE, "Import-dataset")), "" )</f>
        <v>0.71319102353585118</v>
      </c>
      <c r="AP24" s="6" cm="1">
        <f t="array" aca="1" ref="AP24" ca="1">IFERROR( INDIRECT(ADDRESS(ROW()+1, COLUMN(), 4, TRUE, "Import-dataset")) / INDIRECT(ADDRESS(ROW(), COLUMN(), 4, TRUE, "Import-dataset")), "" )</f>
        <v>0.95470629865534329</v>
      </c>
      <c r="AQ24" s="6" cm="1">
        <f t="array" aca="1" ref="AQ24" ca="1">IFERROR( INDIRECT(ADDRESS(ROW()+1, COLUMN(), 4, TRUE, "Import-dataset")) / INDIRECT(ADDRESS(ROW(), COLUMN(), 4, TRUE, "Import-dataset")), "" )</f>
        <v>0.913953488372093</v>
      </c>
      <c r="AR24" s="6" cm="1">
        <f t="array" aca="1" ref="AR24" ca="1">IFERROR( INDIRECT(ADDRESS(ROW()+1, COLUMN(), 4, TRUE, "Import-dataset")) / INDIRECT(ADDRESS(ROW(), COLUMN(), 4, TRUE, "Import-dataset")), "" )</f>
        <v>0.86415966219176987</v>
      </c>
      <c r="AS24" s="6" cm="1">
        <f t="array" aca="1" ref="AS24" ca="1">IFERROR( INDIRECT(ADDRESS(ROW()+1, COLUMN(), 4, TRUE, "Import-dataset")) / INDIRECT(ADDRESS(ROW(), COLUMN(), 4, TRUE, "Import-dataset")), "" )</f>
        <v>0.75132275132275128</v>
      </c>
      <c r="AT24" s="6" cm="1">
        <f t="array" aca="1" ref="AT24" ca="1">IFERROR( INDIRECT(ADDRESS(ROW()+1, COLUMN(), 4, TRUE, "Import-dataset")) / INDIRECT(ADDRESS(ROW(), COLUMN(), 4, TRUE, "Import-dataset")), "" )</f>
        <v>0.97087020648967548</v>
      </c>
      <c r="AU24" s="6" cm="1">
        <f t="array" aca="1" ref="AU24" ca="1">IFERROR( INDIRECT(ADDRESS(ROW()+1, COLUMN(), 4, TRUE, "Import-dataset")) / INDIRECT(ADDRESS(ROW(), COLUMN(), 4, TRUE, "Import-dataset")), "" )</f>
        <v>0.88466947960618847</v>
      </c>
      <c r="AV24" s="6" cm="1">
        <f t="array" aca="1" ref="AV24" ca="1">IFERROR( INDIRECT(ADDRESS(ROW()+1, COLUMN(), 4, TRUE, "Import-dataset")) / INDIRECT(ADDRESS(ROW(), COLUMN(), 4, TRUE, "Import-dataset")), "" )</f>
        <v>0.90745856353591159</v>
      </c>
      <c r="AW24" s="6" cm="1">
        <f t="array" aca="1" ref="AW24" ca="1">IFERROR( INDIRECT(ADDRESS(ROW()+1, COLUMN(), 4, TRUE, "Import-dataset")) / INDIRECT(ADDRESS(ROW(), COLUMN(), 4, TRUE, "Import-dataset")), "" )</f>
        <v>0.93284727551803526</v>
      </c>
      <c r="AX24" s="6" cm="1">
        <f t="array" aca="1" ref="AX24" ca="1">IFERROR( INDIRECT(ADDRESS(ROW()+1, COLUMN(), 4, TRUE, "Import-dataset")) / INDIRECT(ADDRESS(ROW(), COLUMN(), 4, TRUE, "Import-dataset")), "" )</f>
        <v>0.95712209302325579</v>
      </c>
      <c r="AY24" s="6" cm="1">
        <f t="array" aca="1" ref="AY24" ca="1">IFERROR( INDIRECT(ADDRESS(ROW()+1, COLUMN(), 4, TRUE, "Import-dataset")) / INDIRECT(ADDRESS(ROW(), COLUMN(), 4, TRUE, "Import-dataset")), "" )</f>
        <v>0.67005921539600299</v>
      </c>
      <c r="AZ24" s="6" cm="1">
        <f t="array" aca="1" ref="AZ24" ca="1">IFERROR( INDIRECT(ADDRESS(ROW()+1, COLUMN(), 4, TRUE, "Import-dataset")) / INDIRECT(ADDRESS(ROW(), COLUMN(), 4, TRUE, "Import-dataset")), "" )</f>
        <v>0.79331574318381703</v>
      </c>
      <c r="BA24" s="6" cm="1">
        <f t="array" aca="1" ref="BA24" ca="1">IFERROR( INDIRECT(ADDRESS(ROW()+1, COLUMN(), 4, TRUE, "Import-dataset")) / INDIRECT(ADDRESS(ROW(), COLUMN(), 4, TRUE, "Import-dataset")), "" )</f>
        <v>0.92846872753414811</v>
      </c>
      <c r="BB24" s="6" cm="1">
        <f t="array" aca="1" ref="BB24" ca="1">IFERROR( INDIRECT(ADDRESS(ROW()+1, COLUMN(), 4, TRUE, "Import-dataset")) / INDIRECT(ADDRESS(ROW(), COLUMN(), 4, TRUE, "Import-dataset")), "" )</f>
        <v>0.86844646407270665</v>
      </c>
      <c r="BC24" s="6" cm="1">
        <f t="array" aca="1" ref="BC24" ca="1">IFERROR( INDIRECT(ADDRESS(ROW()+1, COLUMN(), 4, TRUE, "Import-dataset")) / INDIRECT(ADDRESS(ROW(), COLUMN(), 4, TRUE, "Import-dataset")), "" )</f>
        <v>0.94581861012956414</v>
      </c>
      <c r="BD24" s="6" cm="1">
        <f t="array" aca="1" ref="BD24" ca="1">IFERROR( INDIRECT(ADDRESS(ROW()+1, COLUMN(), 4, TRUE, "Import-dataset")) / INDIRECT(ADDRESS(ROW(), COLUMN(), 4, TRUE, "Import-dataset")), "" )</f>
        <v>0.80320445837687215</v>
      </c>
      <c r="BE24" s="6" cm="1">
        <f t="array" aca="1" ref="BE24" ca="1">IFERROR( INDIRECT(ADDRESS(ROW()+1, COLUMN(), 4, TRUE, "Import-dataset")) / INDIRECT(ADDRESS(ROW(), COLUMN(), 4, TRUE, "Import-dataset")), "" )</f>
        <v>0.80788804071246823</v>
      </c>
      <c r="BF24" s="6" cm="1">
        <f t="array" aca="1" ref="BF24" ca="1">IFERROR( INDIRECT(ADDRESS(ROW()+1, COLUMN(), 4, TRUE, "Import-dataset")) / INDIRECT(ADDRESS(ROW(), COLUMN(), 4, TRUE, "Import-dataset")), "" )</f>
        <v>1.1084172003659651</v>
      </c>
      <c r="BG24" s="6" cm="1">
        <f t="array" aca="1" ref="BG24" ca="1">IFERROR( INDIRECT(ADDRESS(ROW()+1, COLUMN(), 4, TRUE, "Import-dataset")) / INDIRECT(ADDRESS(ROW(), COLUMN(), 4, TRUE, "Import-dataset")), "" )</f>
        <v>0.95238095238095233</v>
      </c>
      <c r="BH24" s="6" cm="1">
        <f t="array" aca="1" ref="BH24" ca="1">IFERROR( INDIRECT(ADDRESS(ROW()+1, COLUMN(), 4, TRUE, "Import-dataset")) / INDIRECT(ADDRESS(ROW(), COLUMN(), 4, TRUE, "Import-dataset")), "" )</f>
        <v>1.044118960435831</v>
      </c>
      <c r="BI24" s="6" cm="1">
        <f t="array" aca="1" ref="BI24" ca="1">IFERROR( INDIRECT(ADDRESS(ROW()+1, COLUMN(), 4, TRUE, "Import-dataset")) / INDIRECT(ADDRESS(ROW(), COLUMN(), 4, TRUE, "Import-dataset")), "" )</f>
        <v>0.97285481903212689</v>
      </c>
      <c r="BJ24" s="6" cm="1">
        <f t="array" aca="1" ref="BJ24" ca="1">IFERROR( INDIRECT(ADDRESS(ROW()+1, COLUMN(), 4, TRUE, "Import-dataset")) / INDIRECT(ADDRESS(ROW(), COLUMN(), 4, TRUE, "Import-dataset")), "" )</f>
        <v>0.75474336684556653</v>
      </c>
      <c r="BK24" s="6" cm="1">
        <f t="array" aca="1" ref="BK24" ca="1">IFERROR( INDIRECT(ADDRESS(ROW()+1, COLUMN(), 4, TRUE, "Import-dataset")) / INDIRECT(ADDRESS(ROW(), COLUMN(), 4, TRUE, "Import-dataset")), "" )</f>
        <v>0.35754824063564133</v>
      </c>
      <c r="BL24" s="6" cm="1">
        <f t="array" aca="1" ref="BL24" ca="1">IFERROR( INDIRECT(ADDRESS(ROW()+1, COLUMN(), 4, TRUE, "Import-dataset")) / INDIRECT(ADDRESS(ROW(), COLUMN(), 4, TRUE, "Import-dataset")), "" )</f>
        <v>0.98316522488244373</v>
      </c>
      <c r="BM24" s="6" cm="1">
        <f t="array" aca="1" ref="BM24" ca="1">IFERROR( INDIRECT(ADDRESS(ROW()+1, COLUMN(), 4, TRUE, "Import-dataset")) / INDIRECT(ADDRESS(ROW(), COLUMN(), 4, TRUE, "Import-dataset")), "" )</f>
        <v>1.0025477707006369</v>
      </c>
      <c r="BN24" s="6" cm="1">
        <f t="array" aca="1" ref="BN24" ca="1">IFERROR( INDIRECT(ADDRESS(ROW()+1, COLUMN(), 4, TRUE, "Import-dataset")) / INDIRECT(ADDRESS(ROW(), COLUMN(), 4, TRUE, "Import-dataset")), "" )</f>
        <v>0.93935069568319662</v>
      </c>
      <c r="BO24" s="6" cm="1">
        <f t="array" aca="1" ref="BO24" ca="1">IFERROR( INDIRECT(ADDRESS(ROW()+1, COLUMN(), 4, TRUE, "Import-dataset")) / INDIRECT(ADDRESS(ROW(), COLUMN(), 4, TRUE, "Import-dataset")), "" )</f>
        <v>1.026246719160105</v>
      </c>
      <c r="BP24" s="6" cm="1">
        <f t="array" aca="1" ref="BP24" ca="1">IFERROR( INDIRECT(ADDRESS(ROW()+1, COLUMN(), 4, TRUE, "Import-dataset")) / INDIRECT(ADDRESS(ROW(), COLUMN(), 4, TRUE, "Import-dataset")), "" )</f>
        <v>1.0144583085759555</v>
      </c>
      <c r="BQ24" s="6" cm="1">
        <f t="array" aca="1" ref="BQ24" ca="1">IFERROR( INDIRECT(ADDRESS(ROW()+1, COLUMN(), 4, TRUE, "Import-dataset")) / INDIRECT(ADDRESS(ROW(), COLUMN(), 4, TRUE, "Import-dataset")), "" )</f>
        <v>1.0092095165003838</v>
      </c>
      <c r="BR24" s="6" cm="1">
        <f t="array" aca="1" ref="BR24" ca="1">IFERROR( INDIRECT(ADDRESS(ROW()+1, COLUMN(), 4, TRUE, "Import-dataset")) / INDIRECT(ADDRESS(ROW(), COLUMN(), 4, TRUE, "Import-dataset")), "" )</f>
        <v>0.98533966549659302</v>
      </c>
      <c r="BS24" s="6" cm="1">
        <f t="array" aca="1" ref="BS24" ca="1">IFERROR( INDIRECT(ADDRESS(ROW()+1, COLUMN(), 4, TRUE, "Import-dataset")) / INDIRECT(ADDRESS(ROW(), COLUMN(), 4, TRUE, "Import-dataset")), "" )</f>
        <v>1.0245441795231416</v>
      </c>
      <c r="BT24" s="6" cm="1">
        <f t="array" aca="1" ref="BT24" ca="1">IFERROR( INDIRECT(ADDRESS(ROW()+1, COLUMN(), 4, TRUE, "Import-dataset")) / INDIRECT(ADDRESS(ROW(), COLUMN(), 4, TRUE, "Import-dataset")), "" )</f>
        <v>0.96593830334190234</v>
      </c>
      <c r="BU24" s="6" cm="1">
        <f t="array" aca="1" ref="BU24" ca="1">IFERROR( INDIRECT(ADDRESS(ROW()+1, COLUMN(), 4, TRUE, "Import-dataset")) / INDIRECT(ADDRESS(ROW(), COLUMN(), 4, TRUE, "Import-dataset")), "" )</f>
        <v>1.2100943783340172</v>
      </c>
      <c r="BV24" s="6" cm="1">
        <f t="array" aca="1" ref="BV24" ca="1">IFERROR( INDIRECT(ADDRESS(ROW()+1, COLUMN(), 4, TRUE, "Import-dataset")) / INDIRECT(ADDRESS(ROW(), COLUMN(), 4, TRUE, "Import-dataset")), "" )</f>
        <v>1</v>
      </c>
      <c r="BW24" s="6" cm="1">
        <f t="array" aca="1" ref="BW24" ca="1">IFERROR( INDIRECT(ADDRESS(ROW()+1, COLUMN(), 4, TRUE, "Import-dataset")) / INDIRECT(ADDRESS(ROW(), COLUMN(), 4, TRUE, "Import-dataset")), "" )</f>
        <v>0.66666666666666663</v>
      </c>
      <c r="BX24" s="6" t="str" cm="1">
        <f t="array" aca="1" ref="BX24" ca="1">IFERROR( INDIRECT(ADDRESS(ROW()+1, COLUMN(), 4, TRUE, "Import-dataset")) / INDIRECT(ADDRESS(ROW(), COLUMN(), 4, TRUE, "Import-dataset")), "" )</f>
        <v/>
      </c>
      <c r="BY24" s="6" cm="1">
        <f t="array" aca="1" ref="BY24" ca="1">IFERROR( INDIRECT(ADDRESS(ROW()+1, COLUMN(), 4, TRUE, "Import-dataset")) / INDIRECT(ADDRESS(ROW(), COLUMN(), 4, TRUE, "Import-dataset")), "" )</f>
        <v>0.94503236412205893</v>
      </c>
      <c r="BZ24" s="6" cm="1">
        <f t="array" aca="1" ref="BZ24" ca="1">IFERROR( INDIRECT(ADDRESS(ROW()+1, COLUMN(), 4, TRUE, "Import-dataset")) / INDIRECT(ADDRESS(ROW(), COLUMN(), 4, TRUE, "Import-dataset")), "" )</f>
        <v>2.2872030012505209</v>
      </c>
      <c r="CA24" s="6" cm="1">
        <f t="array" aca="1" ref="CA24" ca="1">IFERROR( INDIRECT(ADDRESS(ROW()+1, COLUMN(), 4, TRUE, "Import-dataset")) / INDIRECT(ADDRESS(ROW(), COLUMN(), 4, TRUE, "Import-dataset")), "" )</f>
        <v>0.88767128137945683</v>
      </c>
    </row>
    <row r="25" spans="1:79">
      <c r="A25" s="6" t="s">
        <v>182</v>
      </c>
      <c r="B25" s="6" cm="1">
        <f t="array" aca="1" ref="B25" ca="1">IFERROR( INDIRECT(ADDRESS(ROW()+1, COLUMN(), 4, TRUE, "Import-dataset")) / INDIRECT(ADDRESS(ROW(), COLUMN(), 4, TRUE, "Import-dataset")), "" )</f>
        <v>1.000926140310257</v>
      </c>
      <c r="C25" s="6" cm="1">
        <f t="array" aca="1" ref="C25" ca="1">IFERROR( INDIRECT(ADDRESS(ROW()+1, COLUMN(), 4, TRUE, "Import-dataset")) / INDIRECT(ADDRESS(ROW(), COLUMN(), 4, TRUE, "Import-dataset")), "" )</f>
        <v>1.1287128712871286</v>
      </c>
      <c r="D25" s="6" cm="1">
        <f t="array" aca="1" ref="D25" ca="1">IFERROR( INDIRECT(ADDRESS(ROW()+1, COLUMN(), 4, TRUE, "Import-dataset")) / INDIRECT(ADDRESS(ROW(), COLUMN(), 4, TRUE, "Import-dataset")), "" )</f>
        <v>1</v>
      </c>
      <c r="E25" s="6" cm="1">
        <f t="array" aca="1" ref="E25" ca="1">IFERROR( INDIRECT(ADDRESS(ROW()+1, COLUMN(), 4, TRUE, "Import-dataset")) / INDIRECT(ADDRESS(ROW(), COLUMN(), 4, TRUE, "Import-dataset")), "" )</f>
        <v>1.2361623616236161</v>
      </c>
      <c r="F25" s="6" cm="1">
        <f t="array" aca="1" ref="F25" ca="1">IFERROR( INDIRECT(ADDRESS(ROW()+1, COLUMN(), 4, TRUE, "Import-dataset")) / INDIRECT(ADDRESS(ROW(), COLUMN(), 4, TRUE, "Import-dataset")), "" )</f>
        <v>1.0031570639305445</v>
      </c>
      <c r="G25" s="6" cm="1">
        <f t="array" aca="1" ref="G25" ca="1">IFERROR( INDIRECT(ADDRESS(ROW()+1, COLUMN(), 4, TRUE, "Import-dataset")) / INDIRECT(ADDRESS(ROW(), COLUMN(), 4, TRUE, "Import-dataset")), "" )</f>
        <v>0.92436974789915971</v>
      </c>
      <c r="H25" s="6" cm="1">
        <f t="array" aca="1" ref="H25" ca="1">IFERROR( INDIRECT(ADDRESS(ROW()+1, COLUMN(), 4, TRUE, "Import-dataset")) / INDIRECT(ADDRESS(ROW(), COLUMN(), 4, TRUE, "Import-dataset")), "" )</f>
        <v>0.96648044692737434</v>
      </c>
      <c r="I25" s="6" cm="1">
        <f t="array" aca="1" ref="I25" ca="1">IFERROR( INDIRECT(ADDRESS(ROW()+1, COLUMN(), 4, TRUE, "Import-dataset")) / INDIRECT(ADDRESS(ROW(), COLUMN(), 4, TRUE, "Import-dataset")), "" )</f>
        <v>1.0736842105263158</v>
      </c>
      <c r="J25" s="6" cm="1">
        <f t="array" aca="1" ref="J25" ca="1">IFERROR( INDIRECT(ADDRESS(ROW()+1, COLUMN(), 4, TRUE, "Import-dataset")) / INDIRECT(ADDRESS(ROW(), COLUMN(), 4, TRUE, "Import-dataset")), "" )</f>
        <v>0.98014888337468986</v>
      </c>
      <c r="K25" s="6" cm="1">
        <f t="array" aca="1" ref="K25" ca="1">IFERROR( INDIRECT(ADDRESS(ROW()+1, COLUMN(), 4, TRUE, "Import-dataset")) / INDIRECT(ADDRESS(ROW(), COLUMN(), 4, TRUE, "Import-dataset")), "" )</f>
        <v>0.94285714285714284</v>
      </c>
      <c r="L25" s="6" cm="1">
        <f t="array" aca="1" ref="L25" ca="1">IFERROR( INDIRECT(ADDRESS(ROW()+1, COLUMN(), 4, TRUE, "Import-dataset")) / INDIRECT(ADDRESS(ROW(), COLUMN(), 4, TRUE, "Import-dataset")), "" )</f>
        <v>1.0092421441774491</v>
      </c>
      <c r="M25" s="6" cm="1">
        <f t="array" aca="1" ref="M25" ca="1">IFERROR( INDIRECT(ADDRESS(ROW()+1, COLUMN(), 4, TRUE, "Import-dataset")) / INDIRECT(ADDRESS(ROW(), COLUMN(), 4, TRUE, "Import-dataset")), "" )</f>
        <v>0.97654462242562934</v>
      </c>
      <c r="N25" s="6" cm="1">
        <f t="array" aca="1" ref="N25" ca="1">IFERROR( INDIRECT(ADDRESS(ROW()+1, COLUMN(), 4, TRUE, "Import-dataset")) / INDIRECT(ADDRESS(ROW(), COLUMN(), 4, TRUE, "Import-dataset")), "" )</f>
        <v>0.98911564625850346</v>
      </c>
      <c r="O25" s="6" cm="1">
        <f t="array" aca="1" ref="O25" ca="1">IFERROR( INDIRECT(ADDRESS(ROW()+1, COLUMN(), 4, TRUE, "Import-dataset")) / INDIRECT(ADDRESS(ROW(), COLUMN(), 4, TRUE, "Import-dataset")), "" )</f>
        <v>0.90974729241877261</v>
      </c>
      <c r="P25" s="6" cm="1">
        <f t="array" aca="1" ref="P25" ca="1">IFERROR( INDIRECT(ADDRESS(ROW()+1, COLUMN(), 4, TRUE, "Import-dataset")) / INDIRECT(ADDRESS(ROW(), COLUMN(), 4, TRUE, "Import-dataset")), "" )</f>
        <v>1.1638361638361638</v>
      </c>
      <c r="Q25" s="6" t="str" cm="1">
        <f t="array" aca="1" ref="Q25" ca="1">IFERROR( INDIRECT(ADDRESS(ROW()+1, COLUMN(), 4, TRUE, "Import-dataset")) / INDIRECT(ADDRESS(ROW(), COLUMN(), 4, TRUE, "Import-dataset")), "" )</f>
        <v/>
      </c>
      <c r="R25" s="6" cm="1">
        <f t="array" aca="1" ref="R25" ca="1">IFERROR( INDIRECT(ADDRESS(ROW()+1, COLUMN(), 4, TRUE, "Import-dataset")) / INDIRECT(ADDRESS(ROW(), COLUMN(), 4, TRUE, "Import-dataset")), "" )</f>
        <v>1.04</v>
      </c>
      <c r="S25" s="6" cm="1">
        <f t="array" aca="1" ref="S25" ca="1">IFERROR( INDIRECT(ADDRESS(ROW()+1, COLUMN(), 4, TRUE, "Import-dataset")) / INDIRECT(ADDRESS(ROW(), COLUMN(), 4, TRUE, "Import-dataset")), "" )</f>
        <v>0.99224806201550386</v>
      </c>
      <c r="T25" s="6" cm="1">
        <f t="array" aca="1" ref="T25" ca="1">IFERROR( INDIRECT(ADDRESS(ROW()+1, COLUMN(), 4, TRUE, "Import-dataset")) / INDIRECT(ADDRESS(ROW(), COLUMN(), 4, TRUE, "Import-dataset")), "" )</f>
        <v>1.1830985915492958</v>
      </c>
      <c r="U25" s="6" cm="1">
        <f t="array" aca="1" ref="U25" ca="1">IFERROR( INDIRECT(ADDRESS(ROW()+1, COLUMN(), 4, TRUE, "Import-dataset")) / INDIRECT(ADDRESS(ROW(), COLUMN(), 4, TRUE, "Import-dataset")), "" )</f>
        <v>1.0386740331491713</v>
      </c>
      <c r="V25" s="6" cm="1">
        <f t="array" aca="1" ref="V25" ca="1">IFERROR( INDIRECT(ADDRESS(ROW()+1, COLUMN(), 4, TRUE, "Import-dataset")) / INDIRECT(ADDRESS(ROW(), COLUMN(), 4, TRUE, "Import-dataset")), "" )</f>
        <v>0.78260869565217395</v>
      </c>
      <c r="W25" s="6" cm="1">
        <f t="array" aca="1" ref="W25" ca="1">IFERROR( INDIRECT(ADDRESS(ROW()+1, COLUMN(), 4, TRUE, "Import-dataset")) / INDIRECT(ADDRESS(ROW(), COLUMN(), 4, TRUE, "Import-dataset")), "" )</f>
        <v>1.2792207792207793</v>
      </c>
      <c r="X25" s="6" cm="1">
        <f t="array" aca="1" ref="X25" ca="1">IFERROR( INDIRECT(ADDRESS(ROW()+1, COLUMN(), 4, TRUE, "Import-dataset")) / INDIRECT(ADDRESS(ROW(), COLUMN(), 4, TRUE, "Import-dataset")), "" )</f>
        <v>1.528216704288939</v>
      </c>
      <c r="Y25" s="6" cm="1">
        <f t="array" aca="1" ref="Y25" ca="1">IFERROR( INDIRECT(ADDRESS(ROW()+1, COLUMN(), 4, TRUE, "Import-dataset")) / INDIRECT(ADDRESS(ROW(), COLUMN(), 4, TRUE, "Import-dataset")), "" )</f>
        <v>0.91420118343195267</v>
      </c>
      <c r="Z25" s="6" cm="1">
        <f t="array" aca="1" ref="Z25" ca="1">IFERROR( INDIRECT(ADDRESS(ROW()+1, COLUMN(), 4, TRUE, "Import-dataset")) / INDIRECT(ADDRESS(ROW(), COLUMN(), 4, TRUE, "Import-dataset")), "" )</f>
        <v>1.1350596198496714</v>
      </c>
      <c r="AA25" s="6" cm="1">
        <f t="array" aca="1" ref="AA25" ca="1">IFERROR( INDIRECT(ADDRESS(ROW()+1, COLUMN(), 4, TRUE, "Import-dataset")) / INDIRECT(ADDRESS(ROW(), COLUMN(), 4, TRUE, "Import-dataset")), "" )</f>
        <v>1.72</v>
      </c>
      <c r="AB25" s="6" cm="1">
        <f t="array" aca="1" ref="AB25" ca="1">IFERROR( INDIRECT(ADDRESS(ROW()+1, COLUMN(), 4, TRUE, "Import-dataset")) / INDIRECT(ADDRESS(ROW(), COLUMN(), 4, TRUE, "Import-dataset")), "" )</f>
        <v>1.1555959176613042</v>
      </c>
      <c r="AC25" s="6" cm="1">
        <f t="array" aca="1" ref="AC25" ca="1">IFERROR( INDIRECT(ADDRESS(ROW()+1, COLUMN(), 4, TRUE, "Import-dataset")) / INDIRECT(ADDRESS(ROW(), COLUMN(), 4, TRUE, "Import-dataset")), "" )</f>
        <v>0.91825011047282368</v>
      </c>
      <c r="AD25" s="6" cm="1">
        <f t="array" aca="1" ref="AD25" ca="1">IFERROR( INDIRECT(ADDRESS(ROW()+1, COLUMN(), 4, TRUE, "Import-dataset")) / INDIRECT(ADDRESS(ROW(), COLUMN(), 4, TRUE, "Import-dataset")), "" )</f>
        <v>0.93939393939393945</v>
      </c>
      <c r="AE25" s="6" cm="1">
        <f t="array" aca="1" ref="AE25" ca="1">IFERROR( INDIRECT(ADDRESS(ROW()+1, COLUMN(), 4, TRUE, "Import-dataset")) / INDIRECT(ADDRESS(ROW(), COLUMN(), 4, TRUE, "Import-dataset")), "" )</f>
        <v>1.2333333333333334</v>
      </c>
      <c r="AF25" s="6" cm="1">
        <f t="array" aca="1" ref="AF25" ca="1">IFERROR( INDIRECT(ADDRESS(ROW()+1, COLUMN(), 4, TRUE, "Import-dataset")) / INDIRECT(ADDRESS(ROW(), COLUMN(), 4, TRUE, "Import-dataset")), "" )</f>
        <v>0.92505353319057815</v>
      </c>
      <c r="AG25" s="6" cm="1">
        <f t="array" aca="1" ref="AG25" ca="1">IFERROR( INDIRECT(ADDRESS(ROW()+1, COLUMN(), 4, TRUE, "Import-dataset")) / INDIRECT(ADDRESS(ROW(), COLUMN(), 4, TRUE, "Import-dataset")), "" )</f>
        <v>0.875</v>
      </c>
      <c r="AH25" s="6" cm="1">
        <f t="array" aca="1" ref="AH25" ca="1">IFERROR( INDIRECT(ADDRESS(ROW()+1, COLUMN(), 4, TRUE, "Import-dataset")) / INDIRECT(ADDRESS(ROW(), COLUMN(), 4, TRUE, "Import-dataset")), "" )</f>
        <v>1.0413607551643942</v>
      </c>
      <c r="AI25" s="6" cm="1">
        <f t="array" aca="1" ref="AI25" ca="1">IFERROR( INDIRECT(ADDRESS(ROW()+1, COLUMN(), 4, TRUE, "Import-dataset")) / INDIRECT(ADDRESS(ROW(), COLUMN(), 4, TRUE, "Import-dataset")), "" )</f>
        <v>1.0581431697405439</v>
      </c>
      <c r="AJ25" s="6" cm="1">
        <f t="array" aca="1" ref="AJ25" ca="1">IFERROR( INDIRECT(ADDRESS(ROW()+1, COLUMN(), 4, TRUE, "Import-dataset")) / INDIRECT(ADDRESS(ROW(), COLUMN(), 4, TRUE, "Import-dataset")), "" )</f>
        <v>0.82102908277404918</v>
      </c>
      <c r="AK25" s="6" cm="1">
        <f t="array" aca="1" ref="AK25" ca="1">IFERROR( INDIRECT(ADDRESS(ROW()+1, COLUMN(), 4, TRUE, "Import-dataset")) / INDIRECT(ADDRESS(ROW(), COLUMN(), 4, TRUE, "Import-dataset")), "" )</f>
        <v>1.0145395799676897</v>
      </c>
      <c r="AL25" s="6" cm="1">
        <f t="array" aca="1" ref="AL25" ca="1">IFERROR( INDIRECT(ADDRESS(ROW()+1, COLUMN(), 4, TRUE, "Import-dataset")) / INDIRECT(ADDRESS(ROW(), COLUMN(), 4, TRUE, "Import-dataset")), "" )</f>
        <v>1.0271048980898516</v>
      </c>
      <c r="AM25" s="6" cm="1">
        <f t="array" aca="1" ref="AM25" ca="1">IFERROR( INDIRECT(ADDRESS(ROW()+1, COLUMN(), 4, TRUE, "Import-dataset")) / INDIRECT(ADDRESS(ROW(), COLUMN(), 4, TRUE, "Import-dataset")), "" )</f>
        <v>0.99782726778924502</v>
      </c>
      <c r="AN25" s="6" cm="1">
        <f t="array" aca="1" ref="AN25" ca="1">IFERROR( INDIRECT(ADDRESS(ROW()+1, COLUMN(), 4, TRUE, "Import-dataset")) / INDIRECT(ADDRESS(ROW(), COLUMN(), 4, TRUE, "Import-dataset")), "" )</f>
        <v>1.40807651434644</v>
      </c>
      <c r="AO25" s="6" cm="1">
        <f t="array" aca="1" ref="AO25" ca="1">IFERROR( INDIRECT(ADDRESS(ROW()+1, COLUMN(), 4, TRUE, "Import-dataset")) / INDIRECT(ADDRESS(ROW(), COLUMN(), 4, TRUE, "Import-dataset")), "" )</f>
        <v>1.1212586339217192</v>
      </c>
      <c r="AP25" s="6" cm="1">
        <f t="array" aca="1" ref="AP25" ca="1">IFERROR( INDIRECT(ADDRESS(ROW()+1, COLUMN(), 4, TRUE, "Import-dataset")) / INDIRECT(ADDRESS(ROW(), COLUMN(), 4, TRUE, "Import-dataset")), "" )</f>
        <v>1.0429948109710896</v>
      </c>
      <c r="AQ25" s="6" cm="1">
        <f t="array" aca="1" ref="AQ25" ca="1">IFERROR( INDIRECT(ADDRESS(ROW()+1, COLUMN(), 4, TRUE, "Import-dataset")) / INDIRECT(ADDRESS(ROW(), COLUMN(), 4, TRUE, "Import-dataset")), "" )</f>
        <v>1.0519083969465648</v>
      </c>
      <c r="AR25" s="6" cm="1">
        <f t="array" aca="1" ref="AR25" ca="1">IFERROR( INDIRECT(ADDRESS(ROW()+1, COLUMN(), 4, TRUE, "Import-dataset")) / INDIRECT(ADDRESS(ROW(), COLUMN(), 4, TRUE, "Import-dataset")), "" )</f>
        <v>1.054625916194164</v>
      </c>
      <c r="AS25" s="6" cm="1">
        <f t="array" aca="1" ref="AS25" ca="1">IFERROR( INDIRECT(ADDRESS(ROW()+1, COLUMN(), 4, TRUE, "Import-dataset")) / INDIRECT(ADDRESS(ROW(), COLUMN(), 4, TRUE, "Import-dataset")), "" )</f>
        <v>0.99295774647887325</v>
      </c>
      <c r="AT25" s="6" cm="1">
        <f t="array" aca="1" ref="AT25" ca="1">IFERROR( INDIRECT(ADDRESS(ROW()+1, COLUMN(), 4, TRUE, "Import-dataset")) / INDIRECT(ADDRESS(ROW(), COLUMN(), 4, TRUE, "Import-dataset")), "" )</f>
        <v>1.1230535510824156</v>
      </c>
      <c r="AU25" s="6" cm="1">
        <f t="array" aca="1" ref="AU25" ca="1">IFERROR( INDIRECT(ADDRESS(ROW()+1, COLUMN(), 4, TRUE, "Import-dataset")) / INDIRECT(ADDRESS(ROW(), COLUMN(), 4, TRUE, "Import-dataset")), "" )</f>
        <v>1.1399046104928459</v>
      </c>
      <c r="AV25" s="6" cm="1">
        <f t="array" aca="1" ref="AV25" ca="1">IFERROR( INDIRECT(ADDRESS(ROW()+1, COLUMN(), 4, TRUE, "Import-dataset")) / INDIRECT(ADDRESS(ROW(), COLUMN(), 4, TRUE, "Import-dataset")), "" )</f>
        <v>1.0787671232876712</v>
      </c>
      <c r="AW25" s="6" cm="1">
        <f t="array" aca="1" ref="AW25" ca="1">IFERROR( INDIRECT(ADDRESS(ROW()+1, COLUMN(), 4, TRUE, "Import-dataset")) / INDIRECT(ADDRESS(ROW(), COLUMN(), 4, TRUE, "Import-dataset")), "" )</f>
        <v>1</v>
      </c>
      <c r="AX25" s="6" cm="1">
        <f t="array" aca="1" ref="AX25" ca="1">IFERROR( INDIRECT(ADDRESS(ROW()+1, COLUMN(), 4, TRUE, "Import-dataset")) / INDIRECT(ADDRESS(ROW(), COLUMN(), 4, TRUE, "Import-dataset")), "" )</f>
        <v>0.96659073652239935</v>
      </c>
      <c r="AY25" s="6" cm="1">
        <f t="array" aca="1" ref="AY25" ca="1">IFERROR( INDIRECT(ADDRESS(ROW()+1, COLUMN(), 4, TRUE, "Import-dataset")) / INDIRECT(ADDRESS(ROW(), COLUMN(), 4, TRUE, "Import-dataset")), "" )</f>
        <v>1.0289975144987573</v>
      </c>
      <c r="AZ25" s="6" cm="1">
        <f t="array" aca="1" ref="AZ25" ca="1">IFERROR( INDIRECT(ADDRESS(ROW()+1, COLUMN(), 4, TRUE, "Import-dataset")) / INDIRECT(ADDRESS(ROW(), COLUMN(), 4, TRUE, "Import-dataset")), "" )</f>
        <v>1.3758314855875831</v>
      </c>
      <c r="BA25" s="6" cm="1">
        <f t="array" aca="1" ref="BA25" ca="1">IFERROR( INDIRECT(ADDRESS(ROW()+1, COLUMN(), 4, TRUE, "Import-dataset")) / INDIRECT(ADDRESS(ROW(), COLUMN(), 4, TRUE, "Import-dataset")), "" )</f>
        <v>0.97696476964769652</v>
      </c>
      <c r="BB25" s="6" cm="1">
        <f t="array" aca="1" ref="BB25" ca="1">IFERROR( INDIRECT(ADDRESS(ROW()+1, COLUMN(), 4, TRUE, "Import-dataset")) / INDIRECT(ADDRESS(ROW(), COLUMN(), 4, TRUE, "Import-dataset")), "" )</f>
        <v>1.0757276473281445</v>
      </c>
      <c r="BC25" s="6" cm="1">
        <f t="array" aca="1" ref="BC25" ca="1">IFERROR( INDIRECT(ADDRESS(ROW()+1, COLUMN(), 4, TRUE, "Import-dataset")) / INDIRECT(ADDRESS(ROW(), COLUMN(), 4, TRUE, "Import-dataset")), "" )</f>
        <v>0.88335408883354094</v>
      </c>
      <c r="BD25" s="6" cm="1">
        <f t="array" aca="1" ref="BD25" ca="1">IFERROR( INDIRECT(ADDRESS(ROW()+1, COLUMN(), 4, TRUE, "Import-dataset")) / INDIRECT(ADDRESS(ROW(), COLUMN(), 4, TRUE, "Import-dataset")), "" )</f>
        <v>1.001879155825383</v>
      </c>
      <c r="BE25" s="6" cm="1">
        <f t="array" aca="1" ref="BE25" ca="1">IFERROR( INDIRECT(ADDRESS(ROW()+1, COLUMN(), 4, TRUE, "Import-dataset")) / INDIRECT(ADDRESS(ROW(), COLUMN(), 4, TRUE, "Import-dataset")), "" )</f>
        <v>0.99370078740157475</v>
      </c>
      <c r="BF25" s="6" cm="1">
        <f t="array" aca="1" ref="BF25" ca="1">IFERROR( INDIRECT(ADDRESS(ROW()+1, COLUMN(), 4, TRUE, "Import-dataset")) / INDIRECT(ADDRESS(ROW(), COLUMN(), 4, TRUE, "Import-dataset")), "" )</f>
        <v>0.86595130004127119</v>
      </c>
      <c r="BG25" s="6" cm="1">
        <f t="array" aca="1" ref="BG25" ca="1">IFERROR( INDIRECT(ADDRESS(ROW()+1, COLUMN(), 4, TRUE, "Import-dataset")) / INDIRECT(ADDRESS(ROW(), COLUMN(), 4, TRUE, "Import-dataset")), "" )</f>
        <v>1.1205399061032864</v>
      </c>
      <c r="BH25" s="6" cm="1">
        <f t="array" aca="1" ref="BH25" ca="1">IFERROR( INDIRECT(ADDRESS(ROW()+1, COLUMN(), 4, TRUE, "Import-dataset")) / INDIRECT(ADDRESS(ROW(), COLUMN(), 4, TRUE, "Import-dataset")), "" )</f>
        <v>0.97664870413138316</v>
      </c>
      <c r="BI25" s="6" cm="1">
        <f t="array" aca="1" ref="BI25" ca="1">IFERROR( INDIRECT(ADDRESS(ROW()+1, COLUMN(), 4, TRUE, "Import-dataset")) / INDIRECT(ADDRESS(ROW(), COLUMN(), 4, TRUE, "Import-dataset")), "" )</f>
        <v>1.1198662347162713</v>
      </c>
      <c r="BJ25" s="6" cm="1">
        <f t="array" aca="1" ref="BJ25" ca="1">IFERROR( INDIRECT(ADDRESS(ROW()+1, COLUMN(), 4, TRUE, "Import-dataset")) / INDIRECT(ADDRESS(ROW(), COLUMN(), 4, TRUE, "Import-dataset")), "" )</f>
        <v>1.3166407932295057</v>
      </c>
      <c r="BK25" s="6" cm="1">
        <f t="array" aca="1" ref="BK25" ca="1">IFERROR( INDIRECT(ADDRESS(ROW()+1, COLUMN(), 4, TRUE, "Import-dataset")) / INDIRECT(ADDRESS(ROW(), COLUMN(), 4, TRUE, "Import-dataset")), "" )</f>
        <v>0.88571428571428568</v>
      </c>
      <c r="BL25" s="6" cm="1">
        <f t="array" aca="1" ref="BL25" ca="1">IFERROR( INDIRECT(ADDRESS(ROW()+1, COLUMN(), 4, TRUE, "Import-dataset")) / INDIRECT(ADDRESS(ROW(), COLUMN(), 4, TRUE, "Import-dataset")), "" )</f>
        <v>0.99598393574297184</v>
      </c>
      <c r="BM25" s="6" cm="1">
        <f t="array" aca="1" ref="BM25" ca="1">IFERROR( INDIRECT(ADDRESS(ROW()+1, COLUMN(), 4, TRUE, "Import-dataset")) / INDIRECT(ADDRESS(ROW(), COLUMN(), 4, TRUE, "Import-dataset")), "" )</f>
        <v>1.1016518424396442</v>
      </c>
      <c r="BN25" s="6" cm="1">
        <f t="array" aca="1" ref="BN25" ca="1">IFERROR( INDIRECT(ADDRESS(ROW()+1, COLUMN(), 4, TRUE, "Import-dataset")) / INDIRECT(ADDRESS(ROW(), COLUMN(), 4, TRUE, "Import-dataset")), "" )</f>
        <v>0.99848082035700725</v>
      </c>
      <c r="BO25" s="6" cm="1">
        <f t="array" aca="1" ref="BO25" ca="1">IFERROR( INDIRECT(ADDRESS(ROW()+1, COLUMN(), 4, TRUE, "Import-dataset")) / INDIRECT(ADDRESS(ROW(), COLUMN(), 4, TRUE, "Import-dataset")), "" )</f>
        <v>0.97186700767263423</v>
      </c>
      <c r="BP25" s="6" cm="1">
        <f t="array" aca="1" ref="BP25" ca="1">IFERROR( INDIRECT(ADDRESS(ROW()+1, COLUMN(), 4, TRUE, "Import-dataset")) / INDIRECT(ADDRESS(ROW(), COLUMN(), 4, TRUE, "Import-dataset")), "" )</f>
        <v>1.0501757126122608</v>
      </c>
      <c r="BQ25" s="6" cm="1">
        <f t="array" aca="1" ref="BQ25" ca="1">IFERROR( INDIRECT(ADDRESS(ROW()+1, COLUMN(), 4, TRUE, "Import-dataset")) / INDIRECT(ADDRESS(ROW(), COLUMN(), 4, TRUE, "Import-dataset")), "" )</f>
        <v>1.0212927756653993</v>
      </c>
      <c r="BR25" s="6" cm="1">
        <f t="array" aca="1" ref="BR25" ca="1">IFERROR( INDIRECT(ADDRESS(ROW()+1, COLUMN(), 4, TRUE, "Import-dataset")) / INDIRECT(ADDRESS(ROW(), COLUMN(), 4, TRUE, "Import-dataset")), "" )</f>
        <v>0.99979044425817265</v>
      </c>
      <c r="BS25" s="6" cm="1">
        <f t="array" aca="1" ref="BS25" ca="1">IFERROR( INDIRECT(ADDRESS(ROW()+1, COLUMN(), 4, TRUE, "Import-dataset")) / INDIRECT(ADDRESS(ROW(), COLUMN(), 4, TRUE, "Import-dataset")), "" )</f>
        <v>0.93429158110882959</v>
      </c>
      <c r="BT25" s="6" cm="1">
        <f t="array" aca="1" ref="BT25" ca="1">IFERROR( INDIRECT(ADDRESS(ROW()+1, COLUMN(), 4, TRUE, "Import-dataset")) / INDIRECT(ADDRESS(ROW(), COLUMN(), 4, TRUE, "Import-dataset")), "" )</f>
        <v>0.96606786427145708</v>
      </c>
      <c r="BU25" s="6" cm="1">
        <f t="array" aca="1" ref="BU25" ca="1">IFERROR( INDIRECT(ADDRESS(ROW()+1, COLUMN(), 4, TRUE, "Import-dataset")) / INDIRECT(ADDRESS(ROW(), COLUMN(), 4, TRUE, "Import-dataset")), "" )</f>
        <v>0.89501525940996951</v>
      </c>
      <c r="BV25" s="6" cm="1">
        <f t="array" aca="1" ref="BV25" ca="1">IFERROR( INDIRECT(ADDRESS(ROW()+1, COLUMN(), 4, TRUE, "Import-dataset")) / INDIRECT(ADDRESS(ROW(), COLUMN(), 4, TRUE, "Import-dataset")), "" )</f>
        <v>0.74509803921568629</v>
      </c>
      <c r="BW25" s="6" cm="1">
        <f t="array" aca="1" ref="BW25" ca="1">IFERROR( INDIRECT(ADDRESS(ROW()+1, COLUMN(), 4, TRUE, "Import-dataset")) / INDIRECT(ADDRESS(ROW(), COLUMN(), 4, TRUE, "Import-dataset")), "" )</f>
        <v>3.25</v>
      </c>
      <c r="BX25" s="6" t="str" cm="1">
        <f t="array" aca="1" ref="BX25" ca="1">IFERROR( INDIRECT(ADDRESS(ROW()+1, COLUMN(), 4, TRUE, "Import-dataset")) / INDIRECT(ADDRESS(ROW(), COLUMN(), 4, TRUE, "Import-dataset")), "" )</f>
        <v/>
      </c>
      <c r="BY25" s="6" cm="1">
        <f t="array" aca="1" ref="BY25" ca="1">IFERROR( INDIRECT(ADDRESS(ROW()+1, COLUMN(), 4, TRUE, "Import-dataset")) / INDIRECT(ADDRESS(ROW(), COLUMN(), 4, TRUE, "Import-dataset")), "" )</f>
        <v>0.76625353337682101</v>
      </c>
      <c r="BZ25" s="6" cm="1">
        <f t="array" aca="1" ref="BZ25" ca="1">IFERROR( INDIRECT(ADDRESS(ROW()+1, COLUMN(), 4, TRUE, "Import-dataset")) / INDIRECT(ADDRESS(ROW(), COLUMN(), 4, TRUE, "Import-dataset")), "" )</f>
        <v>1.1115363586659377</v>
      </c>
      <c r="CA25" s="6" cm="1">
        <f t="array" aca="1" ref="CA25" ca="1">IFERROR( INDIRECT(ADDRESS(ROW()+1, COLUMN(), 4, TRUE, "Import-dataset")) / INDIRECT(ADDRESS(ROW(), COLUMN(), 4, TRUE, "Import-dataset")), "" )</f>
        <v>1.0494306056919487</v>
      </c>
    </row>
    <row r="26" spans="1:79">
      <c r="A26" s="6" t="s">
        <v>183</v>
      </c>
      <c r="B26" s="6" cm="1">
        <f t="array" aca="1" ref="B26" ca="1">IFERROR( INDIRECT(ADDRESS(ROW()+1, COLUMN(), 4, TRUE, "Import-dataset")) / INDIRECT(ADDRESS(ROW(), COLUMN(), 4, TRUE, "Import-dataset")), "" )</f>
        <v>1.0698588942863752</v>
      </c>
      <c r="C26" s="6" cm="1">
        <f t="array" aca="1" ref="C26" ca="1">IFERROR( INDIRECT(ADDRESS(ROW()+1, COLUMN(), 4, TRUE, "Import-dataset")) / INDIRECT(ADDRESS(ROW(), COLUMN(), 4, TRUE, "Import-dataset")), "" )</f>
        <v>0.97368421052631582</v>
      </c>
      <c r="D26" s="6" cm="1">
        <f t="array" aca="1" ref="D26" ca="1">IFERROR( INDIRECT(ADDRESS(ROW()+1, COLUMN(), 4, TRUE, "Import-dataset")) / INDIRECT(ADDRESS(ROW(), COLUMN(), 4, TRUE, "Import-dataset")), "" )</f>
        <v>0.9616724738675958</v>
      </c>
      <c r="E26" s="6" cm="1">
        <f t="array" aca="1" ref="E26" ca="1">IFERROR( INDIRECT(ADDRESS(ROW()+1, COLUMN(), 4, TRUE, "Import-dataset")) / INDIRECT(ADDRESS(ROW(), COLUMN(), 4, TRUE, "Import-dataset")), "" )</f>
        <v>1</v>
      </c>
      <c r="F26" s="6" cm="1">
        <f t="array" aca="1" ref="F26" ca="1">IFERROR( INDIRECT(ADDRESS(ROW()+1, COLUMN(), 4, TRUE, "Import-dataset")) / INDIRECT(ADDRESS(ROW(), COLUMN(), 4, TRUE, "Import-dataset")), "" )</f>
        <v>1.0267505900865461</v>
      </c>
      <c r="G26" s="6" cm="1">
        <f t="array" aca="1" ref="G26" ca="1">IFERROR( INDIRECT(ADDRESS(ROW()+1, COLUMN(), 4, TRUE, "Import-dataset")) / INDIRECT(ADDRESS(ROW(), COLUMN(), 4, TRUE, "Import-dataset")), "" )</f>
        <v>1.0441558441558441</v>
      </c>
      <c r="H26" s="6" cm="1">
        <f t="array" aca="1" ref="H26" ca="1">IFERROR( INDIRECT(ADDRESS(ROW()+1, COLUMN(), 4, TRUE, "Import-dataset")) / INDIRECT(ADDRESS(ROW(), COLUMN(), 4, TRUE, "Import-dataset")), "" )</f>
        <v>1.1830443159922928</v>
      </c>
      <c r="I26" s="6" cm="1">
        <f t="array" aca="1" ref="I26" ca="1">IFERROR( INDIRECT(ADDRESS(ROW()+1, COLUMN(), 4, TRUE, "Import-dataset")) / INDIRECT(ADDRESS(ROW(), COLUMN(), 4, TRUE, "Import-dataset")), "" )</f>
        <v>1.2352941176470589</v>
      </c>
      <c r="J26" s="6" cm="1">
        <f t="array" aca="1" ref="J26" ca="1">IFERROR( INDIRECT(ADDRESS(ROW()+1, COLUMN(), 4, TRUE, "Import-dataset")) / INDIRECT(ADDRESS(ROW(), COLUMN(), 4, TRUE, "Import-dataset")), "" )</f>
        <v>1.1434599156118144</v>
      </c>
      <c r="K26" s="6" cm="1">
        <f t="array" aca="1" ref="K26" ca="1">IFERROR( INDIRECT(ADDRESS(ROW()+1, COLUMN(), 4, TRUE, "Import-dataset")) / INDIRECT(ADDRESS(ROW(), COLUMN(), 4, TRUE, "Import-dataset")), "" )</f>
        <v>0.97860962566844922</v>
      </c>
      <c r="L26" s="6" cm="1">
        <f t="array" aca="1" ref="L26" ca="1">IFERROR( INDIRECT(ADDRESS(ROW()+1, COLUMN(), 4, TRUE, "Import-dataset")) / INDIRECT(ADDRESS(ROW(), COLUMN(), 4, TRUE, "Import-dataset")), "" )</f>
        <v>1.0274725274725274</v>
      </c>
      <c r="M26" s="6" cm="1">
        <f t="array" aca="1" ref="M26" ca="1">IFERROR( INDIRECT(ADDRESS(ROW()+1, COLUMN(), 4, TRUE, "Import-dataset")) / INDIRECT(ADDRESS(ROW(), COLUMN(), 4, TRUE, "Import-dataset")), "" )</f>
        <v>1.0626830697129468</v>
      </c>
      <c r="N26" s="6" cm="1">
        <f t="array" aca="1" ref="N26" ca="1">IFERROR( INDIRECT(ADDRESS(ROW()+1, COLUMN(), 4, TRUE, "Import-dataset")) / INDIRECT(ADDRESS(ROW(), COLUMN(), 4, TRUE, "Import-dataset")), "" )</f>
        <v>1.0570839064649244</v>
      </c>
      <c r="O26" s="6" cm="1">
        <f t="array" aca="1" ref="O26" ca="1">IFERROR( INDIRECT(ADDRESS(ROW()+1, COLUMN(), 4, TRUE, "Import-dataset")) / INDIRECT(ADDRESS(ROW(), COLUMN(), 4, TRUE, "Import-dataset")), "" )</f>
        <v>1.1031746031746033</v>
      </c>
      <c r="P26" s="6" cm="1">
        <f t="array" aca="1" ref="P26" ca="1">IFERROR( INDIRECT(ADDRESS(ROW()+1, COLUMN(), 4, TRUE, "Import-dataset")) / INDIRECT(ADDRESS(ROW(), COLUMN(), 4, TRUE, "Import-dataset")), "" )</f>
        <v>1.1875536480686695</v>
      </c>
      <c r="Q26" s="6" t="str" cm="1">
        <f t="array" aca="1" ref="Q26" ca="1">IFERROR( INDIRECT(ADDRESS(ROW()+1, COLUMN(), 4, TRUE, "Import-dataset")) / INDIRECT(ADDRESS(ROW(), COLUMN(), 4, TRUE, "Import-dataset")), "" )</f>
        <v/>
      </c>
      <c r="R26" s="6" cm="1">
        <f t="array" aca="1" ref="R26" ca="1">IFERROR( INDIRECT(ADDRESS(ROW()+1, COLUMN(), 4, TRUE, "Import-dataset")) / INDIRECT(ADDRESS(ROW(), COLUMN(), 4, TRUE, "Import-dataset")), "" )</f>
        <v>0.88461538461538458</v>
      </c>
      <c r="S26" s="6" cm="1">
        <f t="array" aca="1" ref="S26" ca="1">IFERROR( INDIRECT(ADDRESS(ROW()+1, COLUMN(), 4, TRUE, "Import-dataset")) / INDIRECT(ADDRESS(ROW(), COLUMN(), 4, TRUE, "Import-dataset")), "" )</f>
        <v>1.171875</v>
      </c>
      <c r="T26" s="6" cm="1">
        <f t="array" aca="1" ref="T26" ca="1">IFERROR( INDIRECT(ADDRESS(ROW()+1, COLUMN(), 4, TRUE, "Import-dataset")) / INDIRECT(ADDRESS(ROW(), COLUMN(), 4, TRUE, "Import-dataset")), "" )</f>
        <v>0.98065476190476186</v>
      </c>
      <c r="U26" s="6" cm="1">
        <f t="array" aca="1" ref="U26" ca="1">IFERROR( INDIRECT(ADDRESS(ROW()+1, COLUMN(), 4, TRUE, "Import-dataset")) / INDIRECT(ADDRESS(ROW(), COLUMN(), 4, TRUE, "Import-dataset")), "" )</f>
        <v>0.97340425531914898</v>
      </c>
      <c r="V26" s="6" cm="1">
        <f t="array" aca="1" ref="V26" ca="1">IFERROR( INDIRECT(ADDRESS(ROW()+1, COLUMN(), 4, TRUE, "Import-dataset")) / INDIRECT(ADDRESS(ROW(), COLUMN(), 4, TRUE, "Import-dataset")), "" )</f>
        <v>1.0555555555555556</v>
      </c>
      <c r="W26" s="6" cm="1">
        <f t="array" aca="1" ref="W26" ca="1">IFERROR( INDIRECT(ADDRESS(ROW()+1, COLUMN(), 4, TRUE, "Import-dataset")) / INDIRECT(ADDRESS(ROW(), COLUMN(), 4, TRUE, "Import-dataset")), "" )</f>
        <v>1.4619289340101522</v>
      </c>
      <c r="X26" s="6" cm="1">
        <f t="array" aca="1" ref="X26" ca="1">IFERROR( INDIRECT(ADDRESS(ROW()+1, COLUMN(), 4, TRUE, "Import-dataset")) / INDIRECT(ADDRESS(ROW(), COLUMN(), 4, TRUE, "Import-dataset")), "" )</f>
        <v>1.4608567208271788</v>
      </c>
      <c r="Y26" s="6" cm="1">
        <f t="array" aca="1" ref="Y26" ca="1">IFERROR( INDIRECT(ADDRESS(ROW()+1, COLUMN(), 4, TRUE, "Import-dataset")) / INDIRECT(ADDRESS(ROW(), COLUMN(), 4, TRUE, "Import-dataset")), "" )</f>
        <v>1.1003236245954693</v>
      </c>
      <c r="Z26" s="6" cm="1">
        <f t="array" aca="1" ref="Z26" ca="1">IFERROR( INDIRECT(ADDRESS(ROW()+1, COLUMN(), 4, TRUE, "Import-dataset")) / INDIRECT(ADDRESS(ROW(), COLUMN(), 4, TRUE, "Import-dataset")), "" )</f>
        <v>1.3272544464861491</v>
      </c>
      <c r="AA26" s="6" cm="1">
        <f t="array" aca="1" ref="AA26" ca="1">IFERROR( INDIRECT(ADDRESS(ROW()+1, COLUMN(), 4, TRUE, "Import-dataset")) / INDIRECT(ADDRESS(ROW(), COLUMN(), 4, TRUE, "Import-dataset")), "" )</f>
        <v>1.5348837209302326</v>
      </c>
      <c r="AB26" s="6" cm="1">
        <f t="array" aca="1" ref="AB26" ca="1">IFERROR( INDIRECT(ADDRESS(ROW()+1, COLUMN(), 4, TRUE, "Import-dataset")) / INDIRECT(ADDRESS(ROW(), COLUMN(), 4, TRUE, "Import-dataset")), "" )</f>
        <v>1.33953296908914</v>
      </c>
      <c r="AC26" s="6" cm="1">
        <f t="array" aca="1" ref="AC26" ca="1">IFERROR( INDIRECT(ADDRESS(ROW()+1, COLUMN(), 4, TRUE, "Import-dataset")) / INDIRECT(ADDRESS(ROW(), COLUMN(), 4, TRUE, "Import-dataset")), "" )</f>
        <v>1.1636188642925891</v>
      </c>
      <c r="AD26" s="6" cm="1">
        <f t="array" aca="1" ref="AD26" ca="1">IFERROR( INDIRECT(ADDRESS(ROW()+1, COLUMN(), 4, TRUE, "Import-dataset")) / INDIRECT(ADDRESS(ROW(), COLUMN(), 4, TRUE, "Import-dataset")), "" )</f>
        <v>1.032258064516129</v>
      </c>
      <c r="AE26" s="6" cm="1">
        <f t="array" aca="1" ref="AE26" ca="1">IFERROR( INDIRECT(ADDRESS(ROW()+1, COLUMN(), 4, TRUE, "Import-dataset")) / INDIRECT(ADDRESS(ROW(), COLUMN(), 4, TRUE, "Import-dataset")), "" )</f>
        <v>1.0810810810810811</v>
      </c>
      <c r="AF26" s="6" cm="1">
        <f t="array" aca="1" ref="AF26" ca="1">IFERROR( INDIRECT(ADDRESS(ROW()+1, COLUMN(), 4, TRUE, "Import-dataset")) / INDIRECT(ADDRESS(ROW(), COLUMN(), 4, TRUE, "Import-dataset")), "" )</f>
        <v>1.0138888888888888</v>
      </c>
      <c r="AG26" s="6" cm="1">
        <f t="array" aca="1" ref="AG26" ca="1">IFERROR( INDIRECT(ADDRESS(ROW()+1, COLUMN(), 4, TRUE, "Import-dataset")) / INDIRECT(ADDRESS(ROW(), COLUMN(), 4, TRUE, "Import-dataset")), "" )</f>
        <v>1.1607142857142858</v>
      </c>
      <c r="AH26" s="6" cm="1">
        <f t="array" aca="1" ref="AH26" ca="1">IFERROR( INDIRECT(ADDRESS(ROW()+1, COLUMN(), 4, TRUE, "Import-dataset")) / INDIRECT(ADDRESS(ROW(), COLUMN(), 4, TRUE, "Import-dataset")), "" )</f>
        <v>1.0658171308460327</v>
      </c>
      <c r="AI26" s="6" cm="1">
        <f t="array" aca="1" ref="AI26" ca="1">IFERROR( INDIRECT(ADDRESS(ROW()+1, COLUMN(), 4, TRUE, "Import-dataset")) / INDIRECT(ADDRESS(ROW(), COLUMN(), 4, TRUE, "Import-dataset")), "" )</f>
        <v>0.90457902511078292</v>
      </c>
      <c r="AJ26" s="6" cm="1">
        <f t="array" aca="1" ref="AJ26" ca="1">IFERROR( INDIRECT(ADDRESS(ROW()+1, COLUMN(), 4, TRUE, "Import-dataset")) / INDIRECT(ADDRESS(ROW(), COLUMN(), 4, TRUE, "Import-dataset")), "" )</f>
        <v>1.2942779291553133</v>
      </c>
      <c r="AK26" s="6" cm="1">
        <f t="array" aca="1" ref="AK26" ca="1">IFERROR( INDIRECT(ADDRESS(ROW()+1, COLUMN(), 4, TRUE, "Import-dataset")) / INDIRECT(ADDRESS(ROW(), COLUMN(), 4, TRUE, "Import-dataset")), "" )</f>
        <v>1.0143312101910829</v>
      </c>
      <c r="AL26" s="6" cm="1">
        <f t="array" aca="1" ref="AL26" ca="1">IFERROR( INDIRECT(ADDRESS(ROW()+1, COLUMN(), 4, TRUE, "Import-dataset")) / INDIRECT(ADDRESS(ROW(), COLUMN(), 4, TRUE, "Import-dataset")), "" )</f>
        <v>1.098077922077922</v>
      </c>
      <c r="AM26" s="6" cm="1">
        <f t="array" aca="1" ref="AM26" ca="1">IFERROR( INDIRECT(ADDRESS(ROW()+1, COLUMN(), 4, TRUE, "Import-dataset")) / INDIRECT(ADDRESS(ROW(), COLUMN(), 4, TRUE, "Import-dataset")), "" )</f>
        <v>1.0223189983669025</v>
      </c>
      <c r="AN26" s="6" cm="1">
        <f t="array" aca="1" ref="AN26" ca="1">IFERROR( INDIRECT(ADDRESS(ROW()+1, COLUMN(), 4, TRUE, "Import-dataset")) / INDIRECT(ADDRESS(ROW(), COLUMN(), 4, TRUE, "Import-dataset")), "" )</f>
        <v>1.2181132075471699</v>
      </c>
      <c r="AO26" s="6" cm="1">
        <f t="array" aca="1" ref="AO26" ca="1">IFERROR( INDIRECT(ADDRESS(ROW()+1, COLUMN(), 4, TRUE, "Import-dataset")) / INDIRECT(ADDRESS(ROW(), COLUMN(), 4, TRUE, "Import-dataset")), "" )</f>
        <v>1.0650239561943875</v>
      </c>
      <c r="AP26" s="6" cm="1">
        <f t="array" aca="1" ref="AP26" ca="1">IFERROR( INDIRECT(ADDRESS(ROW()+1, COLUMN(), 4, TRUE, "Import-dataset")) / INDIRECT(ADDRESS(ROW(), COLUMN(), 4, TRUE, "Import-dataset")), "" )</f>
        <v>1.015636105188344</v>
      </c>
      <c r="AQ26" s="6" cm="1">
        <f t="array" aca="1" ref="AQ26" ca="1">IFERROR( INDIRECT(ADDRESS(ROW()+1, COLUMN(), 4, TRUE, "Import-dataset")) / INDIRECT(ADDRESS(ROW(), COLUMN(), 4, TRUE, "Import-dataset")), "" )</f>
        <v>1.0527334300919207</v>
      </c>
      <c r="AR26" s="6" cm="1">
        <f t="array" aca="1" ref="AR26" ca="1">IFERROR( INDIRECT(ADDRESS(ROW()+1, COLUMN(), 4, TRUE, "Import-dataset")) / INDIRECT(ADDRESS(ROW(), COLUMN(), 4, TRUE, "Import-dataset")), "" )</f>
        <v>1.0863274761779875</v>
      </c>
      <c r="AS26" s="6" cm="1">
        <f t="array" aca="1" ref="AS26" ca="1">IFERROR( INDIRECT(ADDRESS(ROW()+1, COLUMN(), 4, TRUE, "Import-dataset")) / INDIRECT(ADDRESS(ROW(), COLUMN(), 4, TRUE, "Import-dataset")), "" )</f>
        <v>1.0567375886524824</v>
      </c>
      <c r="AT26" s="6" cm="1">
        <f t="array" aca="1" ref="AT26" ca="1">IFERROR( INDIRECT(ADDRESS(ROW()+1, COLUMN(), 4, TRUE, "Import-dataset")) / INDIRECT(ADDRESS(ROW(), COLUMN(), 4, TRUE, "Import-dataset")), "" )</f>
        <v>1.1914102130537707</v>
      </c>
      <c r="AU26" s="6" cm="1">
        <f t="array" aca="1" ref="AU26" ca="1">IFERROR( INDIRECT(ADDRESS(ROW()+1, COLUMN(), 4, TRUE, "Import-dataset")) / INDIRECT(ADDRESS(ROW(), COLUMN(), 4, TRUE, "Import-dataset")), "" )</f>
        <v>1.0641562064156207</v>
      </c>
      <c r="AV26" s="6" cm="1">
        <f t="array" aca="1" ref="AV26" ca="1">IFERROR( INDIRECT(ADDRESS(ROW()+1, COLUMN(), 4, TRUE, "Import-dataset")) / INDIRECT(ADDRESS(ROW(), COLUMN(), 4, TRUE, "Import-dataset")), "" )</f>
        <v>0.90970017636684308</v>
      </c>
      <c r="AW26" s="6" cm="1">
        <f t="array" aca="1" ref="AW26" ca="1">IFERROR( INDIRECT(ADDRESS(ROW()+1, COLUMN(), 4, TRUE, "Import-dataset")) / INDIRECT(ADDRESS(ROW(), COLUMN(), 4, TRUE, "Import-dataset")), "" )</f>
        <v>1.0168654874537228</v>
      </c>
      <c r="AX26" s="6" cm="1">
        <f t="array" aca="1" ref="AX26" ca="1">IFERROR( INDIRECT(ADDRESS(ROW()+1, COLUMN(), 4, TRUE, "Import-dataset")) / INDIRECT(ADDRESS(ROW(), COLUMN(), 4, TRUE, "Import-dataset")), "" )</f>
        <v>0.94658287509819328</v>
      </c>
      <c r="AY26" s="6" cm="1">
        <f t="array" aca="1" ref="AY26" ca="1">IFERROR( INDIRECT(ADDRESS(ROW()+1, COLUMN(), 4, TRUE, "Import-dataset")) / INDIRECT(ADDRESS(ROW(), COLUMN(), 4, TRUE, "Import-dataset")), "" )</f>
        <v>0.96349973161567359</v>
      </c>
      <c r="AZ26" s="6" cm="1">
        <f t="array" aca="1" ref="AZ26" ca="1">IFERROR( INDIRECT(ADDRESS(ROW()+1, COLUMN(), 4, TRUE, "Import-dataset")) / INDIRECT(ADDRESS(ROW(), COLUMN(), 4, TRUE, "Import-dataset")), "" )</f>
        <v>1.3110394842868653</v>
      </c>
      <c r="BA26" s="6" cm="1">
        <f t="array" aca="1" ref="BA26" ca="1">IFERROR( INDIRECT(ADDRESS(ROW()+1, COLUMN(), 4, TRUE, "Import-dataset")) / INDIRECT(ADDRESS(ROW(), COLUMN(), 4, TRUE, "Import-dataset")), "" )</f>
        <v>1.2129978204874183</v>
      </c>
      <c r="BB26" s="6" cm="1">
        <f t="array" aca="1" ref="BB26" ca="1">IFERROR( INDIRECT(ADDRESS(ROW()+1, COLUMN(), 4, TRUE, "Import-dataset")) / INDIRECT(ADDRESS(ROW(), COLUMN(), 4, TRUE, "Import-dataset")), "" )</f>
        <v>1.0185568013230537</v>
      </c>
      <c r="BC26" s="6" cm="1">
        <f t="array" aca="1" ref="BC26" ca="1">IFERROR( INDIRECT(ADDRESS(ROW()+1, COLUMN(), 4, TRUE, "Import-dataset")) / INDIRECT(ADDRESS(ROW(), COLUMN(), 4, TRUE, "Import-dataset")), "" )</f>
        <v>1.0810620300751879</v>
      </c>
      <c r="BD26" s="6" cm="1">
        <f t="array" aca="1" ref="BD26" ca="1">IFERROR( INDIRECT(ADDRESS(ROW()+1, COLUMN(), 4, TRUE, "Import-dataset")) / INDIRECT(ADDRESS(ROW(), COLUMN(), 4, TRUE, "Import-dataset")), "" )</f>
        <v>1.2191602943298225</v>
      </c>
      <c r="BE26" s="6" cm="1">
        <f t="array" aca="1" ref="BE26" ca="1">IFERROR( INDIRECT(ADDRESS(ROW()+1, COLUMN(), 4, TRUE, "Import-dataset")) / INDIRECT(ADDRESS(ROW(), COLUMN(), 4, TRUE, "Import-dataset")), "" )</f>
        <v>1.0808240887480189</v>
      </c>
      <c r="BF26" s="6" cm="1">
        <f t="array" aca="1" ref="BF26" ca="1">IFERROR( INDIRECT(ADDRESS(ROW()+1, COLUMN(), 4, TRUE, "Import-dataset")) / INDIRECT(ADDRESS(ROW(), COLUMN(), 4, TRUE, "Import-dataset")), "" )</f>
        <v>0.99275569535792585</v>
      </c>
      <c r="BG26" s="6" cm="1">
        <f t="array" aca="1" ref="BG26" ca="1">IFERROR( INDIRECT(ADDRESS(ROW()+1, COLUMN(), 4, TRUE, "Import-dataset")) / INDIRECT(ADDRESS(ROW(), COLUMN(), 4, TRUE, "Import-dataset")), "" )</f>
        <v>0.98051744003351837</v>
      </c>
      <c r="BH26" s="6" cm="1">
        <f t="array" aca="1" ref="BH26" ca="1">IFERROR( INDIRECT(ADDRESS(ROW()+1, COLUMN(), 4, TRUE, "Import-dataset")) / INDIRECT(ADDRESS(ROW(), COLUMN(), 4, TRUE, "Import-dataset")), "" )</f>
        <v>1.0076195480819758</v>
      </c>
      <c r="BI26" s="6" cm="1">
        <f t="array" aca="1" ref="BI26" ca="1">IFERROR( INDIRECT(ADDRESS(ROW()+1, COLUMN(), 4, TRUE, "Import-dataset")) / INDIRECT(ADDRESS(ROW(), COLUMN(), 4, TRUE, "Import-dataset")), "" )</f>
        <v>1.0530048525569242</v>
      </c>
      <c r="BJ26" s="6" cm="1">
        <f t="array" aca="1" ref="BJ26" ca="1">IFERROR( INDIRECT(ADDRESS(ROW()+1, COLUMN(), 4, TRUE, "Import-dataset")) / INDIRECT(ADDRESS(ROW(), COLUMN(), 4, TRUE, "Import-dataset")), "" )</f>
        <v>0.93975353719762666</v>
      </c>
      <c r="BK26" s="6" cm="1">
        <f t="array" aca="1" ref="BK26" ca="1">IFERROR( INDIRECT(ADDRESS(ROW()+1, COLUMN(), 4, TRUE, "Import-dataset")) / INDIRECT(ADDRESS(ROW(), COLUMN(), 4, TRUE, "Import-dataset")), "" )</f>
        <v>1.4106502816180235</v>
      </c>
      <c r="BL26" s="6" cm="1">
        <f t="array" aca="1" ref="BL26" ca="1">IFERROR( INDIRECT(ADDRESS(ROW()+1, COLUMN(), 4, TRUE, "Import-dataset")) / INDIRECT(ADDRESS(ROW(), COLUMN(), 4, TRUE, "Import-dataset")), "" )</f>
        <v>1.0298387096774193</v>
      </c>
      <c r="BM26" s="6" cm="1">
        <f t="array" aca="1" ref="BM26" ca="1">IFERROR( INDIRECT(ADDRESS(ROW()+1, COLUMN(), 4, TRUE, "Import-dataset")) / INDIRECT(ADDRESS(ROW(), COLUMN(), 4, TRUE, "Import-dataset")), "" )</f>
        <v>1.2975778546712802</v>
      </c>
      <c r="BN26" s="6" cm="1">
        <f t="array" aca="1" ref="BN26" ca="1">IFERROR( INDIRECT(ADDRESS(ROW()+1, COLUMN(), 4, TRUE, "Import-dataset")) / INDIRECT(ADDRESS(ROW(), COLUMN(), 4, TRUE, "Import-dataset")), "" )</f>
        <v>1.0581970330924306</v>
      </c>
      <c r="BO26" s="6" cm="1">
        <f t="array" aca="1" ref="BO26" ca="1">IFERROR( INDIRECT(ADDRESS(ROW()+1, COLUMN(), 4, TRUE, "Import-dataset")) / INDIRECT(ADDRESS(ROW(), COLUMN(), 4, TRUE, "Import-dataset")), "" )</f>
        <v>1.0907894736842105</v>
      </c>
      <c r="BP26" s="6" cm="1">
        <f t="array" aca="1" ref="BP26" ca="1">IFERROR( INDIRECT(ADDRESS(ROW()+1, COLUMN(), 4, TRUE, "Import-dataset")) / INDIRECT(ADDRESS(ROW(), COLUMN(), 4, TRUE, "Import-dataset")), "" )</f>
        <v>1.0561442647332218</v>
      </c>
      <c r="BQ26" s="6" cm="1">
        <f t="array" aca="1" ref="BQ26" ca="1">IFERROR( INDIRECT(ADDRESS(ROW()+1, COLUMN(), 4, TRUE, "Import-dataset")) / INDIRECT(ADDRESS(ROW(), COLUMN(), 4, TRUE, "Import-dataset")), "" )</f>
        <v>0.98585256887565154</v>
      </c>
      <c r="BR26" s="6" cm="1">
        <f t="array" aca="1" ref="BR26" ca="1">IFERROR( INDIRECT(ADDRESS(ROW()+1, COLUMN(), 4, TRUE, "Import-dataset")) / INDIRECT(ADDRESS(ROW(), COLUMN(), 4, TRUE, "Import-dataset")), "" )</f>
        <v>1.0106895828966673</v>
      </c>
      <c r="BS26" s="6" cm="1">
        <f t="array" aca="1" ref="BS26" ca="1">IFERROR( INDIRECT(ADDRESS(ROW()+1, COLUMN(), 4, TRUE, "Import-dataset")) / INDIRECT(ADDRESS(ROW(), COLUMN(), 4, TRUE, "Import-dataset")), "" )</f>
        <v>1.0168498168498168</v>
      </c>
      <c r="BT26" s="6" cm="1">
        <f t="array" aca="1" ref="BT26" ca="1">IFERROR( INDIRECT(ADDRESS(ROW()+1, COLUMN(), 4, TRUE, "Import-dataset")) / INDIRECT(ADDRESS(ROW(), COLUMN(), 4, TRUE, "Import-dataset")), "" )</f>
        <v>0.99832743014561198</v>
      </c>
      <c r="BU26" s="6" cm="1">
        <f t="array" aca="1" ref="BU26" ca="1">IFERROR( INDIRECT(ADDRESS(ROW()+1, COLUMN(), 4, TRUE, "Import-dataset")) / INDIRECT(ADDRESS(ROW(), COLUMN(), 4, TRUE, "Import-dataset")), "" )</f>
        <v>0.99969690081079032</v>
      </c>
      <c r="BV26" s="6" cm="1">
        <f t="array" aca="1" ref="BV26" ca="1">IFERROR( INDIRECT(ADDRESS(ROW()+1, COLUMN(), 4, TRUE, "Import-dataset")) / INDIRECT(ADDRESS(ROW(), COLUMN(), 4, TRUE, "Import-dataset")), "" )</f>
        <v>1.1842105263157894</v>
      </c>
      <c r="BW26" s="6" cm="1">
        <f t="array" aca="1" ref="BW26" ca="1">IFERROR( INDIRECT(ADDRESS(ROW()+1, COLUMN(), 4, TRUE, "Import-dataset")) / INDIRECT(ADDRESS(ROW(), COLUMN(), 4, TRUE, "Import-dataset")), "" )</f>
        <v>1.4615384615384615</v>
      </c>
      <c r="BX26" s="6" cm="1">
        <f t="array" aca="1" ref="BX26" ca="1">IFERROR( INDIRECT(ADDRESS(ROW()+1, COLUMN(), 4, TRUE, "Import-dataset")) / INDIRECT(ADDRESS(ROW(), COLUMN(), 4, TRUE, "Import-dataset")), "" )</f>
        <v>2</v>
      </c>
      <c r="BY26" s="6" cm="1">
        <f t="array" aca="1" ref="BY26" ca="1">IFERROR( INDIRECT(ADDRESS(ROW()+1, COLUMN(), 4, TRUE, "Import-dataset")) / INDIRECT(ADDRESS(ROW(), COLUMN(), 4, TRUE, "Import-dataset")), "" )</f>
        <v>0.90777525539160042</v>
      </c>
      <c r="BZ26" s="6" cm="1">
        <f t="array" aca="1" ref="BZ26" ca="1">IFERROR( INDIRECT(ADDRESS(ROW()+1, COLUMN(), 4, TRUE, "Import-dataset")) / INDIRECT(ADDRESS(ROW(), COLUMN(), 4, TRUE, "Import-dataset")), "" )</f>
        <v>1.1031316609280211</v>
      </c>
      <c r="CA26" s="6" cm="1">
        <f t="array" aca="1" ref="CA26" ca="1">IFERROR( INDIRECT(ADDRESS(ROW()+1, COLUMN(), 4, TRUE, "Import-dataset")) / INDIRECT(ADDRESS(ROW(), COLUMN(), 4, TRUE, "Import-dataset")), "" )</f>
        <v>1.0780129039614592</v>
      </c>
    </row>
    <row r="27" spans="1:79">
      <c r="A27" s="6" t="s">
        <v>184</v>
      </c>
      <c r="B27" s="6" cm="1">
        <f t="array" aca="1" ref="B27" ca="1">IFERROR( INDIRECT(ADDRESS(ROW()+1, COLUMN(), 4, TRUE, "Import-dataset")) / INDIRECT(ADDRESS(ROW(), COLUMN(), 4, TRUE, "Import-dataset")), "" )</f>
        <v>1.0376216216216216</v>
      </c>
      <c r="C27" s="6" cm="1">
        <f t="array" aca="1" ref="C27" ca="1">IFERROR( INDIRECT(ADDRESS(ROW()+1, COLUMN(), 4, TRUE, "Import-dataset")) / INDIRECT(ADDRESS(ROW(), COLUMN(), 4, TRUE, "Import-dataset")), "" )</f>
        <v>0.90090090090090091</v>
      </c>
      <c r="D27" s="6" cm="1">
        <f t="array" aca="1" ref="D27" ca="1">IFERROR( INDIRECT(ADDRESS(ROW()+1, COLUMN(), 4, TRUE, "Import-dataset")) / INDIRECT(ADDRESS(ROW(), COLUMN(), 4, TRUE, "Import-dataset")), "" )</f>
        <v>1.1213768115942029</v>
      </c>
      <c r="E27" s="6" cm="1">
        <f t="array" aca="1" ref="E27" ca="1">IFERROR( INDIRECT(ADDRESS(ROW()+1, COLUMN(), 4, TRUE, "Import-dataset")) / INDIRECT(ADDRESS(ROW(), COLUMN(), 4, TRUE, "Import-dataset")), "" )</f>
        <v>0.94626865671641791</v>
      </c>
      <c r="F27" s="6" cm="1">
        <f t="array" aca="1" ref="F27" ca="1">IFERROR( INDIRECT(ADDRESS(ROW()+1, COLUMN(), 4, TRUE, "Import-dataset")) / INDIRECT(ADDRESS(ROW(), COLUMN(), 4, TRUE, "Import-dataset")), "" )</f>
        <v>1.0850574712643679</v>
      </c>
      <c r="G27" s="6" cm="1">
        <f t="array" aca="1" ref="G27" ca="1">IFERROR( INDIRECT(ADDRESS(ROW()+1, COLUMN(), 4, TRUE, "Import-dataset")) / INDIRECT(ADDRESS(ROW(), COLUMN(), 4, TRUE, "Import-dataset")), "" )</f>
        <v>1.0559701492537314</v>
      </c>
      <c r="H27" s="6" cm="1">
        <f t="array" aca="1" ref="H27" ca="1">IFERROR( INDIRECT(ADDRESS(ROW()+1, COLUMN(), 4, TRUE, "Import-dataset")) / INDIRECT(ADDRESS(ROW(), COLUMN(), 4, TRUE, "Import-dataset")), "" )</f>
        <v>0.97937024972855591</v>
      </c>
      <c r="I27" s="6" cm="1">
        <f t="array" aca="1" ref="I27" ca="1">IFERROR( INDIRECT(ADDRESS(ROW()+1, COLUMN(), 4, TRUE, "Import-dataset")) / INDIRECT(ADDRESS(ROW(), COLUMN(), 4, TRUE, "Import-dataset")), "" )</f>
        <v>0.94179894179894175</v>
      </c>
      <c r="J27" s="6" cm="1">
        <f t="array" aca="1" ref="J27" ca="1">IFERROR( INDIRECT(ADDRESS(ROW()+1, COLUMN(), 4, TRUE, "Import-dataset")) / INDIRECT(ADDRESS(ROW(), COLUMN(), 4, TRUE, "Import-dataset")), "" )</f>
        <v>0.99704797047970484</v>
      </c>
      <c r="K27" s="6" cm="1">
        <f t="array" aca="1" ref="K27" ca="1">IFERROR( INDIRECT(ADDRESS(ROW()+1, COLUMN(), 4, TRUE, "Import-dataset")) / INDIRECT(ADDRESS(ROW(), COLUMN(), 4, TRUE, "Import-dataset")), "" )</f>
        <v>1.156648451730419</v>
      </c>
      <c r="L27" s="6" cm="1">
        <f t="array" aca="1" ref="L27" ca="1">IFERROR( INDIRECT(ADDRESS(ROW()+1, COLUMN(), 4, TRUE, "Import-dataset")) / INDIRECT(ADDRESS(ROW(), COLUMN(), 4, TRUE, "Import-dataset")), "" )</f>
        <v>1.0861556743909686</v>
      </c>
      <c r="M27" s="6" cm="1">
        <f t="array" aca="1" ref="M27" ca="1">IFERROR( INDIRECT(ADDRESS(ROW()+1, COLUMN(), 4, TRUE, "Import-dataset")) / INDIRECT(ADDRESS(ROW(), COLUMN(), 4, TRUE, "Import-dataset")), "" )</f>
        <v>1.0997794928335172</v>
      </c>
      <c r="N27" s="6" cm="1">
        <f t="array" aca="1" ref="N27" ca="1">IFERROR( INDIRECT(ADDRESS(ROW()+1, COLUMN(), 4, TRUE, "Import-dataset")) / INDIRECT(ADDRESS(ROW(), COLUMN(), 4, TRUE, "Import-dataset")), "" )</f>
        <v>1.0969420949902406</v>
      </c>
      <c r="O27" s="6" cm="1">
        <f t="array" aca="1" ref="O27" ca="1">IFERROR( INDIRECT(ADDRESS(ROW()+1, COLUMN(), 4, TRUE, "Import-dataset")) / INDIRECT(ADDRESS(ROW(), COLUMN(), 4, TRUE, "Import-dataset")), "" )</f>
        <v>1.1115107913669064</v>
      </c>
      <c r="P27" s="6" cm="1">
        <f t="array" aca="1" ref="P27" ca="1">IFERROR( INDIRECT(ADDRESS(ROW()+1, COLUMN(), 4, TRUE, "Import-dataset")) / INDIRECT(ADDRESS(ROW(), COLUMN(), 4, TRUE, "Import-dataset")), "" )</f>
        <v>0.91001084206722083</v>
      </c>
      <c r="Q27" s="6" t="str" cm="1">
        <f t="array" aca="1" ref="Q27" ca="1">IFERROR( INDIRECT(ADDRESS(ROW()+1, COLUMN(), 4, TRUE, "Import-dataset")) / INDIRECT(ADDRESS(ROW(), COLUMN(), 4, TRUE, "Import-dataset")), "" )</f>
        <v/>
      </c>
      <c r="R27" s="6" cm="1">
        <f t="array" aca="1" ref="R27" ca="1">IFERROR( INDIRECT(ADDRESS(ROW()+1, COLUMN(), 4, TRUE, "Import-dataset")) / INDIRECT(ADDRESS(ROW(), COLUMN(), 4, TRUE, "Import-dataset")), "" )</f>
        <v>1.2608695652173914</v>
      </c>
      <c r="S27" s="6" cm="1">
        <f t="array" aca="1" ref="S27" ca="1">IFERROR( INDIRECT(ADDRESS(ROW()+1, COLUMN(), 4, TRUE, "Import-dataset")) / INDIRECT(ADDRESS(ROW(), COLUMN(), 4, TRUE, "Import-dataset")), "" )</f>
        <v>0.89333333333333331</v>
      </c>
      <c r="T27" s="6" cm="1">
        <f t="array" aca="1" ref="T27" ca="1">IFERROR( INDIRECT(ADDRESS(ROW()+1, COLUMN(), 4, TRUE, "Import-dataset")) / INDIRECT(ADDRESS(ROW(), COLUMN(), 4, TRUE, "Import-dataset")), "" )</f>
        <v>0.96358118361153267</v>
      </c>
      <c r="U27" s="6" cm="1">
        <f t="array" aca="1" ref="U27" ca="1">IFERROR( INDIRECT(ADDRESS(ROW()+1, COLUMN(), 4, TRUE, "Import-dataset")) / INDIRECT(ADDRESS(ROW(), COLUMN(), 4, TRUE, "Import-dataset")), "" )</f>
        <v>0.79234972677595628</v>
      </c>
      <c r="V27" s="6" cm="1">
        <f t="array" aca="1" ref="V27" ca="1">IFERROR( INDIRECT(ADDRESS(ROW()+1, COLUMN(), 4, TRUE, "Import-dataset")) / INDIRECT(ADDRESS(ROW(), COLUMN(), 4, TRUE, "Import-dataset")), "" )</f>
        <v>0.79824561403508776</v>
      </c>
      <c r="W27" s="6" cm="1">
        <f t="array" aca="1" ref="W27" ca="1">IFERROR( INDIRECT(ADDRESS(ROW()+1, COLUMN(), 4, TRUE, "Import-dataset")) / INDIRECT(ADDRESS(ROW(), COLUMN(), 4, TRUE, "Import-dataset")), "" )</f>
        <v>1.0868055555555556</v>
      </c>
      <c r="X27" s="6" cm="1">
        <f t="array" aca="1" ref="X27" ca="1">IFERROR( INDIRECT(ADDRESS(ROW()+1, COLUMN(), 4, TRUE, "Import-dataset")) / INDIRECT(ADDRESS(ROW(), COLUMN(), 4, TRUE, "Import-dataset")), "" )</f>
        <v>0.74014155712841256</v>
      </c>
      <c r="Y27" s="6" cm="1">
        <f t="array" aca="1" ref="Y27" ca="1">IFERROR( INDIRECT(ADDRESS(ROW()+1, COLUMN(), 4, TRUE, "Import-dataset")) / INDIRECT(ADDRESS(ROW(), COLUMN(), 4, TRUE, "Import-dataset")), "" )</f>
        <v>1.2</v>
      </c>
      <c r="Z27" s="6" cm="1">
        <f t="array" aca="1" ref="Z27" ca="1">IFERROR( INDIRECT(ADDRESS(ROW()+1, COLUMN(), 4, TRUE, "Import-dataset")) / INDIRECT(ADDRESS(ROW(), COLUMN(), 4, TRUE, "Import-dataset")), "" )</f>
        <v>1.0671856224857637</v>
      </c>
      <c r="AA27" s="6" cm="1">
        <f t="array" aca="1" ref="AA27" ca="1">IFERROR( INDIRECT(ADDRESS(ROW()+1, COLUMN(), 4, TRUE, "Import-dataset")) / INDIRECT(ADDRESS(ROW(), COLUMN(), 4, TRUE, "Import-dataset")), "" )</f>
        <v>0.27272727272727271</v>
      </c>
      <c r="AB27" s="6" cm="1">
        <f t="array" aca="1" ref="AB27" ca="1">IFERROR( INDIRECT(ADDRESS(ROW()+1, COLUMN(), 4, TRUE, "Import-dataset")) / INDIRECT(ADDRESS(ROW(), COLUMN(), 4, TRUE, "Import-dataset")), "" )</f>
        <v>1.0676630814359547</v>
      </c>
      <c r="AC27" s="6" cm="1">
        <f t="array" aca="1" ref="AC27" ca="1">IFERROR( INDIRECT(ADDRESS(ROW()+1, COLUMN(), 4, TRUE, "Import-dataset")) / INDIRECT(ADDRESS(ROW(), COLUMN(), 4, TRUE, "Import-dataset")), "" )</f>
        <v>1.0835401157981803</v>
      </c>
      <c r="AD27" s="6" cm="1">
        <f t="array" aca="1" ref="AD27" ca="1">IFERROR( INDIRECT(ADDRESS(ROW()+1, COLUMN(), 4, TRUE, "Import-dataset")) / INDIRECT(ADDRESS(ROW(), COLUMN(), 4, TRUE, "Import-dataset")), "" )</f>
        <v>1.0018382352941178</v>
      </c>
      <c r="AE27" s="6" cm="1">
        <f t="array" aca="1" ref="AE27" ca="1">IFERROR( INDIRECT(ADDRESS(ROW()+1, COLUMN(), 4, TRUE, "Import-dataset")) / INDIRECT(ADDRESS(ROW(), COLUMN(), 4, TRUE, "Import-dataset")), "" )</f>
        <v>1.5249999999999999</v>
      </c>
      <c r="AF27" s="6" cm="1">
        <f t="array" aca="1" ref="AF27" ca="1">IFERROR( INDIRECT(ADDRESS(ROW()+1, COLUMN(), 4, TRUE, "Import-dataset")) / INDIRECT(ADDRESS(ROW(), COLUMN(), 4, TRUE, "Import-dataset")), "" )</f>
        <v>0.93835616438356162</v>
      </c>
      <c r="AG27" s="6" cm="1">
        <f t="array" aca="1" ref="AG27" ca="1">IFERROR( INDIRECT(ADDRESS(ROW()+1, COLUMN(), 4, TRUE, "Import-dataset")) / INDIRECT(ADDRESS(ROW(), COLUMN(), 4, TRUE, "Import-dataset")), "" )</f>
        <v>1.1384615384615384</v>
      </c>
      <c r="AH27" s="6" cm="1">
        <f t="array" aca="1" ref="AH27" ca="1">IFERROR( INDIRECT(ADDRESS(ROW()+1, COLUMN(), 4, TRUE, "Import-dataset")) / INDIRECT(ADDRESS(ROW(), COLUMN(), 4, TRUE, "Import-dataset")), "" )</f>
        <v>1.0060396893874028</v>
      </c>
      <c r="AI27" s="6" cm="1">
        <f t="array" aca="1" ref="AI27" ca="1">IFERROR( INDIRECT(ADDRESS(ROW()+1, COLUMN(), 4, TRUE, "Import-dataset")) / INDIRECT(ADDRESS(ROW(), COLUMN(), 4, TRUE, "Import-dataset")), "" )</f>
        <v>0.95917700849118226</v>
      </c>
      <c r="AJ27" s="6" cm="1">
        <f t="array" aca="1" ref="AJ27" ca="1">IFERROR( INDIRECT(ADDRESS(ROW()+1, COLUMN(), 4, TRUE, "Import-dataset")) / INDIRECT(ADDRESS(ROW(), COLUMN(), 4, TRUE, "Import-dataset")), "" )</f>
        <v>1.1894736842105262</v>
      </c>
      <c r="AK27" s="6" cm="1">
        <f t="array" aca="1" ref="AK27" ca="1">IFERROR( INDIRECT(ADDRESS(ROW()+1, COLUMN(), 4, TRUE, "Import-dataset")) / INDIRECT(ADDRESS(ROW(), COLUMN(), 4, TRUE, "Import-dataset")), "" )</f>
        <v>0.9686028257456829</v>
      </c>
      <c r="AL27" s="6" cm="1">
        <f t="array" aca="1" ref="AL27" ca="1">IFERROR( INDIRECT(ADDRESS(ROW()+1, COLUMN(), 4, TRUE, "Import-dataset")) / INDIRECT(ADDRESS(ROW(), COLUMN(), 4, TRUE, "Import-dataset")), "" )</f>
        <v>0.98505061973696662</v>
      </c>
      <c r="AM27" s="6" cm="1">
        <f t="array" aca="1" ref="AM27" ca="1">IFERROR( INDIRECT(ADDRESS(ROW()+1, COLUMN(), 4, TRUE, "Import-dataset")) / INDIRECT(ADDRESS(ROW(), COLUMN(), 4, TRUE, "Import-dataset")), "" )</f>
        <v>1.0585729499467518</v>
      </c>
      <c r="AN27" s="6" cm="1">
        <f t="array" aca="1" ref="AN27" ca="1">IFERROR( INDIRECT(ADDRESS(ROW()+1, COLUMN(), 4, TRUE, "Import-dataset")) / INDIRECT(ADDRESS(ROW(), COLUMN(), 4, TRUE, "Import-dataset")), "" )</f>
        <v>1.0216852540272614</v>
      </c>
      <c r="AO27" s="6" cm="1">
        <f t="array" aca="1" ref="AO27" ca="1">IFERROR( INDIRECT(ADDRESS(ROW()+1, COLUMN(), 4, TRUE, "Import-dataset")) / INDIRECT(ADDRESS(ROW(), COLUMN(), 4, TRUE, "Import-dataset")), "" )</f>
        <v>0.97493573264781486</v>
      </c>
      <c r="AP27" s="6" cm="1">
        <f t="array" aca="1" ref="AP27" ca="1">IFERROR( INDIRECT(ADDRESS(ROW()+1, COLUMN(), 4, TRUE, "Import-dataset")) / INDIRECT(ADDRESS(ROW(), COLUMN(), 4, TRUE, "Import-dataset")), "" )</f>
        <v>1.0090972708187544</v>
      </c>
      <c r="AQ27" s="6" cm="1">
        <f t="array" aca="1" ref="AQ27" ca="1">IFERROR( INDIRECT(ADDRESS(ROW()+1, COLUMN(), 4, TRUE, "Import-dataset")) / INDIRECT(ADDRESS(ROW(), COLUMN(), 4, TRUE, "Import-dataset")), "" )</f>
        <v>1.025735294117647</v>
      </c>
      <c r="AR27" s="6" cm="1">
        <f t="array" aca="1" ref="AR27" ca="1">IFERROR( INDIRECT(ADDRESS(ROW()+1, COLUMN(), 4, TRUE, "Import-dataset")) / INDIRECT(ADDRESS(ROW(), COLUMN(), 4, TRUE, "Import-dataset")), "" )</f>
        <v>1.0452661650504969</v>
      </c>
      <c r="AS27" s="6" cm="1">
        <f t="array" aca="1" ref="AS27" ca="1">IFERROR( INDIRECT(ADDRESS(ROW()+1, COLUMN(), 4, TRUE, "Import-dataset")) / INDIRECT(ADDRESS(ROW(), COLUMN(), 4, TRUE, "Import-dataset")), "" )</f>
        <v>0.95302013422818788</v>
      </c>
      <c r="AT27" s="6" cm="1">
        <f t="array" aca="1" ref="AT27" ca="1">IFERROR( INDIRECT(ADDRESS(ROW()+1, COLUMN(), 4, TRUE, "Import-dataset")) / INDIRECT(ADDRESS(ROW(), COLUMN(), 4, TRUE, "Import-dataset")), "" )</f>
        <v>1.1328413284132841</v>
      </c>
      <c r="AU27" s="6" cm="1">
        <f t="array" aca="1" ref="AU27" ca="1">IFERROR( INDIRECT(ADDRESS(ROW()+1, COLUMN(), 4, TRUE, "Import-dataset")) / INDIRECT(ADDRESS(ROW(), COLUMN(), 4, TRUE, "Import-dataset")), "" )</f>
        <v>1.053735255570118</v>
      </c>
      <c r="AV27" s="6" cm="1">
        <f t="array" aca="1" ref="AV27" ca="1">IFERROR( INDIRECT(ADDRESS(ROW()+1, COLUMN(), 4, TRUE, "Import-dataset")) / INDIRECT(ADDRESS(ROW(), COLUMN(), 4, TRUE, "Import-dataset")), "" )</f>
        <v>1.0306320279177976</v>
      </c>
      <c r="AW27" s="6" cm="1">
        <f t="array" aca="1" ref="AW27" ca="1">IFERROR( INDIRECT(ADDRESS(ROW()+1, COLUMN(), 4, TRUE, "Import-dataset")) / INDIRECT(ADDRESS(ROW(), COLUMN(), 4, TRUE, "Import-dataset")), "" )</f>
        <v>1.0117313915857604</v>
      </c>
      <c r="AX27" s="6" cm="1">
        <f t="array" aca="1" ref="AX27" ca="1">IFERROR( INDIRECT(ADDRESS(ROW()+1, COLUMN(), 4, TRUE, "Import-dataset")) / INDIRECT(ADDRESS(ROW(), COLUMN(), 4, TRUE, "Import-dataset")), "" )</f>
        <v>1.0070539419087137</v>
      </c>
      <c r="AY27" s="6" cm="1">
        <f t="array" aca="1" ref="AY27" ca="1">IFERROR( INDIRECT(ADDRESS(ROW()+1, COLUMN(), 4, TRUE, "Import-dataset")) / INDIRECT(ADDRESS(ROW(), COLUMN(), 4, TRUE, "Import-dataset")), "" )</f>
        <v>1.2025069637883008</v>
      </c>
      <c r="AZ27" s="6" cm="1">
        <f t="array" aca="1" ref="AZ27" ca="1">IFERROR( INDIRECT(ADDRESS(ROW()+1, COLUMN(), 4, TRUE, "Import-dataset")) / INDIRECT(ADDRESS(ROW(), COLUMN(), 4, TRUE, "Import-dataset")), "" )</f>
        <v>0.77996312231100184</v>
      </c>
      <c r="BA27" s="6" cm="1">
        <f t="array" aca="1" ref="BA27" ca="1">IFERROR( INDIRECT(ADDRESS(ROW()+1, COLUMN(), 4, TRUE, "Import-dataset")) / INDIRECT(ADDRESS(ROW(), COLUMN(), 4, TRUE, "Import-dataset")), "" )</f>
        <v>1.0777523685070238</v>
      </c>
      <c r="BB27" s="6" cm="1">
        <f t="array" aca="1" ref="BB27" ca="1">IFERROR( INDIRECT(ADDRESS(ROW()+1, COLUMN(), 4, TRUE, "Import-dataset")) / INDIRECT(ADDRESS(ROW(), COLUMN(), 4, TRUE, "Import-dataset")), "" )</f>
        <v>1.1423949379178606</v>
      </c>
      <c r="BC27" s="6" cm="1">
        <f t="array" aca="1" ref="BC27" ca="1">IFERROR( INDIRECT(ADDRESS(ROW()+1, COLUMN(), 4, TRUE, "Import-dataset")) / INDIRECT(ADDRESS(ROW(), COLUMN(), 4, TRUE, "Import-dataset")), "" )</f>
        <v>1.0897630949793524</v>
      </c>
      <c r="BD27" s="6" cm="1">
        <f t="array" aca="1" ref="BD27" ca="1">IFERROR( INDIRECT(ADDRESS(ROW()+1, COLUMN(), 4, TRUE, "Import-dataset")) / INDIRECT(ADDRESS(ROW(), COLUMN(), 4, TRUE, "Import-dataset")), "" )</f>
        <v>1.3902958579881657</v>
      </c>
      <c r="BE27" s="6" cm="1">
        <f t="array" aca="1" ref="BE27" ca="1">IFERROR( INDIRECT(ADDRESS(ROW()+1, COLUMN(), 4, TRUE, "Import-dataset")) / INDIRECT(ADDRESS(ROW(), COLUMN(), 4, TRUE, "Import-dataset")), "" )</f>
        <v>1.0293255131964809</v>
      </c>
      <c r="BF27" s="6" cm="1">
        <f t="array" aca="1" ref="BF27" ca="1">IFERROR( INDIRECT(ADDRESS(ROW()+1, COLUMN(), 4, TRUE, "Import-dataset")) / INDIRECT(ADDRESS(ROW(), COLUMN(), 4, TRUE, "Import-dataset")), "" )</f>
        <v>1.172635621699472</v>
      </c>
      <c r="BG27" s="6" cm="1">
        <f t="array" aca="1" ref="BG27" ca="1">IFERROR( INDIRECT(ADDRESS(ROW()+1, COLUMN(), 4, TRUE, "Import-dataset")) / INDIRECT(ADDRESS(ROW(), COLUMN(), 4, TRUE, "Import-dataset")), "" )</f>
        <v>0.98429654951394085</v>
      </c>
      <c r="BH27" s="6" cm="1">
        <f t="array" aca="1" ref="BH27" ca="1">IFERROR( INDIRECT(ADDRESS(ROW()+1, COLUMN(), 4, TRUE, "Import-dataset")) / INDIRECT(ADDRESS(ROW(), COLUMN(), 4, TRUE, "Import-dataset")), "" )</f>
        <v>0.99687092568448499</v>
      </c>
      <c r="BI27" s="6" cm="1">
        <f t="array" aca="1" ref="BI27" ca="1">IFERROR( INDIRECT(ADDRESS(ROW()+1, COLUMN(), 4, TRUE, "Import-dataset")) / INDIRECT(ADDRESS(ROW(), COLUMN(), 4, TRUE, "Import-dataset")), "" )</f>
        <v>1.0016838000708967</v>
      </c>
      <c r="BJ27" s="6" cm="1">
        <f t="array" aca="1" ref="BJ27" ca="1">IFERROR( INDIRECT(ADDRESS(ROW()+1, COLUMN(), 4, TRUE, "Import-dataset")) / INDIRECT(ADDRESS(ROW(), COLUMN(), 4, TRUE, "Import-dataset")), "" )</f>
        <v>1.2324753116399547</v>
      </c>
      <c r="BK27" s="6" cm="1">
        <f t="array" aca="1" ref="BK27" ca="1">IFERROR( INDIRECT(ADDRESS(ROW()+1, COLUMN(), 4, TRUE, "Import-dataset")) / INDIRECT(ADDRESS(ROW(), COLUMN(), 4, TRUE, "Import-dataset")), "" )</f>
        <v>1.296551724137931</v>
      </c>
      <c r="BL27" s="6" cm="1">
        <f t="array" aca="1" ref="BL27" ca="1">IFERROR( INDIRECT(ADDRESS(ROW()+1, COLUMN(), 4, TRUE, "Import-dataset")) / INDIRECT(ADDRESS(ROW(), COLUMN(), 4, TRUE, "Import-dataset")), "" )</f>
        <v>1.0359151420232078</v>
      </c>
      <c r="BM27" s="6" cm="1">
        <f t="array" aca="1" ref="BM27" ca="1">IFERROR( INDIRECT(ADDRESS(ROW()+1, COLUMN(), 4, TRUE, "Import-dataset")) / INDIRECT(ADDRESS(ROW(), COLUMN(), 4, TRUE, "Import-dataset")), "" )</f>
        <v>1.1919999999999999</v>
      </c>
      <c r="BN27" s="6" cm="1">
        <f t="array" aca="1" ref="BN27" ca="1">IFERROR( INDIRECT(ADDRESS(ROW()+1, COLUMN(), 4, TRUE, "Import-dataset")) / INDIRECT(ADDRESS(ROW(), COLUMN(), 4, TRUE, "Import-dataset")), "" )</f>
        <v>1.0438533429187635</v>
      </c>
      <c r="BO27" s="6" cm="1">
        <f t="array" aca="1" ref="BO27" ca="1">IFERROR( INDIRECT(ADDRESS(ROW()+1, COLUMN(), 4, TRUE, "Import-dataset")) / INDIRECT(ADDRESS(ROW(), COLUMN(), 4, TRUE, "Import-dataset")), "" )</f>
        <v>1.1170084439083232</v>
      </c>
      <c r="BP27" s="6" cm="1">
        <f t="array" aca="1" ref="BP27" ca="1">IFERROR( INDIRECT(ADDRESS(ROW()+1, COLUMN(), 4, TRUE, "Import-dataset")) / INDIRECT(ADDRESS(ROW(), COLUMN(), 4, TRUE, "Import-dataset")), "" )</f>
        <v>1.0373173737018131</v>
      </c>
      <c r="BQ27" s="6" cm="1">
        <f t="array" aca="1" ref="BQ27" ca="1">IFERROR( INDIRECT(ADDRESS(ROW()+1, COLUMN(), 4, TRUE, "Import-dataset")) / INDIRECT(ADDRESS(ROW(), COLUMN(), 4, TRUE, "Import-dataset")), "" )</f>
        <v>1.1178247734138973</v>
      </c>
      <c r="BR27" s="6" cm="1">
        <f t="array" aca="1" ref="BR27" ca="1">IFERROR( INDIRECT(ADDRESS(ROW()+1, COLUMN(), 4, TRUE, "Import-dataset")) / INDIRECT(ADDRESS(ROW(), COLUMN(), 4, TRUE, "Import-dataset")), "" )</f>
        <v>1.0889672335130651</v>
      </c>
      <c r="BS27" s="6" cm="1">
        <f t="array" aca="1" ref="BS27" ca="1">IFERROR( INDIRECT(ADDRESS(ROW()+1, COLUMN(), 4, TRUE, "Import-dataset")) / INDIRECT(ADDRESS(ROW(), COLUMN(), 4, TRUE, "Import-dataset")), "" )</f>
        <v>1.0180115273775217</v>
      </c>
      <c r="BT27" s="6" cm="1">
        <f t="array" aca="1" ref="BT27" ca="1">IFERROR( INDIRECT(ADDRESS(ROW()+1, COLUMN(), 4, TRUE, "Import-dataset")) / INDIRECT(ADDRESS(ROW(), COLUMN(), 4, TRUE, "Import-dataset")), "" )</f>
        <v>0.97526362471666506</v>
      </c>
      <c r="BU27" s="6" cm="1">
        <f t="array" aca="1" ref="BU27" ca="1">IFERROR( INDIRECT(ADDRESS(ROW()+1, COLUMN(), 4, TRUE, "Import-dataset")) / INDIRECT(ADDRESS(ROW(), COLUMN(), 4, TRUE, "Import-dataset")), "" )</f>
        <v>0.8403698931251421</v>
      </c>
      <c r="BV27" s="6" cm="1">
        <f t="array" aca="1" ref="BV27" ca="1">IFERROR( INDIRECT(ADDRESS(ROW()+1, COLUMN(), 4, TRUE, "Import-dataset")) / INDIRECT(ADDRESS(ROW(), COLUMN(), 4, TRUE, "Import-dataset")), "" )</f>
        <v>1</v>
      </c>
      <c r="BW27" s="6" cm="1">
        <f t="array" aca="1" ref="BW27" ca="1">IFERROR( INDIRECT(ADDRESS(ROW()+1, COLUMN(), 4, TRUE, "Import-dataset")) / INDIRECT(ADDRESS(ROW(), COLUMN(), 4, TRUE, "Import-dataset")), "" )</f>
        <v>2.3157894736842106</v>
      </c>
      <c r="BX27" s="6" cm="1">
        <f t="array" aca="1" ref="BX27" ca="1">IFERROR( INDIRECT(ADDRESS(ROW()+1, COLUMN(), 4, TRUE, "Import-dataset")) / INDIRECT(ADDRESS(ROW(), COLUMN(), 4, TRUE, "Import-dataset")), "" )</f>
        <v>1</v>
      </c>
      <c r="BY27" s="6" cm="1">
        <f t="array" aca="1" ref="BY27" ca="1">IFERROR( INDIRECT(ADDRESS(ROW()+1, COLUMN(), 4, TRUE, "Import-dataset")) / INDIRECT(ADDRESS(ROW(), COLUMN(), 4, TRUE, "Import-dataset")), "" )</f>
        <v>0.91294154423257268</v>
      </c>
      <c r="BZ27" s="6" cm="1">
        <f t="array" aca="1" ref="BZ27" ca="1">IFERROR( INDIRECT(ADDRESS(ROW()+1, COLUMN(), 4, TRUE, "Import-dataset")) / INDIRECT(ADDRESS(ROW(), COLUMN(), 4, TRUE, "Import-dataset")), "" )</f>
        <v>0.76605231866825207</v>
      </c>
      <c r="CA27" s="6" cm="1">
        <f t="array" aca="1" ref="CA27" ca="1">IFERROR( INDIRECT(ADDRESS(ROW()+1, COLUMN(), 4, TRUE, "Import-dataset")) / INDIRECT(ADDRESS(ROW(), COLUMN(), 4, TRUE, "Import-dataset")), "" )</f>
        <v>1.0659194880519001</v>
      </c>
    </row>
    <row r="28" spans="1:79">
      <c r="A28" s="6" t="s">
        <v>185</v>
      </c>
      <c r="B28" s="6" cm="1">
        <f t="array" aca="1" ref="B28" ca="1">IFERROR( INDIRECT(ADDRESS(ROW()+1, COLUMN(), 4, TRUE, "Import-dataset")) / INDIRECT(ADDRESS(ROW(), COLUMN(), 4, TRUE, "Import-dataset")), "" )</f>
        <v>1.1082517191081476</v>
      </c>
      <c r="C28" s="6" cm="1">
        <f t="array" aca="1" ref="C28" ca="1">IFERROR( INDIRECT(ADDRESS(ROW()+1, COLUMN(), 4, TRUE, "Import-dataset")) / INDIRECT(ADDRESS(ROW(), COLUMN(), 4, TRUE, "Import-dataset")), "" )</f>
        <v>0.97</v>
      </c>
      <c r="D28" s="6" cm="1">
        <f t="array" aca="1" ref="D28" ca="1">IFERROR( INDIRECT(ADDRESS(ROW()+1, COLUMN(), 4, TRUE, "Import-dataset")) / INDIRECT(ADDRESS(ROW(), COLUMN(), 4, TRUE, "Import-dataset")), "" )</f>
        <v>1.012924071082391</v>
      </c>
      <c r="E28" s="6" cm="1">
        <f t="array" aca="1" ref="E28" ca="1">IFERROR( INDIRECT(ADDRESS(ROW()+1, COLUMN(), 4, TRUE, "Import-dataset")) / INDIRECT(ADDRESS(ROW(), COLUMN(), 4, TRUE, "Import-dataset")), "" )</f>
        <v>1.1735015772870663</v>
      </c>
      <c r="F28" s="6" cm="1">
        <f t="array" aca="1" ref="F28" ca="1">IFERROR( INDIRECT(ADDRESS(ROW()+1, COLUMN(), 4, TRUE, "Import-dataset")) / INDIRECT(ADDRESS(ROW(), COLUMN(), 4, TRUE, "Import-dataset")), "" )</f>
        <v>1.1327683615819208</v>
      </c>
      <c r="G28" s="6" cm="1">
        <f t="array" aca="1" ref="G28" ca="1">IFERROR( INDIRECT(ADDRESS(ROW()+1, COLUMN(), 4, TRUE, "Import-dataset")) / INDIRECT(ADDRESS(ROW(), COLUMN(), 4, TRUE, "Import-dataset")), "" )</f>
        <v>1.2014134275618376</v>
      </c>
      <c r="H28" s="6" cm="1">
        <f t="array" aca="1" ref="H28" ca="1">IFERROR( INDIRECT(ADDRESS(ROW()+1, COLUMN(), 4, TRUE, "Import-dataset")) / INDIRECT(ADDRESS(ROW(), COLUMN(), 4, TRUE, "Import-dataset")), "" )</f>
        <v>1.0753880266075388</v>
      </c>
      <c r="I28" s="6" cm="1">
        <f t="array" aca="1" ref="I28" ca="1">IFERROR( INDIRECT(ADDRESS(ROW()+1, COLUMN(), 4, TRUE, "Import-dataset")) / INDIRECT(ADDRESS(ROW(), COLUMN(), 4, TRUE, "Import-dataset")), "" )</f>
        <v>1.0646067415730338</v>
      </c>
      <c r="J28" s="6" cm="1">
        <f t="array" aca="1" ref="J28" ca="1">IFERROR( INDIRECT(ADDRESS(ROW()+1, COLUMN(), 4, TRUE, "Import-dataset")) / INDIRECT(ADDRESS(ROW(), COLUMN(), 4, TRUE, "Import-dataset")), "" )</f>
        <v>1.0584752035529237</v>
      </c>
      <c r="K28" s="6" cm="1">
        <f t="array" aca="1" ref="K28" ca="1">IFERROR( INDIRECT(ADDRESS(ROW()+1, COLUMN(), 4, TRUE, "Import-dataset")) / INDIRECT(ADDRESS(ROW(), COLUMN(), 4, TRUE, "Import-dataset")), "" )</f>
        <v>1.1606299212598425</v>
      </c>
      <c r="L28" s="6" cm="1">
        <f t="array" aca="1" ref="L28" ca="1">IFERROR( INDIRECT(ADDRESS(ROW()+1, COLUMN(), 4, TRUE, "Import-dataset")) / INDIRECT(ADDRESS(ROW(), COLUMN(), 4, TRUE, "Import-dataset")), "" )</f>
        <v>1.12636761487965</v>
      </c>
      <c r="M28" s="6" cm="1">
        <f t="array" aca="1" ref="M28" ca="1">IFERROR( INDIRECT(ADDRESS(ROW()+1, COLUMN(), 4, TRUE, "Import-dataset")) / INDIRECT(ADDRESS(ROW(), COLUMN(), 4, TRUE, "Import-dataset")), "" )</f>
        <v>1.2150375939849625</v>
      </c>
      <c r="N28" s="6" cm="1">
        <f t="array" aca="1" ref="N28" ca="1">IFERROR( INDIRECT(ADDRESS(ROW()+1, COLUMN(), 4, TRUE, "Import-dataset")) / INDIRECT(ADDRESS(ROW(), COLUMN(), 4, TRUE, "Import-dataset")), "" )</f>
        <v>1.1399762752075919</v>
      </c>
      <c r="O28" s="6" cm="1">
        <f t="array" aca="1" ref="O28" ca="1">IFERROR( INDIRECT(ADDRESS(ROW()+1, COLUMN(), 4, TRUE, "Import-dataset")) / INDIRECT(ADDRESS(ROW(), COLUMN(), 4, TRUE, "Import-dataset")), "" )</f>
        <v>1.6278317152103561</v>
      </c>
      <c r="P28" s="6" cm="1">
        <f t="array" aca="1" ref="P28" ca="1">IFERROR( INDIRECT(ADDRESS(ROW()+1, COLUMN(), 4, TRUE, "Import-dataset")) / INDIRECT(ADDRESS(ROW(), COLUMN(), 4, TRUE, "Import-dataset")), "" )</f>
        <v>0.93288324066719619</v>
      </c>
      <c r="Q28" s="6" cm="1">
        <f t="array" aca="1" ref="Q28" ca="1">IFERROR( INDIRECT(ADDRESS(ROW()+1, COLUMN(), 4, TRUE, "Import-dataset")) / INDIRECT(ADDRESS(ROW(), COLUMN(), 4, TRUE, "Import-dataset")), "" )</f>
        <v>1</v>
      </c>
      <c r="R28" s="6" cm="1">
        <f t="array" aca="1" ref="R28" ca="1">IFERROR( INDIRECT(ADDRESS(ROW()+1, COLUMN(), 4, TRUE, "Import-dataset")) / INDIRECT(ADDRESS(ROW(), COLUMN(), 4, TRUE, "Import-dataset")), "" )</f>
        <v>1.1724137931034482</v>
      </c>
      <c r="S28" s="6" cm="1">
        <f t="array" aca="1" ref="S28" ca="1">IFERROR( INDIRECT(ADDRESS(ROW()+1, COLUMN(), 4, TRUE, "Import-dataset")) / INDIRECT(ADDRESS(ROW(), COLUMN(), 4, TRUE, "Import-dataset")), "" )</f>
        <v>0.78358208955223885</v>
      </c>
      <c r="T28" s="6" cm="1">
        <f t="array" aca="1" ref="T28" ca="1">IFERROR( INDIRECT(ADDRESS(ROW()+1, COLUMN(), 4, TRUE, "Import-dataset")) / INDIRECT(ADDRESS(ROW(), COLUMN(), 4, TRUE, "Import-dataset")), "" )</f>
        <v>1.0220472440944881</v>
      </c>
      <c r="U28" s="6" cm="1">
        <f t="array" aca="1" ref="U28" ca="1">IFERROR( INDIRECT(ADDRESS(ROW()+1, COLUMN(), 4, TRUE, "Import-dataset")) / INDIRECT(ADDRESS(ROW(), COLUMN(), 4, TRUE, "Import-dataset")), "" )</f>
        <v>1.2344827586206897</v>
      </c>
      <c r="V28" s="6" cm="1">
        <f t="array" aca="1" ref="V28" ca="1">IFERROR( INDIRECT(ADDRESS(ROW()+1, COLUMN(), 4, TRUE, "Import-dataset")) / INDIRECT(ADDRESS(ROW(), COLUMN(), 4, TRUE, "Import-dataset")), "" )</f>
        <v>1.0659340659340659</v>
      </c>
      <c r="W28" s="6" cm="1">
        <f t="array" aca="1" ref="W28" ca="1">IFERROR( INDIRECT(ADDRESS(ROW()+1, COLUMN(), 4, TRUE, "Import-dataset")) / INDIRECT(ADDRESS(ROW(), COLUMN(), 4, TRUE, "Import-dataset")), "" )</f>
        <v>0.88817891373801916</v>
      </c>
      <c r="X28" s="6" cm="1">
        <f t="array" aca="1" ref="X28" ca="1">IFERROR( INDIRECT(ADDRESS(ROW()+1, COLUMN(), 4, TRUE, "Import-dataset")) / INDIRECT(ADDRESS(ROW(), COLUMN(), 4, TRUE, "Import-dataset")), "" )</f>
        <v>0.73497267759562845</v>
      </c>
      <c r="Y28" s="6" cm="1">
        <f t="array" aca="1" ref="Y28" ca="1">IFERROR( INDIRECT(ADDRESS(ROW()+1, COLUMN(), 4, TRUE, "Import-dataset")) / INDIRECT(ADDRESS(ROW(), COLUMN(), 4, TRUE, "Import-dataset")), "" )</f>
        <v>1.0514705882352942</v>
      </c>
      <c r="Z28" s="6" cm="1">
        <f t="array" aca="1" ref="Z28" ca="1">IFERROR( INDIRECT(ADDRESS(ROW()+1, COLUMN(), 4, TRUE, "Import-dataset")) / INDIRECT(ADDRESS(ROW(), COLUMN(), 4, TRUE, "Import-dataset")), "" )</f>
        <v>1.0319919714103882</v>
      </c>
      <c r="AA28" s="6" cm="1">
        <f t="array" aca="1" ref="AA28" ca="1">IFERROR( INDIRECT(ADDRESS(ROW()+1, COLUMN(), 4, TRUE, "Import-dataset")) / INDIRECT(ADDRESS(ROW(), COLUMN(), 4, TRUE, "Import-dataset")), "" )</f>
        <v>2.0555555555555554</v>
      </c>
      <c r="AB28" s="6" cm="1">
        <f t="array" aca="1" ref="AB28" ca="1">IFERROR( INDIRECT(ADDRESS(ROW()+1, COLUMN(), 4, TRUE, "Import-dataset")) / INDIRECT(ADDRESS(ROW(), COLUMN(), 4, TRUE, "Import-dataset")), "" )</f>
        <v>1.0287045032315463</v>
      </c>
      <c r="AC28" s="6" cm="1">
        <f t="array" aca="1" ref="AC28" ca="1">IFERROR( INDIRECT(ADDRESS(ROW()+1, COLUMN(), 4, TRUE, "Import-dataset")) / INDIRECT(ADDRESS(ROW(), COLUMN(), 4, TRUE, "Import-dataset")), "" )</f>
        <v>1.0732824427480916</v>
      </c>
      <c r="AD28" s="6" cm="1">
        <f t="array" aca="1" ref="AD28" ca="1">IFERROR( INDIRECT(ADDRESS(ROW()+1, COLUMN(), 4, TRUE, "Import-dataset")) / INDIRECT(ADDRESS(ROW(), COLUMN(), 4, TRUE, "Import-dataset")), "" )</f>
        <v>0.98532110091743119</v>
      </c>
      <c r="AE28" s="6" cm="1">
        <f t="array" aca="1" ref="AE28" ca="1">IFERROR( INDIRECT(ADDRESS(ROW()+1, COLUMN(), 4, TRUE, "Import-dataset")) / INDIRECT(ADDRESS(ROW(), COLUMN(), 4, TRUE, "Import-dataset")), "" )</f>
        <v>0.91803278688524592</v>
      </c>
      <c r="AF28" s="6" cm="1">
        <f t="array" aca="1" ref="AF28" ca="1">IFERROR( INDIRECT(ADDRESS(ROW()+1, COLUMN(), 4, TRUE, "Import-dataset")) / INDIRECT(ADDRESS(ROW(), COLUMN(), 4, TRUE, "Import-dataset")), "" )</f>
        <v>1.0291970802919708</v>
      </c>
      <c r="AG28" s="6" cm="1">
        <f t="array" aca="1" ref="AG28" ca="1">IFERROR( INDIRECT(ADDRESS(ROW()+1, COLUMN(), 4, TRUE, "Import-dataset")) / INDIRECT(ADDRESS(ROW(), COLUMN(), 4, TRUE, "Import-dataset")), "" )</f>
        <v>0.71621621621621623</v>
      </c>
      <c r="AH28" s="6" cm="1">
        <f t="array" aca="1" ref="AH28" ca="1">IFERROR( INDIRECT(ADDRESS(ROW()+1, COLUMN(), 4, TRUE, "Import-dataset")) / INDIRECT(ADDRESS(ROW(), COLUMN(), 4, TRUE, "Import-dataset")), "" )</f>
        <v>0.98019276321163118</v>
      </c>
      <c r="AI28" s="6" cm="1">
        <f t="array" aca="1" ref="AI28" ca="1">IFERROR( INDIRECT(ADDRESS(ROW()+1, COLUMN(), 4, TRUE, "Import-dataset")) / INDIRECT(ADDRESS(ROW(), COLUMN(), 4, TRUE, "Import-dataset")), "" )</f>
        <v>0.7694926796050392</v>
      </c>
      <c r="AJ28" s="6" cm="1">
        <f t="array" aca="1" ref="AJ28" ca="1">IFERROR( INDIRECT(ADDRESS(ROW()+1, COLUMN(), 4, TRUE, "Import-dataset")) / INDIRECT(ADDRESS(ROW(), COLUMN(), 4, TRUE, "Import-dataset")), "" )</f>
        <v>0.80766961651917402</v>
      </c>
      <c r="AK28" s="6" cm="1">
        <f t="array" aca="1" ref="AK28" ca="1">IFERROR( INDIRECT(ADDRESS(ROW()+1, COLUMN(), 4, TRUE, "Import-dataset")) / INDIRECT(ADDRESS(ROW(), COLUMN(), 4, TRUE, "Import-dataset")), "" )</f>
        <v>1.0421393841166937</v>
      </c>
      <c r="AL28" s="6" cm="1">
        <f t="array" aca="1" ref="AL28" ca="1">IFERROR( INDIRECT(ADDRESS(ROW()+1, COLUMN(), 4, TRUE, "Import-dataset")) / INDIRECT(ADDRESS(ROW(), COLUMN(), 4, TRUE, "Import-dataset")), "" )</f>
        <v>0.98175007203918929</v>
      </c>
      <c r="AM28" s="6" cm="1">
        <f t="array" aca="1" ref="AM28" ca="1">IFERROR( INDIRECT(ADDRESS(ROW()+1, COLUMN(), 4, TRUE, "Import-dataset")) / INDIRECT(ADDRESS(ROW(), COLUMN(), 4, TRUE, "Import-dataset")), "" )</f>
        <v>1.1161971830985915</v>
      </c>
      <c r="AN28" s="6" cm="1">
        <f t="array" aca="1" ref="AN28" ca="1">IFERROR( INDIRECT(ADDRESS(ROW()+1, COLUMN(), 4, TRUE, "Import-dataset")) / INDIRECT(ADDRESS(ROW(), COLUMN(), 4, TRUE, "Import-dataset")), "" )</f>
        <v>0.92540933899332933</v>
      </c>
      <c r="AO28" s="6" cm="1">
        <f t="array" aca="1" ref="AO28" ca="1">IFERROR( INDIRECT(ADDRESS(ROW()+1, COLUMN(), 4, TRUE, "Import-dataset")) / INDIRECT(ADDRESS(ROW(), COLUMN(), 4, TRUE, "Import-dataset")), "" )</f>
        <v>1.1324983520105472</v>
      </c>
      <c r="AP28" s="6" cm="1">
        <f t="array" aca="1" ref="AP28" ca="1">IFERROR( INDIRECT(ADDRESS(ROW()+1, COLUMN(), 4, TRUE, "Import-dataset")) / INDIRECT(ADDRESS(ROW(), COLUMN(), 4, TRUE, "Import-dataset")), "" )</f>
        <v>1.0970873786407767</v>
      </c>
      <c r="AQ28" s="6" cm="1">
        <f t="array" aca="1" ref="AQ28" ca="1">IFERROR( INDIRECT(ADDRESS(ROW()+1, COLUMN(), 4, TRUE, "Import-dataset")) / INDIRECT(ADDRESS(ROW(), COLUMN(), 4, TRUE, "Import-dataset")), "" )</f>
        <v>1.1030465949820789</v>
      </c>
      <c r="AR28" s="6" cm="1">
        <f t="array" aca="1" ref="AR28" ca="1">IFERROR( INDIRECT(ADDRESS(ROW()+1, COLUMN(), 4, TRUE, "Import-dataset")) / INDIRECT(ADDRESS(ROW(), COLUMN(), 4, TRUE, "Import-dataset")), "" )</f>
        <v>1.0248287012087152</v>
      </c>
      <c r="AS28" s="6" cm="1">
        <f t="array" aca="1" ref="AS28" ca="1">IFERROR( INDIRECT(ADDRESS(ROW()+1, COLUMN(), 4, TRUE, "Import-dataset")) / INDIRECT(ADDRESS(ROW(), COLUMN(), 4, TRUE, "Import-dataset")), "" )</f>
        <v>1.0211267605633803</v>
      </c>
      <c r="AT28" s="6" cm="1">
        <f t="array" aca="1" ref="AT28" ca="1">IFERROR( INDIRECT(ADDRESS(ROW()+1, COLUMN(), 4, TRUE, "Import-dataset")) / INDIRECT(ADDRESS(ROW(), COLUMN(), 4, TRUE, "Import-dataset")), "" )</f>
        <v>0.90603858682034577</v>
      </c>
      <c r="AU28" s="6" cm="1">
        <f t="array" aca="1" ref="AU28" ca="1">IFERROR( INDIRECT(ADDRESS(ROW()+1, COLUMN(), 4, TRUE, "Import-dataset")) / INDIRECT(ADDRESS(ROW(), COLUMN(), 4, TRUE, "Import-dataset")), "" )</f>
        <v>1.0746268656716418</v>
      </c>
      <c r="AV28" s="6" cm="1">
        <f t="array" aca="1" ref="AV28" ca="1">IFERROR( INDIRECT(ADDRESS(ROW()+1, COLUMN(), 4, TRUE, "Import-dataset")) / INDIRECT(ADDRESS(ROW(), COLUMN(), 4, TRUE, "Import-dataset")), "" )</f>
        <v>1.0116629044394281</v>
      </c>
      <c r="AW28" s="6" cm="1">
        <f t="array" aca="1" ref="AW28" ca="1">IFERROR( INDIRECT(ADDRESS(ROW()+1, COLUMN(), 4, TRUE, "Import-dataset")) / INDIRECT(ADDRESS(ROW(), COLUMN(), 4, TRUE, "Import-dataset")), "" )</f>
        <v>1.0859656137544982</v>
      </c>
      <c r="AX28" s="6" cm="1">
        <f t="array" aca="1" ref="AX28" ca="1">IFERROR( INDIRECT(ADDRESS(ROW()+1, COLUMN(), 4, TRUE, "Import-dataset")) / INDIRECT(ADDRESS(ROW(), COLUMN(), 4, TRUE, "Import-dataset")), "" )</f>
        <v>1.1017717346518336</v>
      </c>
      <c r="AY28" s="6" cm="1">
        <f t="array" aca="1" ref="AY28" ca="1">IFERROR( INDIRECT(ADDRESS(ROW()+1, COLUMN(), 4, TRUE, "Import-dataset")) / INDIRECT(ADDRESS(ROW(), COLUMN(), 4, TRUE, "Import-dataset")), "" )</f>
        <v>0.83182765809589998</v>
      </c>
      <c r="AZ28" s="6" cm="1">
        <f t="array" aca="1" ref="AZ28" ca="1">IFERROR( INDIRECT(ADDRESS(ROW()+1, COLUMN(), 4, TRUE, "Import-dataset")) / INDIRECT(ADDRESS(ROW(), COLUMN(), 4, TRUE, "Import-dataset")), "" )</f>
        <v>1.0354609929078014</v>
      </c>
      <c r="BA28" s="6" cm="1">
        <f t="array" aca="1" ref="BA28" ca="1">IFERROR( INDIRECT(ADDRESS(ROW()+1, COLUMN(), 4, TRUE, "Import-dataset")) / INDIRECT(ADDRESS(ROW(), COLUMN(), 4, TRUE, "Import-dataset")), "" )</f>
        <v>1.1662625037890271</v>
      </c>
      <c r="BB28" s="6" cm="1">
        <f t="array" aca="1" ref="BB28" ca="1">IFERROR( INDIRECT(ADDRESS(ROW()+1, COLUMN(), 4, TRUE, "Import-dataset")) / INDIRECT(ADDRESS(ROW(), COLUMN(), 4, TRUE, "Import-dataset")), "" )</f>
        <v>0.9579880234514615</v>
      </c>
      <c r="BC28" s="6" cm="1">
        <f t="array" aca="1" ref="BC28" ca="1">IFERROR( INDIRECT(ADDRESS(ROW()+1, COLUMN(), 4, TRUE, "Import-dataset")) / INDIRECT(ADDRESS(ROW(), COLUMN(), 4, TRUE, "Import-dataset")), "" )</f>
        <v>0.93119266055045868</v>
      </c>
      <c r="BD28" s="6" cm="1">
        <f t="array" aca="1" ref="BD28" ca="1">IFERROR( INDIRECT(ADDRESS(ROW()+1, COLUMN(), 4, TRUE, "Import-dataset")) / INDIRECT(ADDRESS(ROW(), COLUMN(), 4, TRUE, "Import-dataset")), "" )</f>
        <v>0.65040858018386105</v>
      </c>
      <c r="BE28" s="6" cm="1">
        <f t="array" aca="1" ref="BE28" ca="1">IFERROR( INDIRECT(ADDRESS(ROW()+1, COLUMN(), 4, TRUE, "Import-dataset")) / INDIRECT(ADDRESS(ROW(), COLUMN(), 4, TRUE, "Import-dataset")), "" )</f>
        <v>0.79059829059829057</v>
      </c>
      <c r="BF28" s="6" cm="1">
        <f t="array" aca="1" ref="BF28" ca="1">IFERROR( INDIRECT(ADDRESS(ROW()+1, COLUMN(), 4, TRUE, "Import-dataset")) / INDIRECT(ADDRESS(ROW(), COLUMN(), 4, TRUE, "Import-dataset")), "" )</f>
        <v>1.188078277245558</v>
      </c>
      <c r="BG28" s="6" cm="1">
        <f t="array" aca="1" ref="BG28" ca="1">IFERROR( INDIRECT(ADDRESS(ROW()+1, COLUMN(), 4, TRUE, "Import-dataset")) / INDIRECT(ADDRESS(ROW(), COLUMN(), 4, TRUE, "Import-dataset")), "" )</f>
        <v>1.0156283915780335</v>
      </c>
      <c r="BH28" s="6" cm="1">
        <f t="array" aca="1" ref="BH28" ca="1">IFERROR( INDIRECT(ADDRESS(ROW()+1, COLUMN(), 4, TRUE, "Import-dataset")) / INDIRECT(ADDRESS(ROW(), COLUMN(), 4, TRUE, "Import-dataset")), "" )</f>
        <v>1.0079344319469876</v>
      </c>
      <c r="BI28" s="6" cm="1">
        <f t="array" aca="1" ref="BI28" ca="1">IFERROR( INDIRECT(ADDRESS(ROW()+1, COLUMN(), 4, TRUE, "Import-dataset")) / INDIRECT(ADDRESS(ROW(), COLUMN(), 4, TRUE, "Import-dataset")), "" )</f>
        <v>1.0035388834822614</v>
      </c>
      <c r="BJ28" s="6" cm="1">
        <f t="array" aca="1" ref="BJ28" ca="1">IFERROR( INDIRECT(ADDRESS(ROW()+1, COLUMN(), 4, TRUE, "Import-dataset")) / INDIRECT(ADDRESS(ROW(), COLUMN(), 4, TRUE, "Import-dataset")), "" )</f>
        <v>0.97428740312623141</v>
      </c>
      <c r="BK28" s="6" cm="1">
        <f t="array" aca="1" ref="BK28" ca="1">IFERROR( INDIRECT(ADDRESS(ROW()+1, COLUMN(), 4, TRUE, "Import-dataset")) / INDIRECT(ADDRESS(ROW(), COLUMN(), 4, TRUE, "Import-dataset")), "" )</f>
        <v>0.66097424412094063</v>
      </c>
      <c r="BL28" s="6" cm="1">
        <f t="array" aca="1" ref="BL28" ca="1">IFERROR( INDIRECT(ADDRESS(ROW()+1, COLUMN(), 4, TRUE, "Import-dataset")) / INDIRECT(ADDRESS(ROW(), COLUMN(), 4, TRUE, "Import-dataset")), "" )</f>
        <v>1.0728447239116243</v>
      </c>
      <c r="BM28" s="6" cm="1">
        <f t="array" aca="1" ref="BM28" ca="1">IFERROR( INDIRECT(ADDRESS(ROW()+1, COLUMN(), 4, TRUE, "Import-dataset")) / INDIRECT(ADDRESS(ROW(), COLUMN(), 4, TRUE, "Import-dataset")), "" )</f>
        <v>1.0447427293064877</v>
      </c>
      <c r="BN28" s="6" cm="1">
        <f t="array" aca="1" ref="BN28" ca="1">IFERROR( INDIRECT(ADDRESS(ROW()+1, COLUMN(), 4, TRUE, "Import-dataset")) / INDIRECT(ADDRESS(ROW(), COLUMN(), 4, TRUE, "Import-dataset")), "" )</f>
        <v>1.09400826446281</v>
      </c>
      <c r="BO28" s="6" cm="1">
        <f t="array" aca="1" ref="BO28" ca="1">IFERROR( INDIRECT(ADDRESS(ROW()+1, COLUMN(), 4, TRUE, "Import-dataset")) / INDIRECT(ADDRESS(ROW(), COLUMN(), 4, TRUE, "Import-dataset")), "" )</f>
        <v>1.1468682505399568</v>
      </c>
      <c r="BP28" s="6" cm="1">
        <f t="array" aca="1" ref="BP28" ca="1">IFERROR( INDIRECT(ADDRESS(ROW()+1, COLUMN(), 4, TRUE, "Import-dataset")) / INDIRECT(ADDRESS(ROW(), COLUMN(), 4, TRUE, "Import-dataset")), "" )</f>
        <v>1.1045307992533515</v>
      </c>
      <c r="BQ28" s="6" cm="1">
        <f t="array" aca="1" ref="BQ28" ca="1">IFERROR( INDIRECT(ADDRESS(ROW()+1, COLUMN(), 4, TRUE, "Import-dataset")) / INDIRECT(ADDRESS(ROW(), COLUMN(), 4, TRUE, "Import-dataset")), "" )</f>
        <v>1.0885135135135136</v>
      </c>
      <c r="BR28" s="6" cm="1">
        <f t="array" aca="1" ref="BR28" ca="1">IFERROR( INDIRECT(ADDRESS(ROW()+1, COLUMN(), 4, TRUE, "Import-dataset")) / INDIRECT(ADDRESS(ROW(), COLUMN(), 4, TRUE, "Import-dataset")), "" )</f>
        <v>0.99885736050276142</v>
      </c>
      <c r="BS28" s="6" cm="1">
        <f t="array" aca="1" ref="BS28" ca="1">IFERROR( INDIRECT(ADDRESS(ROW()+1, COLUMN(), 4, TRUE, "Import-dataset")) / INDIRECT(ADDRESS(ROW(), COLUMN(), 4, TRUE, "Import-dataset")), "" )</f>
        <v>1.0771408351026186</v>
      </c>
      <c r="BT28" s="6" cm="1">
        <f t="array" aca="1" ref="BT28" ca="1">IFERROR( INDIRECT(ADDRESS(ROW()+1, COLUMN(), 4, TRUE, "Import-dataset")) / INDIRECT(ADDRESS(ROW(), COLUMN(), 4, TRUE, "Import-dataset")), "" )</f>
        <v>1.0807396928051738</v>
      </c>
      <c r="BU28" s="6" cm="1">
        <f t="array" aca="1" ref="BU28" ca="1">IFERROR( INDIRECT(ADDRESS(ROW()+1, COLUMN(), 4, TRUE, "Import-dataset")) / INDIRECT(ADDRESS(ROW(), COLUMN(), 4, TRUE, "Import-dataset")), "" )</f>
        <v>0.84838098674122842</v>
      </c>
      <c r="BV28" s="6" cm="1">
        <f t="array" aca="1" ref="BV28" ca="1">IFERROR( INDIRECT(ADDRESS(ROW()+1, COLUMN(), 4, TRUE, "Import-dataset")) / INDIRECT(ADDRESS(ROW(), COLUMN(), 4, TRUE, "Import-dataset")), "" )</f>
        <v>0.4</v>
      </c>
      <c r="BW28" s="6" cm="1">
        <f t="array" aca="1" ref="BW28" ca="1">IFERROR( INDIRECT(ADDRESS(ROW()+1, COLUMN(), 4, TRUE, "Import-dataset")) / INDIRECT(ADDRESS(ROW(), COLUMN(), 4, TRUE, "Import-dataset")), "" )</f>
        <v>1.0681818181818181</v>
      </c>
      <c r="BX28" s="6" cm="1">
        <f t="array" aca="1" ref="BX28" ca="1">IFERROR( INDIRECT(ADDRESS(ROW()+1, COLUMN(), 4, TRUE, "Import-dataset")) / INDIRECT(ADDRESS(ROW(), COLUMN(), 4, TRUE, "Import-dataset")), "" )</f>
        <v>2</v>
      </c>
      <c r="BY28" s="6" cm="1">
        <f t="array" aca="1" ref="BY28" ca="1">IFERROR( INDIRECT(ADDRESS(ROW()+1, COLUMN(), 4, TRUE, "Import-dataset")) / INDIRECT(ADDRESS(ROW(), COLUMN(), 4, TRUE, "Import-dataset")), "" )</f>
        <v>0.82109227871939738</v>
      </c>
      <c r="BZ28" s="6" cm="1">
        <f t="array" aca="1" ref="BZ28" ca="1">IFERROR( INDIRECT(ADDRESS(ROW()+1, COLUMN(), 4, TRUE, "Import-dataset")) / INDIRECT(ADDRESS(ROW(), COLUMN(), 4, TRUE, "Import-dataset")), "" )</f>
        <v>0.8814512999611952</v>
      </c>
      <c r="CA28" s="6" cm="1">
        <f t="array" aca="1" ref="CA28" ca="1">IFERROR( INDIRECT(ADDRESS(ROW()+1, COLUMN(), 4, TRUE, "Import-dataset")) / INDIRECT(ADDRESS(ROW(), COLUMN(), 4, TRUE, "Import-dataset")), "" )</f>
        <v>0.99656405697628747</v>
      </c>
    </row>
    <row r="29" spans="1:79">
      <c r="A29" s="6" t="s">
        <v>186</v>
      </c>
      <c r="B29" s="6" cm="1">
        <f t="array" aca="1" ref="B29" ca="1">IFERROR( INDIRECT(ADDRESS(ROW()+1, COLUMN(), 4, TRUE, "Import-dataset")) / INDIRECT(ADDRESS(ROW(), COLUMN(), 4, TRUE, "Import-dataset")), "" )</f>
        <v>1.1413932499764972</v>
      </c>
      <c r="C29" s="6" cm="1">
        <f t="array" aca="1" ref="C29" ca="1">IFERROR( INDIRECT(ADDRESS(ROW()+1, COLUMN(), 4, TRUE, "Import-dataset")) / INDIRECT(ADDRESS(ROW(), COLUMN(), 4, TRUE, "Import-dataset")), "" )</f>
        <v>1.1134020618556701</v>
      </c>
      <c r="D29" s="6" cm="1">
        <f t="array" aca="1" ref="D29" ca="1">IFERROR( INDIRECT(ADDRESS(ROW()+1, COLUMN(), 4, TRUE, "Import-dataset")) / INDIRECT(ADDRESS(ROW(), COLUMN(), 4, TRUE, "Import-dataset")), "" )</f>
        <v>1.1594896331738438</v>
      </c>
      <c r="E29" s="6" cm="1">
        <f t="array" aca="1" ref="E29" ca="1">IFERROR( INDIRECT(ADDRESS(ROW()+1, COLUMN(), 4, TRUE, "Import-dataset")) / INDIRECT(ADDRESS(ROW(), COLUMN(), 4, TRUE, "Import-dataset")), "" )</f>
        <v>1.2043010752688172</v>
      </c>
      <c r="F29" s="6" cm="1">
        <f t="array" aca="1" ref="F29" ca="1">IFERROR( INDIRECT(ADDRESS(ROW()+1, COLUMN(), 4, TRUE, "Import-dataset")) / INDIRECT(ADDRESS(ROW(), COLUMN(), 4, TRUE, "Import-dataset")), "" )</f>
        <v>1.1253117206982544</v>
      </c>
      <c r="G29" s="6" cm="1">
        <f t="array" aca="1" ref="G29" ca="1">IFERROR( INDIRECT(ADDRESS(ROW()+1, COLUMN(), 4, TRUE, "Import-dataset")) / INDIRECT(ADDRESS(ROW(), COLUMN(), 4, TRUE, "Import-dataset")), "" )</f>
        <v>1.1088235294117648</v>
      </c>
      <c r="H29" s="6" cm="1">
        <f t="array" aca="1" ref="H29" ca="1">IFERROR( INDIRECT(ADDRESS(ROW()+1, COLUMN(), 4, TRUE, "Import-dataset")) / INDIRECT(ADDRESS(ROW(), COLUMN(), 4, TRUE, "Import-dataset")), "" )</f>
        <v>1.1649484536082475</v>
      </c>
      <c r="I29" s="6" cm="1">
        <f t="array" aca="1" ref="I29" ca="1">IFERROR( INDIRECT(ADDRESS(ROW()+1, COLUMN(), 4, TRUE, "Import-dataset")) / INDIRECT(ADDRESS(ROW(), COLUMN(), 4, TRUE, "Import-dataset")), "" )</f>
        <v>1.1846965699208443</v>
      </c>
      <c r="J29" s="6" cm="1">
        <f t="array" aca="1" ref="J29" ca="1">IFERROR( INDIRECT(ADDRESS(ROW()+1, COLUMN(), 4, TRUE, "Import-dataset")) / INDIRECT(ADDRESS(ROW(), COLUMN(), 4, TRUE, "Import-dataset")), "" )</f>
        <v>1.1818181818181819</v>
      </c>
      <c r="K29" s="6" cm="1">
        <f t="array" aca="1" ref="K29" ca="1">IFERROR( INDIRECT(ADDRESS(ROW()+1, COLUMN(), 4, TRUE, "Import-dataset")) / INDIRECT(ADDRESS(ROW(), COLUMN(), 4, TRUE, "Import-dataset")), "" )</f>
        <v>1.0922659430122117</v>
      </c>
      <c r="L29" s="6" cm="1">
        <f t="array" aca="1" ref="L29" ca="1">IFERROR( INDIRECT(ADDRESS(ROW()+1, COLUMN(), 4, TRUE, "Import-dataset")) / INDIRECT(ADDRESS(ROW(), COLUMN(), 4, TRUE, "Import-dataset")), "" )</f>
        <v>1.100048567265663</v>
      </c>
      <c r="M29" s="6" cm="1">
        <f t="array" aca="1" ref="M29" ca="1">IFERROR( INDIRECT(ADDRESS(ROW()+1, COLUMN(), 4, TRUE, "Import-dataset")) / INDIRECT(ADDRESS(ROW(), COLUMN(), 4, TRUE, "Import-dataset")), "" )</f>
        <v>1.1270627062706271</v>
      </c>
      <c r="N29" s="6" cm="1">
        <f t="array" aca="1" ref="N29" ca="1">IFERROR( INDIRECT(ADDRESS(ROW()+1, COLUMN(), 4, TRUE, "Import-dataset")) / INDIRECT(ADDRESS(ROW(), COLUMN(), 4, TRUE, "Import-dataset")), "" )</f>
        <v>1.054630593132154</v>
      </c>
      <c r="O29" s="6" cm="1">
        <f t="array" aca="1" ref="O29" ca="1">IFERROR( INDIRECT(ADDRESS(ROW()+1, COLUMN(), 4, TRUE, "Import-dataset")) / INDIRECT(ADDRESS(ROW(), COLUMN(), 4, TRUE, "Import-dataset")), "" )</f>
        <v>1.4075546719681908</v>
      </c>
      <c r="P29" s="6" cm="1">
        <f t="array" aca="1" ref="P29" ca="1">IFERROR( INDIRECT(ADDRESS(ROW()+1, COLUMN(), 4, TRUE, "Import-dataset")) / INDIRECT(ADDRESS(ROW(), COLUMN(), 4, TRUE, "Import-dataset")), "" )</f>
        <v>1.2418050234142188</v>
      </c>
      <c r="Q29" s="6" cm="1">
        <f t="array" aca="1" ref="Q29" ca="1">IFERROR( INDIRECT(ADDRESS(ROW()+1, COLUMN(), 4, TRUE, "Import-dataset")) / INDIRECT(ADDRESS(ROW(), COLUMN(), 4, TRUE, "Import-dataset")), "" )</f>
        <v>2</v>
      </c>
      <c r="R29" s="6" cm="1">
        <f t="array" aca="1" ref="R29" ca="1">IFERROR( INDIRECT(ADDRESS(ROW()+1, COLUMN(), 4, TRUE, "Import-dataset")) / INDIRECT(ADDRESS(ROW(), COLUMN(), 4, TRUE, "Import-dataset")), "" )</f>
        <v>1.3823529411764706</v>
      </c>
      <c r="S29" s="6" cm="1">
        <f t="array" aca="1" ref="S29" ca="1">IFERROR( INDIRECT(ADDRESS(ROW()+1, COLUMN(), 4, TRUE, "Import-dataset")) / INDIRECT(ADDRESS(ROW(), COLUMN(), 4, TRUE, "Import-dataset")), "" )</f>
        <v>1.0666666666666667</v>
      </c>
      <c r="T29" s="6" cm="1">
        <f t="array" aca="1" ref="T29" ca="1">IFERROR( INDIRECT(ADDRESS(ROW()+1, COLUMN(), 4, TRUE, "Import-dataset")) / INDIRECT(ADDRESS(ROW(), COLUMN(), 4, TRUE, "Import-dataset")), "" )</f>
        <v>1.2326656394453004</v>
      </c>
      <c r="U29" s="6" cm="1">
        <f t="array" aca="1" ref="U29" ca="1">IFERROR( INDIRECT(ADDRESS(ROW()+1, COLUMN(), 4, TRUE, "Import-dataset")) / INDIRECT(ADDRESS(ROW(), COLUMN(), 4, TRUE, "Import-dataset")), "" )</f>
        <v>1.2011173184357542</v>
      </c>
      <c r="V29" s="6" cm="1">
        <f t="array" aca="1" ref="V29" ca="1">IFERROR( INDIRECT(ADDRESS(ROW()+1, COLUMN(), 4, TRUE, "Import-dataset")) / INDIRECT(ADDRESS(ROW(), COLUMN(), 4, TRUE, "Import-dataset")), "" )</f>
        <v>1.0515463917525774</v>
      </c>
      <c r="W29" s="6" cm="1">
        <f t="array" aca="1" ref="W29" ca="1">IFERROR( INDIRECT(ADDRESS(ROW()+1, COLUMN(), 4, TRUE, "Import-dataset")) / INDIRECT(ADDRESS(ROW(), COLUMN(), 4, TRUE, "Import-dataset")), "" )</f>
        <v>1.2050359712230216</v>
      </c>
      <c r="X29" s="6" cm="1">
        <f t="array" aca="1" ref="X29" ca="1">IFERROR( INDIRECT(ADDRESS(ROW()+1, COLUMN(), 4, TRUE, "Import-dataset")) / INDIRECT(ADDRESS(ROW(), COLUMN(), 4, TRUE, "Import-dataset")), "" )</f>
        <v>1.4089219330855018</v>
      </c>
      <c r="Y29" s="6" cm="1">
        <f t="array" aca="1" ref="Y29" ca="1">IFERROR( INDIRECT(ADDRESS(ROW()+1, COLUMN(), 4, TRUE, "Import-dataset")) / INDIRECT(ADDRESS(ROW(), COLUMN(), 4, TRUE, "Import-dataset")), "" )</f>
        <v>1.1585081585081585</v>
      </c>
      <c r="Z29" s="6" cm="1">
        <f t="array" aca="1" ref="Z29" ca="1">IFERROR( INDIRECT(ADDRESS(ROW()+1, COLUMN(), 4, TRUE, "Import-dataset")) / INDIRECT(ADDRESS(ROW(), COLUMN(), 4, TRUE, "Import-dataset")), "" )</f>
        <v>0.94416640971513954</v>
      </c>
      <c r="AA29" s="6" cm="1">
        <f t="array" aca="1" ref="AA29" ca="1">IFERROR( INDIRECT(ADDRESS(ROW()+1, COLUMN(), 4, TRUE, "Import-dataset")) / INDIRECT(ADDRESS(ROW(), COLUMN(), 4, TRUE, "Import-dataset")), "" )</f>
        <v>1.5135135135135136</v>
      </c>
      <c r="AB29" s="6" cm="1">
        <f t="array" aca="1" ref="AB29" ca="1">IFERROR( INDIRECT(ADDRESS(ROW()+1, COLUMN(), 4, TRUE, "Import-dataset")) / INDIRECT(ADDRESS(ROW(), COLUMN(), 4, TRUE, "Import-dataset")), "" )</f>
        <v>1.0027725492191077</v>
      </c>
      <c r="AC29" s="6" cm="1">
        <f t="array" aca="1" ref="AC29" ca="1">IFERROR( INDIRECT(ADDRESS(ROW()+1, COLUMN(), 4, TRUE, "Import-dataset")) / INDIRECT(ADDRESS(ROW(), COLUMN(), 4, TRUE, "Import-dataset")), "" )</f>
        <v>0.11593172119487909</v>
      </c>
      <c r="AD29" s="6" cm="1">
        <f t="array" aca="1" ref="AD29" ca="1">IFERROR( INDIRECT(ADDRESS(ROW()+1, COLUMN(), 4, TRUE, "Import-dataset")) / INDIRECT(ADDRESS(ROW(), COLUMN(), 4, TRUE, "Import-dataset")), "" )</f>
        <v>1.1284916201117319</v>
      </c>
      <c r="AE29" s="6" cm="1">
        <f t="array" aca="1" ref="AE29" ca="1">IFERROR( INDIRECT(ADDRESS(ROW()+1, COLUMN(), 4, TRUE, "Import-dataset")) / INDIRECT(ADDRESS(ROW(), COLUMN(), 4, TRUE, "Import-dataset")), "" )</f>
        <v>1.0535714285714286</v>
      </c>
      <c r="AF29" s="6" cm="1">
        <f t="array" aca="1" ref="AF29" ca="1">IFERROR( INDIRECT(ADDRESS(ROW()+1, COLUMN(), 4, TRUE, "Import-dataset")) / INDIRECT(ADDRESS(ROW(), COLUMN(), 4, TRUE, "Import-dataset")), "" )</f>
        <v>1.1891252955082743</v>
      </c>
      <c r="AG29" s="6" cm="1">
        <f t="array" aca="1" ref="AG29" ca="1">IFERROR( INDIRECT(ADDRESS(ROW()+1, COLUMN(), 4, TRUE, "Import-dataset")) / INDIRECT(ADDRESS(ROW(), COLUMN(), 4, TRUE, "Import-dataset")), "" )</f>
        <v>0.8867924528301887</v>
      </c>
      <c r="AH29" s="6" cm="1">
        <f t="array" aca="1" ref="AH29" ca="1">IFERROR( INDIRECT(ADDRESS(ROW()+1, COLUMN(), 4, TRUE, "Import-dataset")) / INDIRECT(ADDRESS(ROW(), COLUMN(), 4, TRUE, "Import-dataset")), "" )</f>
        <v>1.0482479896670973</v>
      </c>
      <c r="AI29" s="6" cm="1">
        <f t="array" aca="1" ref="AI29" ca="1">IFERROR( INDIRECT(ADDRESS(ROW()+1, COLUMN(), 4, TRUE, "Import-dataset")) / INDIRECT(ADDRESS(ROW(), COLUMN(), 4, TRUE, "Import-dataset")), "" )</f>
        <v>1.0495575221238937</v>
      </c>
      <c r="AJ29" s="6" cm="1">
        <f t="array" aca="1" ref="AJ29" ca="1">IFERROR( INDIRECT(ADDRESS(ROW()+1, COLUMN(), 4, TRUE, "Import-dataset")) / INDIRECT(ADDRESS(ROW(), COLUMN(), 4, TRUE, "Import-dataset")), "" )</f>
        <v>1.0774287801314828</v>
      </c>
      <c r="AK29" s="6" cm="1">
        <f t="array" aca="1" ref="AK29" ca="1">IFERROR( INDIRECT(ADDRESS(ROW()+1, COLUMN(), 4, TRUE, "Import-dataset")) / INDIRECT(ADDRESS(ROW(), COLUMN(), 4, TRUE, "Import-dataset")), "" )</f>
        <v>1.0870917573872472</v>
      </c>
      <c r="AL29" s="6" cm="1">
        <f t="array" aca="1" ref="AL29" ca="1">IFERROR( INDIRECT(ADDRESS(ROW()+1, COLUMN(), 4, TRUE, "Import-dataset")) / INDIRECT(ADDRESS(ROW(), COLUMN(), 4, TRUE, "Import-dataset")), "" )</f>
        <v>0.97084434008414044</v>
      </c>
      <c r="AM29" s="6" cm="1">
        <f t="array" aca="1" ref="AM29" ca="1">IFERROR( INDIRECT(ADDRESS(ROW()+1, COLUMN(), 4, TRUE, "Import-dataset")) / INDIRECT(ADDRESS(ROW(), COLUMN(), 4, TRUE, "Import-dataset")), "" )</f>
        <v>1.0968904912122577</v>
      </c>
      <c r="AN29" s="6" cm="1">
        <f t="array" aca="1" ref="AN29" ca="1">IFERROR( INDIRECT(ADDRESS(ROW()+1, COLUMN(), 4, TRUE, "Import-dataset")) / INDIRECT(ADDRESS(ROW(), COLUMN(), 4, TRUE, "Import-dataset")), "" )</f>
        <v>1.155307994757536</v>
      </c>
      <c r="AO29" s="6" cm="1">
        <f t="array" aca="1" ref="AO29" ca="1">IFERROR( INDIRECT(ADDRESS(ROW()+1, COLUMN(), 4, TRUE, "Import-dataset")) / INDIRECT(ADDRESS(ROW(), COLUMN(), 4, TRUE, "Import-dataset")), "" )</f>
        <v>1.1105937136204889</v>
      </c>
      <c r="AP29" s="6" cm="1">
        <f t="array" aca="1" ref="AP29" ca="1">IFERROR( INDIRECT(ADDRESS(ROW()+1, COLUMN(), 4, TRUE, "Import-dataset")) / INDIRECT(ADDRESS(ROW(), COLUMN(), 4, TRUE, "Import-dataset")), "" )</f>
        <v>1.0929203539823009</v>
      </c>
      <c r="AQ29" s="6" cm="1">
        <f t="array" aca="1" ref="AQ29" ca="1">IFERROR( INDIRECT(ADDRESS(ROW()+1, COLUMN(), 4, TRUE, "Import-dataset")) / INDIRECT(ADDRESS(ROW(), COLUMN(), 4, TRUE, "Import-dataset")), "" )</f>
        <v>1.1604386677497969</v>
      </c>
      <c r="AR29" s="6" cm="1">
        <f t="array" aca="1" ref="AR29" ca="1">IFERROR( INDIRECT(ADDRESS(ROW()+1, COLUMN(), 4, TRUE, "Import-dataset")) / INDIRECT(ADDRESS(ROW(), COLUMN(), 4, TRUE, "Import-dataset")), "" )</f>
        <v>1.0820343312173684</v>
      </c>
      <c r="AS29" s="6" cm="1">
        <f t="array" aca="1" ref="AS29" ca="1">IFERROR( INDIRECT(ADDRESS(ROW()+1, COLUMN(), 4, TRUE, "Import-dataset")) / INDIRECT(ADDRESS(ROW(), COLUMN(), 4, TRUE, "Import-dataset")), "" )</f>
        <v>1.2137931034482758</v>
      </c>
      <c r="AT29" s="6" cm="1">
        <f t="array" aca="1" ref="AT29" ca="1">IFERROR( INDIRECT(ADDRESS(ROW()+1, COLUMN(), 4, TRUE, "Import-dataset")) / INDIRECT(ADDRESS(ROW(), COLUMN(), 4, TRUE, "Import-dataset")), "" )</f>
        <v>0.94717920353982299</v>
      </c>
      <c r="AU29" s="6" cm="1">
        <f t="array" aca="1" ref="AU29" ca="1">IFERROR( INDIRECT(ADDRESS(ROW()+1, COLUMN(), 4, TRUE, "Import-dataset")) / INDIRECT(ADDRESS(ROW(), COLUMN(), 4, TRUE, "Import-dataset")), "" )</f>
        <v>1.2152777777777777</v>
      </c>
      <c r="AV29" s="6" cm="1">
        <f t="array" aca="1" ref="AV29" ca="1">IFERROR( INDIRECT(ADDRESS(ROW()+1, COLUMN(), 4, TRUE, "Import-dataset")) / INDIRECT(ADDRESS(ROW(), COLUMN(), 4, TRUE, "Import-dataset")), "" )</f>
        <v>1.0754927482335441</v>
      </c>
      <c r="AW29" s="6" cm="1">
        <f t="array" aca="1" ref="AW29" ca="1">IFERROR( INDIRECT(ADDRESS(ROW()+1, COLUMN(), 4, TRUE, "Import-dataset")) / INDIRECT(ADDRESS(ROW(), COLUMN(), 4, TRUE, "Import-dataset")), "" )</f>
        <v>1.1104565537555229</v>
      </c>
      <c r="AX29" s="6" cm="1">
        <f t="array" aca="1" ref="AX29" ca="1">IFERROR( INDIRECT(ADDRESS(ROW()+1, COLUMN(), 4, TRUE, "Import-dataset")) / INDIRECT(ADDRESS(ROW(), COLUMN(), 4, TRUE, "Import-dataset")), "" )</f>
        <v>1.1967090501121915</v>
      </c>
      <c r="AY29" s="6" cm="1">
        <f t="array" aca="1" ref="AY29" ca="1">IFERROR( INDIRECT(ADDRESS(ROW()+1, COLUMN(), 4, TRUE, "Import-dataset")) / INDIRECT(ADDRESS(ROW(), COLUMN(), 4, TRUE, "Import-dataset")), "" )</f>
        <v>1.2361459203564467</v>
      </c>
      <c r="AZ29" s="6" cm="1">
        <f t="array" aca="1" ref="AZ29" ca="1">IFERROR( INDIRECT(ADDRESS(ROW()+1, COLUMN(), 4, TRUE, "Import-dataset")) / INDIRECT(ADDRESS(ROW(), COLUMN(), 4, TRUE, "Import-dataset")), "" )</f>
        <v>1.1537290715372908</v>
      </c>
      <c r="BA29" s="6" cm="1">
        <f t="array" aca="1" ref="BA29" ca="1">IFERROR( INDIRECT(ADDRESS(ROW()+1, COLUMN(), 4, TRUE, "Import-dataset")) / INDIRECT(ADDRESS(ROW(), COLUMN(), 4, TRUE, "Import-dataset")), "" )</f>
        <v>0.9850552306692657</v>
      </c>
      <c r="BB29" s="6" cm="1">
        <f t="array" aca="1" ref="BB29" ca="1">IFERROR( INDIRECT(ADDRESS(ROW()+1, COLUMN(), 4, TRUE, "Import-dataset")) / INDIRECT(ADDRESS(ROW(), COLUMN(), 4, TRUE, "Import-dataset")), "" )</f>
        <v>1.0359235057327065</v>
      </c>
      <c r="BC29" s="6" cm="1">
        <f t="array" aca="1" ref="BC29" ca="1">IFERROR( INDIRECT(ADDRESS(ROW()+1, COLUMN(), 4, TRUE, "Import-dataset")) / INDIRECT(ADDRESS(ROW(), COLUMN(), 4, TRUE, "Import-dataset")), "" )</f>
        <v>1.0471192974941101</v>
      </c>
      <c r="BD29" s="6" cm="1">
        <f t="array" aca="1" ref="BD29" ca="1">IFERROR( INDIRECT(ADDRESS(ROW()+1, COLUMN(), 4, TRUE, "Import-dataset")) / INDIRECT(ADDRESS(ROW(), COLUMN(), 4, TRUE, "Import-dataset")), "" )</f>
        <v>0.92749640099463426</v>
      </c>
      <c r="BE29" s="6" cm="1">
        <f t="array" aca="1" ref="BE29" ca="1">IFERROR( INDIRECT(ADDRESS(ROW()+1, COLUMN(), 4, TRUE, "Import-dataset")) / INDIRECT(ADDRESS(ROW(), COLUMN(), 4, TRUE, "Import-dataset")), "" )</f>
        <v>0.98378378378378384</v>
      </c>
      <c r="BF29" s="6" cm="1">
        <f t="array" aca="1" ref="BF29" ca="1">IFERROR( INDIRECT(ADDRESS(ROW()+1, COLUMN(), 4, TRUE, "Import-dataset")) / INDIRECT(ADDRESS(ROW(), COLUMN(), 4, TRUE, "Import-dataset")), "" )</f>
        <v>1.1470020675396277</v>
      </c>
      <c r="BG29" s="6" cm="1">
        <f t="array" aca="1" ref="BG29" ca="1">IFERROR( INDIRECT(ADDRESS(ROW()+1, COLUMN(), 4, TRUE, "Import-dataset")) / INDIRECT(ADDRESS(ROW(), COLUMN(), 4, TRUE, "Import-dataset")), "" )</f>
        <v>1.0554605684975422</v>
      </c>
      <c r="BH29" s="6" cm="1">
        <f t="array" aca="1" ref="BH29" ca="1">IFERROR( INDIRECT(ADDRESS(ROW()+1, COLUMN(), 4, TRUE, "Import-dataset")) / INDIRECT(ADDRESS(ROW(), COLUMN(), 4, TRUE, "Import-dataset")), "" )</f>
        <v>1.0697231833910035</v>
      </c>
      <c r="BI29" s="6" cm="1">
        <f t="array" aca="1" ref="BI29" ca="1">IFERROR( INDIRECT(ADDRESS(ROW()+1, COLUMN(), 4, TRUE, "Import-dataset")) / INDIRECT(ADDRESS(ROW(), COLUMN(), 4, TRUE, "Import-dataset")), "" )</f>
        <v>1.0595080666490346</v>
      </c>
      <c r="BJ29" s="6" cm="1">
        <f t="array" aca="1" ref="BJ29" ca="1">IFERROR( INDIRECT(ADDRESS(ROW()+1, COLUMN(), 4, TRUE, "Import-dataset")) / INDIRECT(ADDRESS(ROW(), COLUMN(), 4, TRUE, "Import-dataset")), "" )</f>
        <v>0.96171087667262123</v>
      </c>
      <c r="BK29" s="6" cm="1">
        <f t="array" aca="1" ref="BK29" ca="1">IFERROR( INDIRECT(ADDRESS(ROW()+1, COLUMN(), 4, TRUE, "Import-dataset")) / INDIRECT(ADDRESS(ROW(), COLUMN(), 4, TRUE, "Import-dataset")), "" )</f>
        <v>1.2719186785260483</v>
      </c>
      <c r="BL29" s="6" cm="1">
        <f t="array" aca="1" ref="BL29" ca="1">IFERROR( INDIRECT(ADDRESS(ROW()+1, COLUMN(), 4, TRUE, "Import-dataset")) / INDIRECT(ADDRESS(ROW(), COLUMN(), 4, TRUE, "Import-dataset")), "" )</f>
        <v>1.1145629824168082</v>
      </c>
      <c r="BM29" s="6" cm="1">
        <f t="array" aca="1" ref="BM29" ca="1">IFERROR( INDIRECT(ADDRESS(ROW()+1, COLUMN(), 4, TRUE, "Import-dataset")) / INDIRECT(ADDRESS(ROW(), COLUMN(), 4, TRUE, "Import-dataset")), "" )</f>
        <v>1.0171306209850106</v>
      </c>
      <c r="BN29" s="6" cm="1">
        <f t="array" aca="1" ref="BN29" ca="1">IFERROR( INDIRECT(ADDRESS(ROW()+1, COLUMN(), 4, TRUE, "Import-dataset")) / INDIRECT(ADDRESS(ROW(), COLUMN(), 4, TRUE, "Import-dataset")), "" )</f>
        <v>1.1410135347812402</v>
      </c>
      <c r="BO29" s="6" cm="1">
        <f t="array" aca="1" ref="BO29" ca="1">IFERROR( INDIRECT(ADDRESS(ROW()+1, COLUMN(), 4, TRUE, "Import-dataset")) / INDIRECT(ADDRESS(ROW(), COLUMN(), 4, TRUE, "Import-dataset")), "" )</f>
        <v>1.1082862523540489</v>
      </c>
      <c r="BP29" s="6" cm="1">
        <f t="array" aca="1" ref="BP29" ca="1">IFERROR( INDIRECT(ADDRESS(ROW()+1, COLUMN(), 4, TRUE, "Import-dataset")) / INDIRECT(ADDRESS(ROW(), COLUMN(), 4, TRUE, "Import-dataset")), "" )</f>
        <v>1.1139960055308036</v>
      </c>
      <c r="BQ29" s="6" cm="1">
        <f t="array" aca="1" ref="BQ29" ca="1">IFERROR( INDIRECT(ADDRESS(ROW()+1, COLUMN(), 4, TRUE, "Import-dataset")) / INDIRECT(ADDRESS(ROW(), COLUMN(), 4, TRUE, "Import-dataset")), "" )</f>
        <v>1.1055245189323402</v>
      </c>
      <c r="BR29" s="6" cm="1">
        <f t="array" aca="1" ref="BR29" ca="1">IFERROR( INDIRECT(ADDRESS(ROW()+1, COLUMN(), 4, TRUE, "Import-dataset")) / INDIRECT(ADDRESS(ROW(), COLUMN(), 4, TRUE, "Import-dataset")), "" )</f>
        <v>1.1378455672068637</v>
      </c>
      <c r="BS29" s="6" cm="1">
        <f t="array" aca="1" ref="BS29" ca="1">IFERROR( INDIRECT(ADDRESS(ROW()+1, COLUMN(), 4, TRUE, "Import-dataset")) / INDIRECT(ADDRESS(ROW(), COLUMN(), 4, TRUE, "Import-dataset")), "" )</f>
        <v>1.1274638633377136</v>
      </c>
      <c r="BT29" s="6" cm="1">
        <f t="array" aca="1" ref="BT29" ca="1">IFERROR( INDIRECT(ADDRESS(ROW()+1, COLUMN(), 4, TRUE, "Import-dataset")) / INDIRECT(ADDRESS(ROW(), COLUMN(), 4, TRUE, "Import-dataset")), "" )</f>
        <v>1.1088359046283309</v>
      </c>
      <c r="BU29" s="6" cm="1">
        <f t="array" aca="1" ref="BU29" ca="1">IFERROR( INDIRECT(ADDRESS(ROW()+1, COLUMN(), 4, TRUE, "Import-dataset")) / INDIRECT(ADDRESS(ROW(), COLUMN(), 4, TRUE, "Import-dataset")), "" )</f>
        <v>1.1530937699340846</v>
      </c>
      <c r="BV29" s="6" cm="1">
        <f t="array" aca="1" ref="BV29" ca="1">IFERROR( INDIRECT(ADDRESS(ROW()+1, COLUMN(), 4, TRUE, "Import-dataset")) / INDIRECT(ADDRESS(ROW(), COLUMN(), 4, TRUE, "Import-dataset")), "" )</f>
        <v>0.44444444444444442</v>
      </c>
      <c r="BW29" s="6" cm="1">
        <f t="array" aca="1" ref="BW29" ca="1">IFERROR( INDIRECT(ADDRESS(ROW()+1, COLUMN(), 4, TRUE, "Import-dataset")) / INDIRECT(ADDRESS(ROW(), COLUMN(), 4, TRUE, "Import-dataset")), "" )</f>
        <v>0.93617021276595747</v>
      </c>
      <c r="BX29" s="6" cm="1">
        <f t="array" aca="1" ref="BX29" ca="1">IFERROR( INDIRECT(ADDRESS(ROW()+1, COLUMN(), 4, TRUE, "Import-dataset")) / INDIRECT(ADDRESS(ROW(), COLUMN(), 4, TRUE, "Import-dataset")), "" )</f>
        <v>0.125</v>
      </c>
      <c r="BY29" s="6" cm="1">
        <f t="array" aca="1" ref="BY29" ca="1">IFERROR( INDIRECT(ADDRESS(ROW()+1, COLUMN(), 4, TRUE, "Import-dataset")) / INDIRECT(ADDRESS(ROW(), COLUMN(), 4, TRUE, "Import-dataset")), "" )</f>
        <v>0.83486238532110091</v>
      </c>
      <c r="BZ29" s="6" cm="1">
        <f t="array" aca="1" ref="BZ29" ca="1">IFERROR( INDIRECT(ADDRESS(ROW()+1, COLUMN(), 4, TRUE, "Import-dataset")) / INDIRECT(ADDRESS(ROW(), COLUMN(), 4, TRUE, "Import-dataset")), "" )</f>
        <v>1.4932863746423068</v>
      </c>
      <c r="CA29" s="6" cm="1">
        <f t="array" aca="1" ref="CA29" ca="1">IFERROR( INDIRECT(ADDRESS(ROW()+1, COLUMN(), 4, TRUE, "Import-dataset")) / INDIRECT(ADDRESS(ROW(), COLUMN(), 4, TRUE, "Import-dataset")), "" )</f>
        <v>1.0487669277748275</v>
      </c>
    </row>
    <row r="30" spans="1:79">
      <c r="A30" s="6" t="s">
        <v>187</v>
      </c>
      <c r="B30" s="6" cm="1">
        <f t="array" aca="1" ref="B30" ca="1">IFERROR( INDIRECT(ADDRESS(ROW()+1, COLUMN(), 4, TRUE, "Import-dataset")) / INDIRECT(ADDRESS(ROW(), COLUMN(), 4, TRUE, "Import-dataset")), "" )</f>
        <v>1.1138291738736512</v>
      </c>
      <c r="C30" s="6" cm="1">
        <f t="array" aca="1" ref="C30" ca="1">IFERROR( INDIRECT(ADDRESS(ROW()+1, COLUMN(), 4, TRUE, "Import-dataset")) / INDIRECT(ADDRESS(ROW(), COLUMN(), 4, TRUE, "Import-dataset")), "" )</f>
        <v>0.91666666666666663</v>
      </c>
      <c r="D30" s="6" cm="1">
        <f t="array" aca="1" ref="D30" ca="1">IFERROR( INDIRECT(ADDRESS(ROW()+1, COLUMN(), 4, TRUE, "Import-dataset")) / INDIRECT(ADDRESS(ROW(), COLUMN(), 4, TRUE, "Import-dataset")), "" )</f>
        <v>1.1141678129298487</v>
      </c>
      <c r="E30" s="6" cm="1">
        <f t="array" aca="1" ref="E30" ca="1">IFERROR( INDIRECT(ADDRESS(ROW()+1, COLUMN(), 4, TRUE, "Import-dataset")) / INDIRECT(ADDRESS(ROW(), COLUMN(), 4, TRUE, "Import-dataset")), "" )</f>
        <v>1.0658482142857142</v>
      </c>
      <c r="F30" s="6" cm="1">
        <f t="array" aca="1" ref="F30" ca="1">IFERROR( INDIRECT(ADDRESS(ROW()+1, COLUMN(), 4, TRUE, "Import-dataset")) / INDIRECT(ADDRESS(ROW(), COLUMN(), 4, TRUE, "Import-dataset")), "" )</f>
        <v>0.98171745152354573</v>
      </c>
      <c r="G30" s="6" cm="1">
        <f t="array" aca="1" ref="G30" ca="1">IFERROR( INDIRECT(ADDRESS(ROW()+1, COLUMN(), 4, TRUE, "Import-dataset")) / INDIRECT(ADDRESS(ROW(), COLUMN(), 4, TRUE, "Import-dataset")), "" )</f>
        <v>1.1237842617152962</v>
      </c>
      <c r="H30" s="6" cm="1">
        <f t="array" aca="1" ref="H30" ca="1">IFERROR( INDIRECT(ADDRESS(ROW()+1, COLUMN(), 4, TRUE, "Import-dataset")) / INDIRECT(ADDRESS(ROW(), COLUMN(), 4, TRUE, "Import-dataset")), "" )</f>
        <v>1.1216814159292035</v>
      </c>
      <c r="I30" s="6" cm="1">
        <f t="array" aca="1" ref="I30" ca="1">IFERROR( INDIRECT(ADDRESS(ROW()+1, COLUMN(), 4, TRUE, "Import-dataset")) / INDIRECT(ADDRESS(ROW(), COLUMN(), 4, TRUE, "Import-dataset")), "" )</f>
        <v>1.1425389755011135</v>
      </c>
      <c r="J30" s="6" cm="1">
        <f t="array" aca="1" ref="J30" ca="1">IFERROR( INDIRECT(ADDRESS(ROW()+1, COLUMN(), 4, TRUE, "Import-dataset")) / INDIRECT(ADDRESS(ROW(), COLUMN(), 4, TRUE, "Import-dataset")), "" )</f>
        <v>1.2136094674556213</v>
      </c>
      <c r="K30" s="6" cm="1">
        <f t="array" aca="1" ref="K30" ca="1">IFERROR( INDIRECT(ADDRESS(ROW()+1, COLUMN(), 4, TRUE, "Import-dataset")) / INDIRECT(ADDRESS(ROW(), COLUMN(), 4, TRUE, "Import-dataset")), "" )</f>
        <v>1.0645962732919254</v>
      </c>
      <c r="L30" s="6" cm="1">
        <f t="array" aca="1" ref="L30" ca="1">IFERROR( INDIRECT(ADDRESS(ROW()+1, COLUMN(), 4, TRUE, "Import-dataset")) / INDIRECT(ADDRESS(ROW(), COLUMN(), 4, TRUE, "Import-dataset")), "" )</f>
        <v>1.172626931567329</v>
      </c>
      <c r="M30" s="6" cm="1">
        <f t="array" aca="1" ref="M30" ca="1">IFERROR( INDIRECT(ADDRESS(ROW()+1, COLUMN(), 4, TRUE, "Import-dataset")) / INDIRECT(ADDRESS(ROW(), COLUMN(), 4, TRUE, "Import-dataset")), "" )</f>
        <v>1.1731332357247437</v>
      </c>
      <c r="N30" s="6" cm="1">
        <f t="array" aca="1" ref="N30" ca="1">IFERROR( INDIRECT(ADDRESS(ROW()+1, COLUMN(), 4, TRUE, "Import-dataset")) / INDIRECT(ADDRESS(ROW(), COLUMN(), 4, TRUE, "Import-dataset")), "" )</f>
        <v>1.1070547607301431</v>
      </c>
      <c r="O30" s="6" cm="1">
        <f t="array" aca="1" ref="O30" ca="1">IFERROR( INDIRECT(ADDRESS(ROW()+1, COLUMN(), 4, TRUE, "Import-dataset")) / INDIRECT(ADDRESS(ROW(), COLUMN(), 4, TRUE, "Import-dataset")), "" )</f>
        <v>1.3615819209039548</v>
      </c>
      <c r="P30" s="6" cm="1">
        <f t="array" aca="1" ref="P30" ca="1">IFERROR( INDIRECT(ADDRESS(ROW()+1, COLUMN(), 4, TRUE, "Import-dataset")) / INDIRECT(ADDRESS(ROW(), COLUMN(), 4, TRUE, "Import-dataset")), "" )</f>
        <v>1.1028453890983887</v>
      </c>
      <c r="Q30" s="6" cm="1">
        <f t="array" aca="1" ref="Q30" ca="1">IFERROR( INDIRECT(ADDRESS(ROW()+1, COLUMN(), 4, TRUE, "Import-dataset")) / INDIRECT(ADDRESS(ROW(), COLUMN(), 4, TRUE, "Import-dataset")), "" )</f>
        <v>2.5</v>
      </c>
      <c r="R30" s="6" cm="1">
        <f t="array" aca="1" ref="R30" ca="1">IFERROR( INDIRECT(ADDRESS(ROW()+1, COLUMN(), 4, TRUE, "Import-dataset")) / INDIRECT(ADDRESS(ROW(), COLUMN(), 4, TRUE, "Import-dataset")), "" )</f>
        <v>1.1170212765957446</v>
      </c>
      <c r="S30" s="6" cm="1">
        <f t="array" aca="1" ref="S30" ca="1">IFERROR( INDIRECT(ADDRESS(ROW()+1, COLUMN(), 4, TRUE, "Import-dataset")) / INDIRECT(ADDRESS(ROW(), COLUMN(), 4, TRUE, "Import-dataset")), "" )</f>
        <v>0.9464285714285714</v>
      </c>
      <c r="T30" s="6" cm="1">
        <f t="array" aca="1" ref="T30" ca="1">IFERROR( INDIRECT(ADDRESS(ROW()+1, COLUMN(), 4, TRUE, "Import-dataset")) / INDIRECT(ADDRESS(ROW(), COLUMN(), 4, TRUE, "Import-dataset")), "" )</f>
        <v>1.1012500000000001</v>
      </c>
      <c r="U30" s="6" cm="1">
        <f t="array" aca="1" ref="U30" ca="1">IFERROR( INDIRECT(ADDRESS(ROW()+1, COLUMN(), 4, TRUE, "Import-dataset")) / INDIRECT(ADDRESS(ROW(), COLUMN(), 4, TRUE, "Import-dataset")), "" )</f>
        <v>1.0790697674418606</v>
      </c>
      <c r="V30" s="6" cm="1">
        <f t="array" aca="1" ref="V30" ca="1">IFERROR( INDIRECT(ADDRESS(ROW()+1, COLUMN(), 4, TRUE, "Import-dataset")) / INDIRECT(ADDRESS(ROW(), COLUMN(), 4, TRUE, "Import-dataset")), "" )</f>
        <v>1.0392156862745099</v>
      </c>
      <c r="W30" s="6" cm="1">
        <f t="array" aca="1" ref="W30" ca="1">IFERROR( INDIRECT(ADDRESS(ROW()+1, COLUMN(), 4, TRUE, "Import-dataset")) / INDIRECT(ADDRESS(ROW(), COLUMN(), 4, TRUE, "Import-dataset")), "" )</f>
        <v>1.0776119402985074</v>
      </c>
      <c r="X30" s="6" cm="1">
        <f t="array" aca="1" ref="X30" ca="1">IFERROR( INDIRECT(ADDRESS(ROW()+1, COLUMN(), 4, TRUE, "Import-dataset")) / INDIRECT(ADDRESS(ROW(), COLUMN(), 4, TRUE, "Import-dataset")), "" )</f>
        <v>1.104221635883905</v>
      </c>
      <c r="Y30" s="6" cm="1">
        <f t="array" aca="1" ref="Y30" ca="1">IFERROR( INDIRECT(ADDRESS(ROW()+1, COLUMN(), 4, TRUE, "Import-dataset")) / INDIRECT(ADDRESS(ROW(), COLUMN(), 4, TRUE, "Import-dataset")), "" )</f>
        <v>1.1710261569416498</v>
      </c>
      <c r="Z30" s="6" cm="1">
        <f t="array" aca="1" ref="Z30" ca="1">IFERROR( INDIRECT(ADDRESS(ROW()+1, COLUMN(), 4, TRUE, "Import-dataset")) / INDIRECT(ADDRESS(ROW(), COLUMN(), 4, TRUE, "Import-dataset")), "" )</f>
        <v>0.72477202502072502</v>
      </c>
      <c r="AA30" s="6" cm="1">
        <f t="array" aca="1" ref="AA30" ca="1">IFERROR( INDIRECT(ADDRESS(ROW()+1, COLUMN(), 4, TRUE, "Import-dataset")) / INDIRECT(ADDRESS(ROW(), COLUMN(), 4, TRUE, "Import-dataset")), "" )</f>
        <v>1.2142857142857142</v>
      </c>
      <c r="AB30" s="6" cm="1">
        <f t="array" aca="1" ref="AB30" ca="1">IFERROR( INDIRECT(ADDRESS(ROW()+1, COLUMN(), 4, TRUE, "Import-dataset")) / INDIRECT(ADDRESS(ROW(), COLUMN(), 4, TRUE, "Import-dataset")), "" )</f>
        <v>0.72325799660096901</v>
      </c>
      <c r="AC30" s="6" cm="1">
        <f t="array" aca="1" ref="AC30" ca="1">IFERROR( INDIRECT(ADDRESS(ROW()+1, COLUMN(), 4, TRUE, "Import-dataset")) / INDIRECT(ADDRESS(ROW(), COLUMN(), 4, TRUE, "Import-dataset")), "" )</f>
        <v>0.82515337423312884</v>
      </c>
      <c r="AD30" s="6" cm="1">
        <f t="array" aca="1" ref="AD30" ca="1">IFERROR( INDIRECT(ADDRESS(ROW()+1, COLUMN(), 4, TRUE, "Import-dataset")) / INDIRECT(ADDRESS(ROW(), COLUMN(), 4, TRUE, "Import-dataset")), "" )</f>
        <v>1.0808580858085808</v>
      </c>
      <c r="AE30" s="6" cm="1">
        <f t="array" aca="1" ref="AE30" ca="1">IFERROR( INDIRECT(ADDRESS(ROW()+1, COLUMN(), 4, TRUE, "Import-dataset")) / INDIRECT(ADDRESS(ROW(), COLUMN(), 4, TRUE, "Import-dataset")), "" )</f>
        <v>1.3728813559322033</v>
      </c>
      <c r="AF30" s="6" cm="1">
        <f t="array" aca="1" ref="AF30" ca="1">IFERROR( INDIRECT(ADDRESS(ROW()+1, COLUMN(), 4, TRUE, "Import-dataset")) / INDIRECT(ADDRESS(ROW(), COLUMN(), 4, TRUE, "Import-dataset")), "" )</f>
        <v>1.0497017892644136</v>
      </c>
      <c r="AG30" s="6" cm="1">
        <f t="array" aca="1" ref="AG30" ca="1">IFERROR( INDIRECT(ADDRESS(ROW()+1, COLUMN(), 4, TRUE, "Import-dataset")) / INDIRECT(ADDRESS(ROW(), COLUMN(), 4, TRUE, "Import-dataset")), "" )</f>
        <v>0.97872340425531912</v>
      </c>
      <c r="AH30" s="6" cm="1">
        <f t="array" aca="1" ref="AH30" ca="1">IFERROR( INDIRECT(ADDRESS(ROW()+1, COLUMN(), 4, TRUE, "Import-dataset")) / INDIRECT(ADDRESS(ROW(), COLUMN(), 4, TRUE, "Import-dataset")), "" )</f>
        <v>1.0808060733733456</v>
      </c>
      <c r="AI30" s="6" cm="1">
        <f t="array" aca="1" ref="AI30" ca="1">IFERROR( INDIRECT(ADDRESS(ROW()+1, COLUMN(), 4, TRUE, "Import-dataset")) / INDIRECT(ADDRESS(ROW(), COLUMN(), 4, TRUE, "Import-dataset")), "" )</f>
        <v>1.1264755480607083</v>
      </c>
      <c r="AJ30" s="6" cm="1">
        <f t="array" aca="1" ref="AJ30" ca="1">IFERROR( INDIRECT(ADDRESS(ROW()+1, COLUMN(), 4, TRUE, "Import-dataset")) / INDIRECT(ADDRESS(ROW(), COLUMN(), 4, TRUE, "Import-dataset")), "" )</f>
        <v>1.1267796610169492</v>
      </c>
      <c r="AK30" s="6" cm="1">
        <f t="array" aca="1" ref="AK30" ca="1">IFERROR( INDIRECT(ADDRESS(ROW()+1, COLUMN(), 4, TRUE, "Import-dataset")) / INDIRECT(ADDRESS(ROW(), COLUMN(), 4, TRUE, "Import-dataset")), "" )</f>
        <v>1.2804005722460658</v>
      </c>
      <c r="AL30" s="6" cm="1">
        <f t="array" aca="1" ref="AL30" ca="1">IFERROR( INDIRECT(ADDRESS(ROW()+1, COLUMN(), 4, TRUE, "Import-dataset")) / INDIRECT(ADDRESS(ROW(), COLUMN(), 4, TRUE, "Import-dataset")), "" )</f>
        <v>1.0415197017031139</v>
      </c>
      <c r="AM30" s="6" cm="1">
        <f t="array" aca="1" ref="AM30" ca="1">IFERROR( INDIRECT(ADDRESS(ROW()+1, COLUMN(), 4, TRUE, "Import-dataset")) / INDIRECT(ADDRESS(ROW(), COLUMN(), 4, TRUE, "Import-dataset")), "" )</f>
        <v>1.1980279375513558</v>
      </c>
      <c r="AN30" s="6" cm="1">
        <f t="array" aca="1" ref="AN30" ca="1">IFERROR( INDIRECT(ADDRESS(ROW()+1, COLUMN(), 4, TRUE, "Import-dataset")) / INDIRECT(ADDRESS(ROW(), COLUMN(), 4, TRUE, "Import-dataset")), "" )</f>
        <v>1.0578559273964834</v>
      </c>
      <c r="AO30" s="6" cm="1">
        <f t="array" aca="1" ref="AO30" ca="1">IFERROR( INDIRECT(ADDRESS(ROW()+1, COLUMN(), 4, TRUE, "Import-dataset")) / INDIRECT(ADDRESS(ROW(), COLUMN(), 4, TRUE, "Import-dataset")), "" )</f>
        <v>1.029350104821803</v>
      </c>
      <c r="AP30" s="6" cm="1">
        <f t="array" aca="1" ref="AP30" ca="1">IFERROR( INDIRECT(ADDRESS(ROW()+1, COLUMN(), 4, TRUE, "Import-dataset")) / INDIRECT(ADDRESS(ROW(), COLUMN(), 4, TRUE, "Import-dataset")), "" )</f>
        <v>1.1434355118565644</v>
      </c>
      <c r="AQ30" s="6" cm="1">
        <f t="array" aca="1" ref="AQ30" ca="1">IFERROR( INDIRECT(ADDRESS(ROW()+1, COLUMN(), 4, TRUE, "Import-dataset")) / INDIRECT(ADDRESS(ROW(), COLUMN(), 4, TRUE, "Import-dataset")), "" )</f>
        <v>1.015750787539377</v>
      </c>
      <c r="AR30" s="6" cm="1">
        <f t="array" aca="1" ref="AR30" ca="1">IFERROR( INDIRECT(ADDRESS(ROW()+1, COLUMN(), 4, TRUE, "Import-dataset")) / INDIRECT(ADDRESS(ROW(), COLUMN(), 4, TRUE, "Import-dataset")), "" )</f>
        <v>1.1289269969104732</v>
      </c>
      <c r="AS30" s="6" cm="1">
        <f t="array" aca="1" ref="AS30" ca="1">IFERROR( INDIRECT(ADDRESS(ROW()+1, COLUMN(), 4, TRUE, "Import-dataset")) / INDIRECT(ADDRESS(ROW(), COLUMN(), 4, TRUE, "Import-dataset")), "" )</f>
        <v>1.2159090909090908</v>
      </c>
      <c r="AT30" s="6" cm="1">
        <f t="array" aca="1" ref="AT30" ca="1">IFERROR( INDIRECT(ADDRESS(ROW()+1, COLUMN(), 4, TRUE, "Import-dataset")) / INDIRECT(ADDRESS(ROW(), COLUMN(), 4, TRUE, "Import-dataset")), "" )</f>
        <v>1.016934306569343</v>
      </c>
      <c r="AU30" s="6" cm="1">
        <f t="array" aca="1" ref="AU30" ca="1">IFERROR( INDIRECT(ADDRESS(ROW()+1, COLUMN(), 4, TRUE, "Import-dataset")) / INDIRECT(ADDRESS(ROW(), COLUMN(), 4, TRUE, "Import-dataset")), "" )</f>
        <v>1.1904761904761905</v>
      </c>
      <c r="AV30" s="6" cm="1">
        <f t="array" aca="1" ref="AV30" ca="1">IFERROR( INDIRECT(ADDRESS(ROW()+1, COLUMN(), 4, TRUE, "Import-dataset")) / INDIRECT(ADDRESS(ROW(), COLUMN(), 4, TRUE, "Import-dataset")), "" )</f>
        <v>1.0767634854771784</v>
      </c>
      <c r="AW30" s="6" cm="1">
        <f t="array" aca="1" ref="AW30" ca="1">IFERROR( INDIRECT(ADDRESS(ROW()+1, COLUMN(), 4, TRUE, "Import-dataset")) / INDIRECT(ADDRESS(ROW(), COLUMN(), 4, TRUE, "Import-dataset")), "" )</f>
        <v>1.1942970822281167</v>
      </c>
      <c r="AX30" s="6" cm="1">
        <f t="array" aca="1" ref="AX30" ca="1">IFERROR( INDIRECT(ADDRESS(ROW()+1, COLUMN(), 4, TRUE, "Import-dataset")) / INDIRECT(ADDRESS(ROW(), COLUMN(), 4, TRUE, "Import-dataset")), "" )</f>
        <v>1.1468750000000001</v>
      </c>
      <c r="AY30" s="6" cm="1">
        <f t="array" aca="1" ref="AY30" ca="1">IFERROR( INDIRECT(ADDRESS(ROW()+1, COLUMN(), 4, TRUE, "Import-dataset")) / INDIRECT(ADDRESS(ROW(), COLUMN(), 4, TRUE, "Import-dataset")), "" )</f>
        <v>1.1356161297589547</v>
      </c>
      <c r="AZ30" s="6" cm="1">
        <f t="array" aca="1" ref="AZ30" ca="1">IFERROR( INDIRECT(ADDRESS(ROW()+1, COLUMN(), 4, TRUE, "Import-dataset")) / INDIRECT(ADDRESS(ROW(), COLUMN(), 4, TRUE, "Import-dataset")), "" )</f>
        <v>0.99769129287598945</v>
      </c>
      <c r="BA30" s="6" cm="1">
        <f t="array" aca="1" ref="BA30" ca="1">IFERROR( INDIRECT(ADDRESS(ROW()+1, COLUMN(), 4, TRUE, "Import-dataset")) / INDIRECT(ADDRESS(ROW(), COLUMN(), 4, TRUE, "Import-dataset")), "" )</f>
        <v>1.2040897097625329</v>
      </c>
      <c r="BB30" s="6" cm="1">
        <f t="array" aca="1" ref="BB30" ca="1">IFERROR( INDIRECT(ADDRESS(ROW()+1, COLUMN(), 4, TRUE, "Import-dataset")) / INDIRECT(ADDRESS(ROW(), COLUMN(), 4, TRUE, "Import-dataset")), "" )</f>
        <v>1.117449452401011</v>
      </c>
      <c r="BC30" s="6" cm="1">
        <f t="array" aca="1" ref="BC30" ca="1">IFERROR( INDIRECT(ADDRESS(ROW()+1, COLUMN(), 4, TRUE, "Import-dataset")) / INDIRECT(ADDRESS(ROW(), COLUMN(), 4, TRUE, "Import-dataset")), "" )</f>
        <v>0.92391082020863158</v>
      </c>
      <c r="BD30" s="6" cm="1">
        <f t="array" aca="1" ref="BD30" ca="1">IFERROR( INDIRECT(ADDRESS(ROW()+1, COLUMN(), 4, TRUE, "Import-dataset")) / INDIRECT(ADDRESS(ROW(), COLUMN(), 4, TRUE, "Import-dataset")), "" )</f>
        <v>1.3251022999858897</v>
      </c>
      <c r="BE30" s="6" cm="1">
        <f t="array" aca="1" ref="BE30" ca="1">IFERROR( INDIRECT(ADDRESS(ROW()+1, COLUMN(), 4, TRUE, "Import-dataset")) / INDIRECT(ADDRESS(ROW(), COLUMN(), 4, TRUE, "Import-dataset")), "" )</f>
        <v>1.031135531135531</v>
      </c>
      <c r="BF30" s="6" cm="1">
        <f t="array" aca="1" ref="BF30" ca="1">IFERROR( INDIRECT(ADDRESS(ROW()+1, COLUMN(), 4, TRUE, "Import-dataset")) / INDIRECT(ADDRESS(ROW(), COLUMN(), 4, TRUE, "Import-dataset")), "" )</f>
        <v>1.0229525926816079</v>
      </c>
      <c r="BG30" s="6" cm="1">
        <f t="array" aca="1" ref="BG30" ca="1">IFERROR( INDIRECT(ADDRESS(ROW()+1, COLUMN(), 4, TRUE, "Import-dataset")) / INDIRECT(ADDRESS(ROW(), COLUMN(), 4, TRUE, "Import-dataset")), "" )</f>
        <v>1.1418446896831023</v>
      </c>
      <c r="BH30" s="6" cm="1">
        <f t="array" aca="1" ref="BH30" ca="1">IFERROR( INDIRECT(ADDRESS(ROW()+1, COLUMN(), 4, TRUE, "Import-dataset")) / INDIRECT(ADDRESS(ROW(), COLUMN(), 4, TRUE, "Import-dataset")), "" )</f>
        <v>1.1734594856865599</v>
      </c>
      <c r="BI30" s="6" cm="1">
        <f t="array" aca="1" ref="BI30" ca="1">IFERROR( INDIRECT(ADDRESS(ROW()+1, COLUMN(), 4, TRUE, "Import-dataset")) / INDIRECT(ADDRESS(ROW(), COLUMN(), 4, TRUE, "Import-dataset")), "" )</f>
        <v>1.1214844400066566</v>
      </c>
      <c r="BJ30" s="6" cm="1">
        <f t="array" aca="1" ref="BJ30" ca="1">IFERROR( INDIRECT(ADDRESS(ROW()+1, COLUMN(), 4, TRUE, "Import-dataset")) / INDIRECT(ADDRESS(ROW(), COLUMN(), 4, TRUE, "Import-dataset")), "" )</f>
        <v>1.1446395401815441</v>
      </c>
      <c r="BK30" s="6" cm="1">
        <f t="array" aca="1" ref="BK30" ca="1">IFERROR( INDIRECT(ADDRESS(ROW()+1, COLUMN(), 4, TRUE, "Import-dataset")) / INDIRECT(ADDRESS(ROW(), COLUMN(), 4, TRUE, "Import-dataset")), "" )</f>
        <v>0.8951048951048951</v>
      </c>
      <c r="BL30" s="6" cm="1">
        <f t="array" aca="1" ref="BL30" ca="1">IFERROR( INDIRECT(ADDRESS(ROW()+1, COLUMN(), 4, TRUE, "Import-dataset")) / INDIRECT(ADDRESS(ROW(), COLUMN(), 4, TRUE, "Import-dataset")), "" )</f>
        <v>1.1602011494252873</v>
      </c>
      <c r="BM30" s="6" cm="1">
        <f t="array" aca="1" ref="BM30" ca="1">IFERROR( INDIRECT(ADDRESS(ROW()+1, COLUMN(), 4, TRUE, "Import-dataset")) / INDIRECT(ADDRESS(ROW(), COLUMN(), 4, TRUE, "Import-dataset")), "" )</f>
        <v>1.1824561403508771</v>
      </c>
      <c r="BN30" s="6" cm="1">
        <f t="array" aca="1" ref="BN30" ca="1">IFERROR( INDIRECT(ADDRESS(ROW()+1, COLUMN(), 4, TRUE, "Import-dataset")) / INDIRECT(ADDRESS(ROW(), COLUMN(), 4, TRUE, "Import-dataset")), "" )</f>
        <v>1.1964137931034482</v>
      </c>
      <c r="BO30" s="6" cm="1">
        <f t="array" aca="1" ref="BO30" ca="1">IFERROR( INDIRECT(ADDRESS(ROW()+1, COLUMN(), 4, TRUE, "Import-dataset")) / INDIRECT(ADDRESS(ROW(), COLUMN(), 4, TRUE, "Import-dataset")), "" )</f>
        <v>1.193712829226848</v>
      </c>
      <c r="BP30" s="6" cm="1">
        <f t="array" aca="1" ref="BP30" ca="1">IFERROR( INDIRECT(ADDRESS(ROW()+1, COLUMN(), 4, TRUE, "Import-dataset")) / INDIRECT(ADDRESS(ROW(), COLUMN(), 4, TRUE, "Import-dataset")), "" )</f>
        <v>1.2147290028961522</v>
      </c>
      <c r="BQ30" s="6" cm="1">
        <f t="array" aca="1" ref="BQ30" ca="1">IFERROR( INDIRECT(ADDRESS(ROW()+1, COLUMN(), 4, TRUE, "Import-dataset")) / INDIRECT(ADDRESS(ROW(), COLUMN(), 4, TRUE, "Import-dataset")), "" )</f>
        <v>1.2459292532285233</v>
      </c>
      <c r="BR30" s="6" cm="1">
        <f t="array" aca="1" ref="BR30" ca="1">IFERROR( INDIRECT(ADDRESS(ROW()+1, COLUMN(), 4, TRUE, "Import-dataset")) / INDIRECT(ADDRESS(ROW(), COLUMN(), 4, TRUE, "Import-dataset")), "" )</f>
        <v>1.104892761394102</v>
      </c>
      <c r="BS30" s="6" cm="1">
        <f t="array" aca="1" ref="BS30" ca="1">IFERROR( INDIRECT(ADDRESS(ROW()+1, COLUMN(), 4, TRUE, "Import-dataset")) / INDIRECT(ADDRESS(ROW(), COLUMN(), 4, TRUE, "Import-dataset")), "" )</f>
        <v>1.2127039627039626</v>
      </c>
      <c r="BT30" s="6" cm="1">
        <f t="array" aca="1" ref="BT30" ca="1">IFERROR( INDIRECT(ADDRESS(ROW()+1, COLUMN(), 4, TRUE, "Import-dataset")) / INDIRECT(ADDRESS(ROW(), COLUMN(), 4, TRUE, "Import-dataset")), "" )</f>
        <v>1.1171262332405767</v>
      </c>
      <c r="BU30" s="6" cm="1">
        <f t="array" aca="1" ref="BU30" ca="1">IFERROR( INDIRECT(ADDRESS(ROW()+1, COLUMN(), 4, TRUE, "Import-dataset")) / INDIRECT(ADDRESS(ROW(), COLUMN(), 4, TRUE, "Import-dataset")), "" )</f>
        <v>1.0532915360501567</v>
      </c>
      <c r="BV30" s="6" cm="1">
        <f t="array" aca="1" ref="BV30" ca="1">IFERROR( INDIRECT(ADDRESS(ROW()+1, COLUMN(), 4, TRUE, "Import-dataset")) / INDIRECT(ADDRESS(ROW(), COLUMN(), 4, TRUE, "Import-dataset")), "" )</f>
        <v>0.625</v>
      </c>
      <c r="BW30" s="6" cm="1">
        <f t="array" aca="1" ref="BW30" ca="1">IFERROR( INDIRECT(ADDRESS(ROW()+1, COLUMN(), 4, TRUE, "Import-dataset")) / INDIRECT(ADDRESS(ROW(), COLUMN(), 4, TRUE, "Import-dataset")), "" )</f>
        <v>1.0681818181818181</v>
      </c>
      <c r="BX30" s="6" cm="1">
        <f t="array" aca="1" ref="BX30" ca="1">IFERROR( INDIRECT(ADDRESS(ROW()+1, COLUMN(), 4, TRUE, "Import-dataset")) / INDIRECT(ADDRESS(ROW(), COLUMN(), 4, TRUE, "Import-dataset")), "" )</f>
        <v>5</v>
      </c>
      <c r="BY30" s="6" cm="1">
        <f t="array" aca="1" ref="BY30" ca="1">IFERROR( INDIRECT(ADDRESS(ROW()+1, COLUMN(), 4, TRUE, "Import-dataset")) / INDIRECT(ADDRESS(ROW(), COLUMN(), 4, TRUE, "Import-dataset")), "" )</f>
        <v>1.112887112887113</v>
      </c>
      <c r="BZ30" s="6" cm="1">
        <f t="array" aca="1" ref="BZ30" ca="1">IFERROR( INDIRECT(ADDRESS(ROW()+1, COLUMN(), 4, TRUE, "Import-dataset")) / INDIRECT(ADDRESS(ROW(), COLUMN(), 4, TRUE, "Import-dataset")), "" )</f>
        <v>1.0184257075471699</v>
      </c>
      <c r="CA30" s="6" cm="1">
        <f t="array" aca="1" ref="CA30" ca="1">IFERROR( INDIRECT(ADDRESS(ROW()+1, COLUMN(), 4, TRUE, "Import-dataset")) / INDIRECT(ADDRESS(ROW(), COLUMN(), 4, TRUE, "Import-dataset")), "" )</f>
        <v>1.0565555546764354</v>
      </c>
    </row>
    <row r="31" spans="1:79">
      <c r="A31" s="6" t="s">
        <v>188</v>
      </c>
      <c r="B31" s="6" cm="1">
        <f t="array" aca="1" ref="B31" ca="1">IFERROR( INDIRECT(ADDRESS(ROW()+1, COLUMN(), 4, TRUE, "Import-dataset")) / INDIRECT(ADDRESS(ROW(), COLUMN(), 4, TRUE, "Import-dataset")), "" )</f>
        <v>1.033572432152629</v>
      </c>
      <c r="C31" s="6" cm="1">
        <f t="array" aca="1" ref="C31" ca="1">IFERROR( INDIRECT(ADDRESS(ROW()+1, COLUMN(), 4, TRUE, "Import-dataset")) / INDIRECT(ADDRESS(ROW(), COLUMN(), 4, TRUE, "Import-dataset")), "" )</f>
        <v>1.2222222222222223</v>
      </c>
      <c r="D31" s="6" cm="1">
        <f t="array" aca="1" ref="D31" ca="1">IFERROR( INDIRECT(ADDRESS(ROW()+1, COLUMN(), 4, TRUE, "Import-dataset")) / INDIRECT(ADDRESS(ROW(), COLUMN(), 4, TRUE, "Import-dataset")), "" )</f>
        <v>0.96296296296296291</v>
      </c>
      <c r="E31" s="6" cm="1">
        <f t="array" aca="1" ref="E31" ca="1">IFERROR( INDIRECT(ADDRESS(ROW()+1, COLUMN(), 4, TRUE, "Import-dataset")) / INDIRECT(ADDRESS(ROW(), COLUMN(), 4, TRUE, "Import-dataset")), "" )</f>
        <v>1.12565445026178</v>
      </c>
      <c r="F31" s="6" cm="1">
        <f t="array" aca="1" ref="F31" ca="1">IFERROR( INDIRECT(ADDRESS(ROW()+1, COLUMN(), 4, TRUE, "Import-dataset")) / INDIRECT(ADDRESS(ROW(), COLUMN(), 4, TRUE, "Import-dataset")), "" )</f>
        <v>1.0451467268623025</v>
      </c>
      <c r="G31" s="6" cm="1">
        <f t="array" aca="1" ref="G31" ca="1">IFERROR( INDIRECT(ADDRESS(ROW()+1, COLUMN(), 4, TRUE, "Import-dataset")) / INDIRECT(ADDRESS(ROW(), COLUMN(), 4, TRUE, "Import-dataset")), "" )</f>
        <v>0.99527930763178596</v>
      </c>
      <c r="H31" s="6" cm="1">
        <f t="array" aca="1" ref="H31" ca="1">IFERROR( INDIRECT(ADDRESS(ROW()+1, COLUMN(), 4, TRUE, "Import-dataset")) / INDIRECT(ADDRESS(ROW(), COLUMN(), 4, TRUE, "Import-dataset")), "" )</f>
        <v>1.0260355029585799</v>
      </c>
      <c r="I31" s="6" cm="1">
        <f t="array" aca="1" ref="I31" ca="1">IFERROR( INDIRECT(ADDRESS(ROW()+1, COLUMN(), 4, TRUE, "Import-dataset")) / INDIRECT(ADDRESS(ROW(), COLUMN(), 4, TRUE, "Import-dataset")), "" )</f>
        <v>0.94152046783625731</v>
      </c>
      <c r="J31" s="6" cm="1">
        <f t="array" aca="1" ref="J31" ca="1">IFERROR( INDIRECT(ADDRESS(ROW()+1, COLUMN(), 4, TRUE, "Import-dataset")) / INDIRECT(ADDRESS(ROW(), COLUMN(), 4, TRUE, "Import-dataset")), "" )</f>
        <v>0.96294490492442708</v>
      </c>
      <c r="K31" s="6" cm="1">
        <f t="array" aca="1" ref="K31" ca="1">IFERROR( INDIRECT(ADDRESS(ROW()+1, COLUMN(), 4, TRUE, "Import-dataset")) / INDIRECT(ADDRESS(ROW(), COLUMN(), 4, TRUE, "Import-dataset")), "" )</f>
        <v>1.072345390898483</v>
      </c>
      <c r="L31" s="6" cm="1">
        <f t="array" aca="1" ref="L31" ca="1">IFERROR( INDIRECT(ADDRESS(ROW()+1, COLUMN(), 4, TRUE, "Import-dataset")) / INDIRECT(ADDRESS(ROW(), COLUMN(), 4, TRUE, "Import-dataset")), "" )</f>
        <v>1.0948795180722892</v>
      </c>
      <c r="M31" s="6" cm="1">
        <f t="array" aca="1" ref="M31" ca="1">IFERROR( INDIRECT(ADDRESS(ROW()+1, COLUMN(), 4, TRUE, "Import-dataset")) / INDIRECT(ADDRESS(ROW(), COLUMN(), 4, TRUE, "Import-dataset")), "" )</f>
        <v>1.0205928237129485</v>
      </c>
      <c r="N31" s="6" cm="1">
        <f t="array" aca="1" ref="N31" ca="1">IFERROR( INDIRECT(ADDRESS(ROW()+1, COLUMN(), 4, TRUE, "Import-dataset")) / INDIRECT(ADDRESS(ROW(), COLUMN(), 4, TRUE, "Import-dataset")), "" )</f>
        <v>0.99866310160427807</v>
      </c>
      <c r="O31" s="6" cm="1">
        <f t="array" aca="1" ref="O31" ca="1">IFERROR( INDIRECT(ADDRESS(ROW()+1, COLUMN(), 4, TRUE, "Import-dataset")) / INDIRECT(ADDRESS(ROW(), COLUMN(), 4, TRUE, "Import-dataset")), "" )</f>
        <v>1.0653526970954357</v>
      </c>
      <c r="P31" s="6" cm="1">
        <f t="array" aca="1" ref="P31" ca="1">IFERROR( INDIRECT(ADDRESS(ROW()+1, COLUMN(), 4, TRUE, "Import-dataset")) / INDIRECT(ADDRESS(ROW(), COLUMN(), 4, TRUE, "Import-dataset")), "" )</f>
        <v>0.99658066521603983</v>
      </c>
      <c r="Q31" s="6" cm="1">
        <f t="array" aca="1" ref="Q31" ca="1">IFERROR( INDIRECT(ADDRESS(ROW()+1, COLUMN(), 4, TRUE, "Import-dataset")) / INDIRECT(ADDRESS(ROW(), COLUMN(), 4, TRUE, "Import-dataset")), "" )</f>
        <v>1</v>
      </c>
      <c r="R31" s="6" cm="1">
        <f t="array" aca="1" ref="R31" ca="1">IFERROR( INDIRECT(ADDRESS(ROW()+1, COLUMN(), 4, TRUE, "Import-dataset")) / INDIRECT(ADDRESS(ROW(), COLUMN(), 4, TRUE, "Import-dataset")), "" )</f>
        <v>0.83809523809523812</v>
      </c>
      <c r="S31" s="6" cm="1">
        <f t="array" aca="1" ref="S31" ca="1">IFERROR( INDIRECT(ADDRESS(ROW()+1, COLUMN(), 4, TRUE, "Import-dataset")) / INDIRECT(ADDRESS(ROW(), COLUMN(), 4, TRUE, "Import-dataset")), "" )</f>
        <v>0.96226415094339623</v>
      </c>
      <c r="T31" s="6" cm="1">
        <f t="array" aca="1" ref="T31" ca="1">IFERROR( INDIRECT(ADDRESS(ROW()+1, COLUMN(), 4, TRUE, "Import-dataset")) / INDIRECT(ADDRESS(ROW(), COLUMN(), 4, TRUE, "Import-dataset")), "" )</f>
        <v>0.92622020431328034</v>
      </c>
      <c r="U31" s="6" cm="1">
        <f t="array" aca="1" ref="U31" ca="1">IFERROR( INDIRECT(ADDRESS(ROW()+1, COLUMN(), 4, TRUE, "Import-dataset")) / INDIRECT(ADDRESS(ROW(), COLUMN(), 4, TRUE, "Import-dataset")), "" )</f>
        <v>0.91379310344827591</v>
      </c>
      <c r="V31" s="6" cm="1">
        <f t="array" aca="1" ref="V31" ca="1">IFERROR( INDIRECT(ADDRESS(ROW()+1, COLUMN(), 4, TRUE, "Import-dataset")) / INDIRECT(ADDRESS(ROW(), COLUMN(), 4, TRUE, "Import-dataset")), "" )</f>
        <v>0.93396226415094341</v>
      </c>
      <c r="W31" s="6" cm="1">
        <f t="array" aca="1" ref="W31" ca="1">IFERROR( INDIRECT(ADDRESS(ROW()+1, COLUMN(), 4, TRUE, "Import-dataset")) / INDIRECT(ADDRESS(ROW(), COLUMN(), 4, TRUE, "Import-dataset")), "" )</f>
        <v>0.86149584487534625</v>
      </c>
      <c r="X31" s="6" cm="1">
        <f t="array" aca="1" ref="X31" ca="1">IFERROR( INDIRECT(ADDRESS(ROW()+1, COLUMN(), 4, TRUE, "Import-dataset")) / INDIRECT(ADDRESS(ROW(), COLUMN(), 4, TRUE, "Import-dataset")), "" )</f>
        <v>1.2150537634408602</v>
      </c>
      <c r="Y31" s="6" cm="1">
        <f t="array" aca="1" ref="Y31" ca="1">IFERROR( INDIRECT(ADDRESS(ROW()+1, COLUMN(), 4, TRUE, "Import-dataset")) / INDIRECT(ADDRESS(ROW(), COLUMN(), 4, TRUE, "Import-dataset")), "" )</f>
        <v>0.9467353951890034</v>
      </c>
      <c r="Z31" s="6" cm="1">
        <f t="array" aca="1" ref="Z31" ca="1">IFERROR( INDIRECT(ADDRESS(ROW()+1, COLUMN(), 4, TRUE, "Import-dataset")) / INDIRECT(ADDRESS(ROW(), COLUMN(), 4, TRUE, "Import-dataset")), "" )</f>
        <v>0.81813455339502961</v>
      </c>
      <c r="AA31" s="6" cm="1">
        <f t="array" aca="1" ref="AA31" ca="1">IFERROR( INDIRECT(ADDRESS(ROW()+1, COLUMN(), 4, TRUE, "Import-dataset")) / INDIRECT(ADDRESS(ROW(), COLUMN(), 4, TRUE, "Import-dataset")), "" )</f>
        <v>0.75</v>
      </c>
      <c r="AB31" s="6" cm="1">
        <f t="array" aca="1" ref="AB31" ca="1">IFERROR( INDIRECT(ADDRESS(ROW()+1, COLUMN(), 4, TRUE, "Import-dataset")) / INDIRECT(ADDRESS(ROW(), COLUMN(), 4, TRUE, "Import-dataset")), "" )</f>
        <v>0.81769719075509417</v>
      </c>
      <c r="AC31" s="6" cm="1">
        <f t="array" aca="1" ref="AC31" ca="1">IFERROR( INDIRECT(ADDRESS(ROW()+1, COLUMN(), 4, TRUE, "Import-dataset")) / INDIRECT(ADDRESS(ROW(), COLUMN(), 4, TRUE, "Import-dataset")), "" )</f>
        <v>0.88475836431226762</v>
      </c>
      <c r="AD31" s="6" cm="1">
        <f t="array" aca="1" ref="AD31" ca="1">IFERROR( INDIRECT(ADDRESS(ROW()+1, COLUMN(), 4, TRUE, "Import-dataset")) / INDIRECT(ADDRESS(ROW(), COLUMN(), 4, TRUE, "Import-dataset")), "" )</f>
        <v>1.0687022900763359</v>
      </c>
      <c r="AE31" s="6" cm="1">
        <f t="array" aca="1" ref="AE31" ca="1">IFERROR( INDIRECT(ADDRESS(ROW()+1, COLUMN(), 4, TRUE, "Import-dataset")) / INDIRECT(ADDRESS(ROW(), COLUMN(), 4, TRUE, "Import-dataset")), "" )</f>
        <v>0.75308641975308643</v>
      </c>
      <c r="AF31" s="6" cm="1">
        <f t="array" aca="1" ref="AF31" ca="1">IFERROR( INDIRECT(ADDRESS(ROW()+1, COLUMN(), 4, TRUE, "Import-dataset")) / INDIRECT(ADDRESS(ROW(), COLUMN(), 4, TRUE, "Import-dataset")), "" )</f>
        <v>1.1287878787878789</v>
      </c>
      <c r="AG31" s="6" cm="1">
        <f t="array" aca="1" ref="AG31" ca="1">IFERROR( INDIRECT(ADDRESS(ROW()+1, COLUMN(), 4, TRUE, "Import-dataset")) / INDIRECT(ADDRESS(ROW(), COLUMN(), 4, TRUE, "Import-dataset")), "" )</f>
        <v>0.95652173913043481</v>
      </c>
      <c r="AH31" s="6" cm="1">
        <f t="array" aca="1" ref="AH31" ca="1">IFERROR( INDIRECT(ADDRESS(ROW()+1, COLUMN(), 4, TRUE, "Import-dataset")) / INDIRECT(ADDRESS(ROW(), COLUMN(), 4, TRUE, "Import-dataset")), "" )</f>
        <v>1.0188658428949691</v>
      </c>
      <c r="AI31" s="6" cm="1">
        <f t="array" aca="1" ref="AI31" ca="1">IFERROR( INDIRECT(ADDRESS(ROW()+1, COLUMN(), 4, TRUE, "Import-dataset")) / INDIRECT(ADDRESS(ROW(), COLUMN(), 4, TRUE, "Import-dataset")), "" )</f>
        <v>0.90194610778443118</v>
      </c>
      <c r="AJ31" s="6" cm="1">
        <f t="array" aca="1" ref="AJ31" ca="1">IFERROR( INDIRECT(ADDRESS(ROW()+1, COLUMN(), 4, TRUE, "Import-dataset")) / INDIRECT(ADDRESS(ROW(), COLUMN(), 4, TRUE, "Import-dataset")), "" )</f>
        <v>0.94283995186522263</v>
      </c>
      <c r="AK31" s="6" cm="1">
        <f t="array" aca="1" ref="AK31" ca="1">IFERROR( INDIRECT(ADDRESS(ROW()+1, COLUMN(), 4, TRUE, "Import-dataset")) / INDIRECT(ADDRESS(ROW(), COLUMN(), 4, TRUE, "Import-dataset")), "" )</f>
        <v>1.1139664804469274</v>
      </c>
      <c r="AL31" s="6" cm="1">
        <f t="array" aca="1" ref="AL31" ca="1">IFERROR( INDIRECT(ADDRESS(ROW()+1, COLUMN(), 4, TRUE, "Import-dataset")) / INDIRECT(ADDRESS(ROW(), COLUMN(), 4, TRUE, "Import-dataset")), "" )</f>
        <v>1.086211901306241</v>
      </c>
      <c r="AM31" s="6" cm="1">
        <f t="array" aca="1" ref="AM31" ca="1">IFERROR( INDIRECT(ADDRESS(ROW()+1, COLUMN(), 4, TRUE, "Import-dataset")) / INDIRECT(ADDRESS(ROW(), COLUMN(), 4, TRUE, "Import-dataset")), "" )</f>
        <v>1.0075445816186557</v>
      </c>
      <c r="AN31" s="6" cm="1">
        <f t="array" aca="1" ref="AN31" ca="1">IFERROR( INDIRECT(ADDRESS(ROW()+1, COLUMN(), 4, TRUE, "Import-dataset")) / INDIRECT(ADDRESS(ROW(), COLUMN(), 4, TRUE, "Import-dataset")), "" )</f>
        <v>0.90187667560321716</v>
      </c>
      <c r="AO31" s="6" cm="1">
        <f t="array" aca="1" ref="AO31" ca="1">IFERROR( INDIRECT(ADDRESS(ROW()+1, COLUMN(), 4, TRUE, "Import-dataset")) / INDIRECT(ADDRESS(ROW(), COLUMN(), 4, TRUE, "Import-dataset")), "" )</f>
        <v>0.9969450101832994</v>
      </c>
      <c r="AP31" s="6" cm="1">
        <f t="array" aca="1" ref="AP31" ca="1">IFERROR( INDIRECT(ADDRESS(ROW()+1, COLUMN(), 4, TRUE, "Import-dataset")) / INDIRECT(ADDRESS(ROW(), COLUMN(), 4, TRUE, "Import-dataset")), "" )</f>
        <v>0.98482549317147194</v>
      </c>
      <c r="AQ31" s="6" cm="1">
        <f t="array" aca="1" ref="AQ31" ca="1">IFERROR( INDIRECT(ADDRESS(ROW()+1, COLUMN(), 4, TRUE, "Import-dataset")) / INDIRECT(ADDRESS(ROW(), COLUMN(), 4, TRUE, "Import-dataset")), "" )</f>
        <v>1.0261888352860096</v>
      </c>
      <c r="AR31" s="6" cm="1">
        <f t="array" aca="1" ref="AR31" ca="1">IFERROR( INDIRECT(ADDRESS(ROW()+1, COLUMN(), 4, TRUE, "Import-dataset")) / INDIRECT(ADDRESS(ROW(), COLUMN(), 4, TRUE, "Import-dataset")), "" )</f>
        <v>0.86783924233572152</v>
      </c>
      <c r="AS31" s="6" cm="1">
        <f t="array" aca="1" ref="AS31" ca="1">IFERROR( INDIRECT(ADDRESS(ROW()+1, COLUMN(), 4, TRUE, "Import-dataset")) / INDIRECT(ADDRESS(ROW(), COLUMN(), 4, TRUE, "Import-dataset")), "" )</f>
        <v>0.76635514018691586</v>
      </c>
      <c r="AT31" s="6" cm="1">
        <f t="array" aca="1" ref="AT31" ca="1">IFERROR( INDIRECT(ADDRESS(ROW()+1, COLUMN(), 4, TRUE, "Import-dataset")) / INDIRECT(ADDRESS(ROW(), COLUMN(), 4, TRUE, "Import-dataset")), "" )</f>
        <v>0.97588285960378984</v>
      </c>
      <c r="AU31" s="6" cm="1">
        <f t="array" aca="1" ref="AU31" ca="1">IFERROR( INDIRECT(ADDRESS(ROW()+1, COLUMN(), 4, TRUE, "Import-dataset")) / INDIRECT(ADDRESS(ROW(), COLUMN(), 4, TRUE, "Import-dataset")), "" )</f>
        <v>1.044</v>
      </c>
      <c r="AV31" s="6" cm="1">
        <f t="array" aca="1" ref="AV31" ca="1">IFERROR( INDIRECT(ADDRESS(ROW()+1, COLUMN(), 4, TRUE, "Import-dataset")) / INDIRECT(ADDRESS(ROW(), COLUMN(), 4, TRUE, "Import-dataset")), "" )</f>
        <v>0.96307000642260754</v>
      </c>
      <c r="AW31" s="6" cm="1">
        <f t="array" aca="1" ref="AW31" ca="1">IFERROR( INDIRECT(ADDRESS(ROW()+1, COLUMN(), 4, TRUE, "Import-dataset")) / INDIRECT(ADDRESS(ROW(), COLUMN(), 4, TRUE, "Import-dataset")), "" )</f>
        <v>0.99305941143808996</v>
      </c>
      <c r="AX31" s="6" cm="1">
        <f t="array" aca="1" ref="AX31" ca="1">IFERROR( INDIRECT(ADDRESS(ROW()+1, COLUMN(), 4, TRUE, "Import-dataset")) / INDIRECT(ADDRESS(ROW(), COLUMN(), 4, TRUE, "Import-dataset")), "" )</f>
        <v>1.0482288828337876</v>
      </c>
      <c r="AY31" s="6" cm="1">
        <f t="array" aca="1" ref="AY31" ca="1">IFERROR( INDIRECT(ADDRESS(ROW()+1, COLUMN(), 4, TRUE, "Import-dataset")) / INDIRECT(ADDRESS(ROW(), COLUMN(), 4, TRUE, "Import-dataset")), "" )</f>
        <v>0.50228129339416783</v>
      </c>
      <c r="AZ31" s="6" cm="1">
        <f t="array" aca="1" ref="AZ31" ca="1">IFERROR( INDIRECT(ADDRESS(ROW()+1, COLUMN(), 4, TRUE, "Import-dataset")) / INDIRECT(ADDRESS(ROW(), COLUMN(), 4, TRUE, "Import-dataset")), "" )</f>
        <v>0.88958677685950416</v>
      </c>
      <c r="BA31" s="6" cm="1">
        <f t="array" aca="1" ref="BA31" ca="1">IFERROR( INDIRECT(ADDRESS(ROW()+1, COLUMN(), 4, TRUE, "Import-dataset")) / INDIRECT(ADDRESS(ROW(), COLUMN(), 4, TRUE, "Import-dataset")), "" )</f>
        <v>0.84474635696285749</v>
      </c>
      <c r="BB31" s="6" cm="1">
        <f t="array" aca="1" ref="BB31" ca="1">IFERROR( INDIRECT(ADDRESS(ROW()+1, COLUMN(), 4, TRUE, "Import-dataset")) / INDIRECT(ADDRESS(ROW(), COLUMN(), 4, TRUE, "Import-dataset")), "" )</f>
        <v>0.97379208956489782</v>
      </c>
      <c r="BC31" s="6" cm="1">
        <f t="array" aca="1" ref="BC31" ca="1">IFERROR( INDIRECT(ADDRESS(ROW()+1, COLUMN(), 4, TRUE, "Import-dataset")) / INDIRECT(ADDRESS(ROW(), COLUMN(), 4, TRUE, "Import-dataset")), "" )</f>
        <v>0.98051804294885991</v>
      </c>
      <c r="BD31" s="6" cm="1">
        <f t="array" aca="1" ref="BD31" ca="1">IFERROR( INDIRECT(ADDRESS(ROW()+1, COLUMN(), 4, TRUE, "Import-dataset")) / INDIRECT(ADDRESS(ROW(), COLUMN(), 4, TRUE, "Import-dataset")), "" )</f>
        <v>0.81620700670855073</v>
      </c>
      <c r="BE31" s="6" cm="1">
        <f t="array" aca="1" ref="BE31" ca="1">IFERROR( INDIRECT(ADDRESS(ROW()+1, COLUMN(), 4, TRUE, "Import-dataset")) / INDIRECT(ADDRESS(ROW(), COLUMN(), 4, TRUE, "Import-dataset")), "" )</f>
        <v>1.0568383658969804</v>
      </c>
      <c r="BF31" s="6" cm="1">
        <f t="array" aca="1" ref="BF31" ca="1">IFERROR( INDIRECT(ADDRESS(ROW()+1, COLUMN(), 4, TRUE, "Import-dataset")) / INDIRECT(ADDRESS(ROW(), COLUMN(), 4, TRUE, "Import-dataset")), "" )</f>
        <v>0.85039647577092514</v>
      </c>
      <c r="BG31" s="6" cm="1">
        <f t="array" aca="1" ref="BG31" ca="1">IFERROR( INDIRECT(ADDRESS(ROW()+1, COLUMN(), 4, TRUE, "Import-dataset")) / INDIRECT(ADDRESS(ROW(), COLUMN(), 4, TRUE, "Import-dataset")), "" )</f>
        <v>0.86655435360879585</v>
      </c>
      <c r="BH31" s="6" cm="1">
        <f t="array" aca="1" ref="BH31" ca="1">IFERROR( INDIRECT(ADDRESS(ROW()+1, COLUMN(), 4, TRUE, "Import-dataset")) / INDIRECT(ADDRESS(ROW(), COLUMN(), 4, TRUE, "Import-dataset")), "" )</f>
        <v>1.0059954517262766</v>
      </c>
      <c r="BI31" s="6" cm="1">
        <f t="array" aca="1" ref="BI31" ca="1">IFERROR( INDIRECT(ADDRESS(ROW()+1, COLUMN(), 4, TRUE, "Import-dataset")) / INDIRECT(ADDRESS(ROW(), COLUMN(), 4, TRUE, "Import-dataset")), "" )</f>
        <v>0.97113815106098833</v>
      </c>
      <c r="BJ31" s="6" cm="1">
        <f t="array" aca="1" ref="BJ31" ca="1">IFERROR( INDIRECT(ADDRESS(ROW()+1, COLUMN(), 4, TRUE, "Import-dataset")) / INDIRECT(ADDRESS(ROW(), COLUMN(), 4, TRUE, "Import-dataset")), "" )</f>
        <v>1.0536436007348438</v>
      </c>
      <c r="BK31" s="6" cm="1">
        <f t="array" aca="1" ref="BK31" ca="1">IFERROR( INDIRECT(ADDRESS(ROW()+1, COLUMN(), 4, TRUE, "Import-dataset")) / INDIRECT(ADDRESS(ROW(), COLUMN(), 4, TRUE, "Import-dataset")), "" )</f>
        <v>1.5978422619047619</v>
      </c>
      <c r="BL31" s="6" cm="1">
        <f t="array" aca="1" ref="BL31" ca="1">IFERROR( INDIRECT(ADDRESS(ROW()+1, COLUMN(), 4, TRUE, "Import-dataset")) / INDIRECT(ADDRESS(ROW(), COLUMN(), 4, TRUE, "Import-dataset")), "" )</f>
        <v>0.99975232198142416</v>
      </c>
      <c r="BM31" s="6" cm="1">
        <f t="array" aca="1" ref="BM31" ca="1">IFERROR( INDIRECT(ADDRESS(ROW()+1, COLUMN(), 4, TRUE, "Import-dataset")) / INDIRECT(ADDRESS(ROW(), COLUMN(), 4, TRUE, "Import-dataset")), "" )</f>
        <v>0.98575667655786348</v>
      </c>
      <c r="BN31" s="6" cm="1">
        <f t="array" aca="1" ref="BN31" ca="1">IFERROR( INDIRECT(ADDRESS(ROW()+1, COLUMN(), 4, TRUE, "Import-dataset")) / INDIRECT(ADDRESS(ROW(), COLUMN(), 4, TRUE, "Import-dataset")), "" )</f>
        <v>0.98593497809545771</v>
      </c>
      <c r="BO31" s="6" cm="1">
        <f t="array" aca="1" ref="BO31" ca="1">IFERROR( INDIRECT(ADDRESS(ROW()+1, COLUMN(), 4, TRUE, "Import-dataset")) / INDIRECT(ADDRESS(ROW(), COLUMN(), 4, TRUE, "Import-dataset")), "" )</f>
        <v>1.0405693950177937</v>
      </c>
      <c r="BP31" s="6" cm="1">
        <f t="array" aca="1" ref="BP31" ca="1">IFERROR( INDIRECT(ADDRESS(ROW()+1, COLUMN(), 4, TRUE, "Import-dataset")) / INDIRECT(ADDRESS(ROW(), COLUMN(), 4, TRUE, "Import-dataset")), "" )</f>
        <v>0.9776339691189827</v>
      </c>
      <c r="BQ31" s="6" cm="1">
        <f t="array" aca="1" ref="BQ31" ca="1">IFERROR( INDIRECT(ADDRESS(ROW()+1, COLUMN(), 4, TRUE, "Import-dataset")) / INDIRECT(ADDRESS(ROW(), COLUMN(), 4, TRUE, "Import-dataset")), "" )</f>
        <v>0.99233889139251918</v>
      </c>
      <c r="BR31" s="6" cm="1">
        <f t="array" aca="1" ref="BR31" ca="1">IFERROR( INDIRECT(ADDRESS(ROW()+1, COLUMN(), 4, TRUE, "Import-dataset")) / INDIRECT(ADDRESS(ROW(), COLUMN(), 4, TRUE, "Import-dataset")), "" )</f>
        <v>1.024567788898999</v>
      </c>
      <c r="BS31" s="6" cm="1">
        <f t="array" aca="1" ref="BS31" ca="1">IFERROR( INDIRECT(ADDRESS(ROW()+1, COLUMN(), 4, TRUE, "Import-dataset")) / INDIRECT(ADDRESS(ROW(), COLUMN(), 4, TRUE, "Import-dataset")), "" )</f>
        <v>0.89043728976453629</v>
      </c>
      <c r="BT31" s="6" cm="1">
        <f t="array" aca="1" ref="BT31" ca="1">IFERROR( INDIRECT(ADDRESS(ROW()+1, COLUMN(), 4, TRUE, "Import-dataset")) / INDIRECT(ADDRESS(ROW(), COLUMN(), 4, TRUE, "Import-dataset")), "" )</f>
        <v>1.0225694444444444</v>
      </c>
      <c r="BU31" s="6" cm="1">
        <f t="array" aca="1" ref="BU31" ca="1">IFERROR( INDIRECT(ADDRESS(ROW()+1, COLUMN(), 4, TRUE, "Import-dataset")) / INDIRECT(ADDRESS(ROW(), COLUMN(), 4, TRUE, "Import-dataset")), "" )</f>
        <v>0.87202380952380953</v>
      </c>
      <c r="BV31" s="6" cm="1">
        <f t="array" aca="1" ref="BV31" ca="1">IFERROR( INDIRECT(ADDRESS(ROW()+1, COLUMN(), 4, TRUE, "Import-dataset")) / INDIRECT(ADDRESS(ROW(), COLUMN(), 4, TRUE, "Import-dataset")), "" )</f>
        <v>0.8</v>
      </c>
      <c r="BW31" s="6" cm="1">
        <f t="array" aca="1" ref="BW31" ca="1">IFERROR( INDIRECT(ADDRESS(ROW()+1, COLUMN(), 4, TRUE, "Import-dataset")) / INDIRECT(ADDRESS(ROW(), COLUMN(), 4, TRUE, "Import-dataset")), "" )</f>
        <v>0.87234042553191493</v>
      </c>
      <c r="BX31" s="6" cm="1">
        <f t="array" aca="1" ref="BX31" ca="1">IFERROR( INDIRECT(ADDRESS(ROW()+1, COLUMN(), 4, TRUE, "Import-dataset")) / INDIRECT(ADDRESS(ROW(), COLUMN(), 4, TRUE, "Import-dataset")), "" )</f>
        <v>1.4</v>
      </c>
      <c r="BY31" s="6" cm="1">
        <f t="array" aca="1" ref="BY31" ca="1">IFERROR( INDIRECT(ADDRESS(ROW()+1, COLUMN(), 4, TRUE, "Import-dataset")) / INDIRECT(ADDRESS(ROW(), COLUMN(), 4, TRUE, "Import-dataset")), "" )</f>
        <v>1.6759425493716338</v>
      </c>
      <c r="BZ31" s="6" cm="1">
        <f t="array" aca="1" ref="BZ31" ca="1">IFERROR( INDIRECT(ADDRESS(ROW()+1, COLUMN(), 4, TRUE, "Import-dataset")) / INDIRECT(ADDRESS(ROW(), COLUMN(), 4, TRUE, "Import-dataset")), "" )</f>
        <v>0.35316254161238964</v>
      </c>
      <c r="CA31" s="6" cm="1">
        <f t="array" aca="1" ref="CA31" ca="1">IFERROR( INDIRECT(ADDRESS(ROW()+1, COLUMN(), 4, TRUE, "Import-dataset")) / INDIRECT(ADDRESS(ROW(), COLUMN(), 4, TRUE, "Import-dataset")), "" )</f>
        <v>0.95233905209792047</v>
      </c>
    </row>
    <row r="32" spans="1:79">
      <c r="A32" s="6" t="s">
        <v>189</v>
      </c>
      <c r="B32" s="6" cm="1">
        <f t="array" aca="1" ref="B32" ca="1">IFERROR( INDIRECT(ADDRESS(ROW()+1, COLUMN(), 4, TRUE, "Import-dataset")) / INDIRECT(ADDRESS(ROW(), COLUMN(), 4, TRUE, "Import-dataset")), "" )</f>
        <v>1.0233955784503113</v>
      </c>
      <c r="C32" s="6" cm="1">
        <f t="array" aca="1" ref="C32" ca="1">IFERROR( INDIRECT(ADDRESS(ROW()+1, COLUMN(), 4, TRUE, "Import-dataset")) / INDIRECT(ADDRESS(ROW(), COLUMN(), 4, TRUE, "Import-dataset")), "" )</f>
        <v>1.28099173553719</v>
      </c>
      <c r="D32" s="6" cm="1">
        <f t="array" aca="1" ref="D32" ca="1">IFERROR( INDIRECT(ADDRESS(ROW()+1, COLUMN(), 4, TRUE, "Import-dataset")) / INDIRECT(ADDRESS(ROW(), COLUMN(), 4, TRUE, "Import-dataset")), "" )</f>
        <v>1.0679487179487179</v>
      </c>
      <c r="E32" s="6" cm="1">
        <f t="array" aca="1" ref="E32" ca="1">IFERROR( INDIRECT(ADDRESS(ROW()+1, COLUMN(), 4, TRUE, "Import-dataset")) / INDIRECT(ADDRESS(ROW(), COLUMN(), 4, TRUE, "Import-dataset")), "" )</f>
        <v>1.2288372093023257</v>
      </c>
      <c r="F32" s="6" cm="1">
        <f t="array" aca="1" ref="F32" ca="1">IFERROR( INDIRECT(ADDRESS(ROW()+1, COLUMN(), 4, TRUE, "Import-dataset")) / INDIRECT(ADDRESS(ROW(), COLUMN(), 4, TRUE, "Import-dataset")), "" )</f>
        <v>1.0529157667386608</v>
      </c>
      <c r="G32" s="6" cm="1">
        <f t="array" aca="1" ref="G32" ca="1">IFERROR( INDIRECT(ADDRESS(ROW()+1, COLUMN(), 4, TRUE, "Import-dataset")) / INDIRECT(ADDRESS(ROW(), COLUMN(), 4, TRUE, "Import-dataset")), "" )</f>
        <v>1.0347826086956522</v>
      </c>
      <c r="H32" s="6" cm="1">
        <f t="array" aca="1" ref="H32" ca="1">IFERROR( INDIRECT(ADDRESS(ROW()+1, COLUMN(), 4, TRUE, "Import-dataset")) / INDIRECT(ADDRESS(ROW(), COLUMN(), 4, TRUE, "Import-dataset")), "" )</f>
        <v>1.0319108035371012</v>
      </c>
      <c r="I32" s="6" cm="1">
        <f t="array" aca="1" ref="I32" ca="1">IFERROR( INDIRECT(ADDRESS(ROW()+1, COLUMN(), 4, TRUE, "Import-dataset")) / INDIRECT(ADDRESS(ROW(), COLUMN(), 4, TRUE, "Import-dataset")), "" )</f>
        <v>0.95238095238095233</v>
      </c>
      <c r="J32" s="6" cm="1">
        <f t="array" aca="1" ref="J32" ca="1">IFERROR( INDIRECT(ADDRESS(ROW()+1, COLUMN(), 4, TRUE, "Import-dataset")) / INDIRECT(ADDRESS(ROW(), COLUMN(), 4, TRUE, "Import-dataset")), "" )</f>
        <v>1.0415189873417721</v>
      </c>
      <c r="K32" s="6" cm="1">
        <f t="array" aca="1" ref="K32" ca="1">IFERROR( INDIRECT(ADDRESS(ROW()+1, COLUMN(), 4, TRUE, "Import-dataset")) / INDIRECT(ADDRESS(ROW(), COLUMN(), 4, TRUE, "Import-dataset")), "" )</f>
        <v>1.0217627856365614</v>
      </c>
      <c r="L32" s="6" cm="1">
        <f t="array" aca="1" ref="L32" ca="1">IFERROR( INDIRECT(ADDRESS(ROW()+1, COLUMN(), 4, TRUE, "Import-dataset")) / INDIRECT(ADDRESS(ROW(), COLUMN(), 4, TRUE, "Import-dataset")), "" )</f>
        <v>0.89167812929848689</v>
      </c>
      <c r="M32" s="6" cm="1">
        <f t="array" aca="1" ref="M32" ca="1">IFERROR( INDIRECT(ADDRESS(ROW()+1, COLUMN(), 4, TRUE, "Import-dataset")) / INDIRECT(ADDRESS(ROW(), COLUMN(), 4, TRUE, "Import-dataset")), "" )</f>
        <v>1.0042800366860287</v>
      </c>
      <c r="N32" s="6" cm="1">
        <f t="array" aca="1" ref="N32" ca="1">IFERROR( INDIRECT(ADDRESS(ROW()+1, COLUMN(), 4, TRUE, "Import-dataset")) / INDIRECT(ADDRESS(ROW(), COLUMN(), 4, TRUE, "Import-dataset")), "" )</f>
        <v>1.0174029451137885</v>
      </c>
      <c r="O32" s="6" cm="1">
        <f t="array" aca="1" ref="O32" ca="1">IFERROR( INDIRECT(ADDRESS(ROW()+1, COLUMN(), 4, TRUE, "Import-dataset")) / INDIRECT(ADDRESS(ROW(), COLUMN(), 4, TRUE, "Import-dataset")), "" )</f>
        <v>0.97955209347614414</v>
      </c>
      <c r="P32" s="6" cm="1">
        <f t="array" aca="1" ref="P32" ca="1">IFERROR( INDIRECT(ADDRESS(ROW()+1, COLUMN(), 4, TRUE, "Import-dataset")) / INDIRECT(ADDRESS(ROW(), COLUMN(), 4, TRUE, "Import-dataset")), "" )</f>
        <v>1.1054273237679351</v>
      </c>
      <c r="Q32" s="6" cm="1">
        <f t="array" aca="1" ref="Q32" ca="1">IFERROR( INDIRECT(ADDRESS(ROW()+1, COLUMN(), 4, TRUE, "Import-dataset")) / INDIRECT(ADDRESS(ROW(), COLUMN(), 4, TRUE, "Import-dataset")), "" )</f>
        <v>0.6</v>
      </c>
      <c r="R32" s="6" cm="1">
        <f t="array" aca="1" ref="R32" ca="1">IFERROR( INDIRECT(ADDRESS(ROW()+1, COLUMN(), 4, TRUE, "Import-dataset")) / INDIRECT(ADDRESS(ROW(), COLUMN(), 4, TRUE, "Import-dataset")), "" )</f>
        <v>1.2613636363636365</v>
      </c>
      <c r="S32" s="6" cm="1">
        <f t="array" aca="1" ref="S32" ca="1">IFERROR( INDIRECT(ADDRESS(ROW()+1, COLUMN(), 4, TRUE, "Import-dataset")) / INDIRECT(ADDRESS(ROW(), COLUMN(), 4, TRUE, "Import-dataset")), "" )</f>
        <v>1.6176470588235294</v>
      </c>
      <c r="T32" s="6" cm="1">
        <f t="array" aca="1" ref="T32" ca="1">IFERROR( INDIRECT(ADDRESS(ROW()+1, COLUMN(), 4, TRUE, "Import-dataset")) / INDIRECT(ADDRESS(ROW(), COLUMN(), 4, TRUE, "Import-dataset")), "" )</f>
        <v>1.0245098039215685</v>
      </c>
      <c r="U32" s="6" cm="1">
        <f t="array" aca="1" ref="U32" ca="1">IFERROR( INDIRECT(ADDRESS(ROW()+1, COLUMN(), 4, TRUE, "Import-dataset")) / INDIRECT(ADDRESS(ROW(), COLUMN(), 4, TRUE, "Import-dataset")), "" )</f>
        <v>1.0943396226415094</v>
      </c>
      <c r="V32" s="6" cm="1">
        <f t="array" aca="1" ref="V32" ca="1">IFERROR( INDIRECT(ADDRESS(ROW()+1, COLUMN(), 4, TRUE, "Import-dataset")) / INDIRECT(ADDRESS(ROW(), COLUMN(), 4, TRUE, "Import-dataset")), "" )</f>
        <v>0.91919191919191923</v>
      </c>
      <c r="W32" s="6" cm="1">
        <f t="array" aca="1" ref="W32" ca="1">IFERROR( INDIRECT(ADDRESS(ROW()+1, COLUMN(), 4, TRUE, "Import-dataset")) / INDIRECT(ADDRESS(ROW(), COLUMN(), 4, TRUE, "Import-dataset")), "" )</f>
        <v>0.91961414790996787</v>
      </c>
      <c r="X32" s="6" cm="1">
        <f t="array" aca="1" ref="X32" ca="1">IFERROR( INDIRECT(ADDRESS(ROW()+1, COLUMN(), 4, TRUE, "Import-dataset")) / INDIRECT(ADDRESS(ROW(), COLUMN(), 4, TRUE, "Import-dataset")), "" )</f>
        <v>1.2005899705014749</v>
      </c>
      <c r="Y32" s="6" cm="1">
        <f t="array" aca="1" ref="Y32" ca="1">IFERROR( INDIRECT(ADDRESS(ROW()+1, COLUMN(), 4, TRUE, "Import-dataset")) / INDIRECT(ADDRESS(ROW(), COLUMN(), 4, TRUE, "Import-dataset")), "" )</f>
        <v>1.0834845735027223</v>
      </c>
      <c r="Z32" s="6" cm="1">
        <f t="array" aca="1" ref="Z32" ca="1">IFERROR( INDIRECT(ADDRESS(ROW()+1, COLUMN(), 4, TRUE, "Import-dataset")) / INDIRECT(ADDRESS(ROW(), COLUMN(), 4, TRUE, "Import-dataset")), "" )</f>
        <v>1.2627097102186071</v>
      </c>
      <c r="AA32" s="6" cm="1">
        <f t="array" aca="1" ref="AA32" ca="1">IFERROR( INDIRECT(ADDRESS(ROW()+1, COLUMN(), 4, TRUE, "Import-dataset")) / INDIRECT(ADDRESS(ROW(), COLUMN(), 4, TRUE, "Import-dataset")), "" )</f>
        <v>2.7254901960784315</v>
      </c>
      <c r="AB32" s="6" cm="1">
        <f t="array" aca="1" ref="AB32" ca="1">IFERROR( INDIRECT(ADDRESS(ROW()+1, COLUMN(), 4, TRUE, "Import-dataset")) / INDIRECT(ADDRESS(ROW(), COLUMN(), 4, TRUE, "Import-dataset")), "" )</f>
        <v>1.2594895989706199</v>
      </c>
      <c r="AC32" s="6" cm="1">
        <f t="array" aca="1" ref="AC32" ca="1">IFERROR( INDIRECT(ADDRESS(ROW()+1, COLUMN(), 4, TRUE, "Import-dataset")) / INDIRECT(ADDRESS(ROW(), COLUMN(), 4, TRUE, "Import-dataset")), "" )</f>
        <v>1.2731092436974789</v>
      </c>
      <c r="AD32" s="6" cm="1">
        <f t="array" aca="1" ref="AD32" ca="1">IFERROR( INDIRECT(ADDRESS(ROW()+1, COLUMN(), 4, TRUE, "Import-dataset")) / INDIRECT(ADDRESS(ROW(), COLUMN(), 4, TRUE, "Import-dataset")), "" )</f>
        <v>1.0028571428571429</v>
      </c>
      <c r="AE32" s="6" cm="1">
        <f t="array" aca="1" ref="AE32" ca="1">IFERROR( INDIRECT(ADDRESS(ROW()+1, COLUMN(), 4, TRUE, "Import-dataset")) / INDIRECT(ADDRESS(ROW(), COLUMN(), 4, TRUE, "Import-dataset")), "" )</f>
        <v>0.91803278688524592</v>
      </c>
      <c r="AF32" s="6" cm="1">
        <f t="array" aca="1" ref="AF32" ca="1">IFERROR( INDIRECT(ADDRESS(ROW()+1, COLUMN(), 4, TRUE, "Import-dataset")) / INDIRECT(ADDRESS(ROW(), COLUMN(), 4, TRUE, "Import-dataset")), "" )</f>
        <v>0.99161073825503354</v>
      </c>
      <c r="AG32" s="6" cm="1">
        <f t="array" aca="1" ref="AG32" ca="1">IFERROR( INDIRECT(ADDRESS(ROW()+1, COLUMN(), 4, TRUE, "Import-dataset")) / INDIRECT(ADDRESS(ROW(), COLUMN(), 4, TRUE, "Import-dataset")), "" )</f>
        <v>1.2045454545454546</v>
      </c>
      <c r="AH32" s="6" cm="1">
        <f t="array" aca="1" ref="AH32" ca="1">IFERROR( INDIRECT(ADDRESS(ROW()+1, COLUMN(), 4, TRUE, "Import-dataset")) / INDIRECT(ADDRESS(ROW(), COLUMN(), 4, TRUE, "Import-dataset")), "" )</f>
        <v>1.0125970041508754</v>
      </c>
      <c r="AI32" s="6" cm="1">
        <f t="array" aca="1" ref="AI32" ca="1">IFERROR( INDIRECT(ADDRESS(ROW()+1, COLUMN(), 4, TRUE, "Import-dataset")) / INDIRECT(ADDRESS(ROW(), COLUMN(), 4, TRUE, "Import-dataset")), "" )</f>
        <v>0.98049792531120328</v>
      </c>
      <c r="AJ32" s="6" cm="1">
        <f t="array" aca="1" ref="AJ32" ca="1">IFERROR( INDIRECT(ADDRESS(ROW()+1, COLUMN(), 4, TRUE, "Import-dataset")) / INDIRECT(ADDRESS(ROW(), COLUMN(), 4, TRUE, "Import-dataset")), "" )</f>
        <v>1.0070197830248884</v>
      </c>
      <c r="AK32" s="6" cm="1">
        <f t="array" aca="1" ref="AK32" ca="1">IFERROR( INDIRECT(ADDRESS(ROW()+1, COLUMN(), 4, TRUE, "Import-dataset")) / INDIRECT(ADDRESS(ROW(), COLUMN(), 4, TRUE, "Import-dataset")), "" )</f>
        <v>1.0220661985957873</v>
      </c>
      <c r="AL32" s="6" cm="1">
        <f t="array" aca="1" ref="AL32" ca="1">IFERROR( INDIRECT(ADDRESS(ROW()+1, COLUMN(), 4, TRUE, "Import-dataset")) / INDIRECT(ADDRESS(ROW(), COLUMN(), 4, TRUE, "Import-dataset")), "" )</f>
        <v>0.99216105469445925</v>
      </c>
      <c r="AM32" s="6" cm="1">
        <f t="array" aca="1" ref="AM32" ca="1">IFERROR( INDIRECT(ADDRESS(ROW()+1, COLUMN(), 4, TRUE, "Import-dataset")) / INDIRECT(ADDRESS(ROW(), COLUMN(), 4, TRUE, "Import-dataset")), "" )</f>
        <v>1.0496936691626957</v>
      </c>
      <c r="AN32" s="6" cm="1">
        <f t="array" aca="1" ref="AN32" ca="1">IFERROR( INDIRECT(ADDRESS(ROW()+1, COLUMN(), 4, TRUE, "Import-dataset")) / INDIRECT(ADDRESS(ROW(), COLUMN(), 4, TRUE, "Import-dataset")), "" )</f>
        <v>0.97502972651605235</v>
      </c>
      <c r="AO32" s="6" cm="1">
        <f t="array" aca="1" ref="AO32" ca="1">IFERROR( INDIRECT(ADDRESS(ROW()+1, COLUMN(), 4, TRUE, "Import-dataset")) / INDIRECT(ADDRESS(ROW(), COLUMN(), 4, TRUE, "Import-dataset")), "" )</f>
        <v>1.0771195097037793</v>
      </c>
      <c r="AP32" s="6" cm="1">
        <f t="array" aca="1" ref="AP32" ca="1">IFERROR( INDIRECT(ADDRESS(ROW()+1, COLUMN(), 4, TRUE, "Import-dataset")) / INDIRECT(ADDRESS(ROW(), COLUMN(), 4, TRUE, "Import-dataset")), "" )</f>
        <v>1.0241397021058039</v>
      </c>
      <c r="AQ32" s="6" cm="1">
        <f t="array" aca="1" ref="AQ32" ca="1">IFERROR( INDIRECT(ADDRESS(ROW()+1, COLUMN(), 4, TRUE, "Import-dataset")) / INDIRECT(ADDRESS(ROW(), COLUMN(), 4, TRUE, "Import-dataset")), "" )</f>
        <v>1.0513767629281396</v>
      </c>
      <c r="AR32" s="6" cm="1">
        <f t="array" aca="1" ref="AR32" ca="1">IFERROR( INDIRECT(ADDRESS(ROW()+1, COLUMN(), 4, TRUE, "Import-dataset")) / INDIRECT(ADDRESS(ROW(), COLUMN(), 4, TRUE, "Import-dataset")), "" )</f>
        <v>1.0169365411189455</v>
      </c>
      <c r="AS32" s="6" cm="1">
        <f t="array" aca="1" ref="AS32" ca="1">IFERROR( INDIRECT(ADDRESS(ROW()+1, COLUMN(), 4, TRUE, "Import-dataset")) / INDIRECT(ADDRESS(ROW(), COLUMN(), 4, TRUE, "Import-dataset")), "" )</f>
        <v>0.97560975609756095</v>
      </c>
      <c r="AT32" s="6" cm="1">
        <f t="array" aca="1" ref="AT32" ca="1">IFERROR( INDIRECT(ADDRESS(ROW()+1, COLUMN(), 4, TRUE, "Import-dataset")) / INDIRECT(ADDRESS(ROW(), COLUMN(), 4, TRUE, "Import-dataset")), "" )</f>
        <v>1.0532509561635774</v>
      </c>
      <c r="AU32" s="6" cm="1">
        <f t="array" aca="1" ref="AU32" ca="1">IFERROR( INDIRECT(ADDRESS(ROW()+1, COLUMN(), 4, TRUE, "Import-dataset")) / INDIRECT(ADDRESS(ROW(), COLUMN(), 4, TRUE, "Import-dataset")), "" )</f>
        <v>1.078927203065134</v>
      </c>
      <c r="AV32" s="6" cm="1">
        <f t="array" aca="1" ref="AV32" ca="1">IFERROR( INDIRECT(ADDRESS(ROW()+1, COLUMN(), 4, TRUE, "Import-dataset")) / INDIRECT(ADDRESS(ROW(), COLUMN(), 4, TRUE, "Import-dataset")), "" )</f>
        <v>0.97865955318439479</v>
      </c>
      <c r="AW32" s="6" cm="1">
        <f t="array" aca="1" ref="AW32" ca="1">IFERROR( INDIRECT(ADDRESS(ROW()+1, COLUMN(), 4, TRUE, "Import-dataset")) / INDIRECT(ADDRESS(ROW(), COLUMN(), 4, TRUE, "Import-dataset")), "" )</f>
        <v>1.0075482247693599</v>
      </c>
      <c r="AX32" s="6" cm="1">
        <f t="array" aca="1" ref="AX32" ca="1">IFERROR( INDIRECT(ADDRESS(ROW()+1, COLUMN(), 4, TRUE, "Import-dataset")) / INDIRECT(ADDRESS(ROW(), COLUMN(), 4, TRUE, "Import-dataset")), "" )</f>
        <v>0.98622303093319474</v>
      </c>
      <c r="AY32" s="6" cm="1">
        <f t="array" aca="1" ref="AY32" ca="1">IFERROR( INDIRECT(ADDRESS(ROW()+1, COLUMN(), 4, TRUE, "Import-dataset")) / INDIRECT(ADDRESS(ROW(), COLUMN(), 4, TRUE, "Import-dataset")), "" )</f>
        <v>1.2081358609794628</v>
      </c>
      <c r="AZ32" s="6" cm="1">
        <f t="array" aca="1" ref="AZ32" ca="1">IFERROR( INDIRECT(ADDRESS(ROW()+1, COLUMN(), 4, TRUE, "Import-dataset")) / INDIRECT(ADDRESS(ROW(), COLUMN(), 4, TRUE, "Import-dataset")), "" )</f>
        <v>0.92121887774061684</v>
      </c>
      <c r="BA32" s="6" cm="1">
        <f t="array" aca="1" ref="BA32" ca="1">IFERROR( INDIRECT(ADDRESS(ROW()+1, COLUMN(), 4, TRUE, "Import-dataset")) / INDIRECT(ADDRESS(ROW(), COLUMN(), 4, TRUE, "Import-dataset")), "" )</f>
        <v>0.99675745784695202</v>
      </c>
      <c r="BB32" s="6" cm="1">
        <f t="array" aca="1" ref="BB32" ca="1">IFERROR( INDIRECT(ADDRESS(ROW()+1, COLUMN(), 4, TRUE, "Import-dataset")) / INDIRECT(ADDRESS(ROW(), COLUMN(), 4, TRUE, "Import-dataset")), "" )</f>
        <v>1.1413018232493322</v>
      </c>
      <c r="BC32" s="6" cm="1">
        <f t="array" aca="1" ref="BC32" ca="1">IFERROR( INDIRECT(ADDRESS(ROW()+1, COLUMN(), 4, TRUE, "Import-dataset")) / INDIRECT(ADDRESS(ROW(), COLUMN(), 4, TRUE, "Import-dataset")), "" )</f>
        <v>1.0754120568977197</v>
      </c>
      <c r="BD32" s="6" cm="1">
        <f t="array" aca="1" ref="BD32" ca="1">IFERROR( INDIRECT(ADDRESS(ROW()+1, COLUMN(), 4, TRUE, "Import-dataset")) / INDIRECT(ADDRESS(ROW(), COLUMN(), 4, TRUE, "Import-dataset")), "" )</f>
        <v>1.1572080887149381</v>
      </c>
      <c r="BE32" s="6" cm="1">
        <f t="array" aca="1" ref="BE32" ca="1">IFERROR( INDIRECT(ADDRESS(ROW()+1, COLUMN(), 4, TRUE, "Import-dataset")) / INDIRECT(ADDRESS(ROW(), COLUMN(), 4, TRUE, "Import-dataset")), "" )</f>
        <v>1.0739495798319327</v>
      </c>
      <c r="BF32" s="6" cm="1">
        <f t="array" aca="1" ref="BF32" ca="1">IFERROR( INDIRECT(ADDRESS(ROW()+1, COLUMN(), 4, TRUE, "Import-dataset")) / INDIRECT(ADDRESS(ROW(), COLUMN(), 4, TRUE, "Import-dataset")), "" )</f>
        <v>0.92416079569001242</v>
      </c>
      <c r="BG32" s="6" cm="1">
        <f t="array" aca="1" ref="BG32" ca="1">IFERROR( INDIRECT(ADDRESS(ROW()+1, COLUMN(), 4, TRUE, "Import-dataset")) / INDIRECT(ADDRESS(ROW(), COLUMN(), 4, TRUE, "Import-dataset")), "" )</f>
        <v>1.0732630717282308</v>
      </c>
      <c r="BH32" s="6" cm="1">
        <f t="array" aca="1" ref="BH32" ca="1">IFERROR( INDIRECT(ADDRESS(ROW()+1, COLUMN(), 4, TRUE, "Import-dataset")) / INDIRECT(ADDRESS(ROW(), COLUMN(), 4, TRUE, "Import-dataset")), "" )</f>
        <v>1.067543499109467</v>
      </c>
      <c r="BI32" s="6" cm="1">
        <f t="array" aca="1" ref="BI32" ca="1">IFERROR( INDIRECT(ADDRESS(ROW()+1, COLUMN(), 4, TRUE, "Import-dataset")) / INDIRECT(ADDRESS(ROW(), COLUMN(), 4, TRUE, "Import-dataset")), "" )</f>
        <v>1.1182672473068989</v>
      </c>
      <c r="BJ32" s="6" cm="1">
        <f t="array" aca="1" ref="BJ32" ca="1">IFERROR( INDIRECT(ADDRESS(ROW()+1, COLUMN(), 4, TRUE, "Import-dataset")) / INDIRECT(ADDRESS(ROW(), COLUMN(), 4, TRUE, "Import-dataset")), "" )</f>
        <v>1.0841566895269092</v>
      </c>
      <c r="BK32" s="6" cm="1">
        <f t="array" aca="1" ref="BK32" ca="1">IFERROR( INDIRECT(ADDRESS(ROW()+1, COLUMN(), 4, TRUE, "Import-dataset")) / INDIRECT(ADDRESS(ROW(), COLUMN(), 4, TRUE, "Import-dataset")), "" )</f>
        <v>2.8558789289871944</v>
      </c>
      <c r="BL32" s="6" cm="1">
        <f t="array" aca="1" ref="BL32" ca="1">IFERROR( INDIRECT(ADDRESS(ROW()+1, COLUMN(), 4, TRUE, "Import-dataset")) / INDIRECT(ADDRESS(ROW(), COLUMN(), 4, TRUE, "Import-dataset")), "" )</f>
        <v>1.0051034311903877</v>
      </c>
      <c r="BM32" s="6" cm="1">
        <f t="array" aca="1" ref="BM32" ca="1">IFERROR( INDIRECT(ADDRESS(ROW()+1, COLUMN(), 4, TRUE, "Import-dataset")) / INDIRECT(ADDRESS(ROW(), COLUMN(), 4, TRUE, "Import-dataset")), "" )</f>
        <v>0.98073449729078865</v>
      </c>
      <c r="BN32" s="6" cm="1">
        <f t="array" aca="1" ref="BN32" ca="1">IFERROR( INDIRECT(ADDRESS(ROW()+1, COLUMN(), 4, TRUE, "Import-dataset")) / INDIRECT(ADDRESS(ROW(), COLUMN(), 4, TRUE, "Import-dataset")), "" )</f>
        <v>0.99532273152478956</v>
      </c>
      <c r="BO32" s="6" cm="1">
        <f t="array" aca="1" ref="BO32" ca="1">IFERROR( INDIRECT(ADDRESS(ROW()+1, COLUMN(), 4, TRUE, "Import-dataset")) / INDIRECT(ADDRESS(ROW(), COLUMN(), 4, TRUE, "Import-dataset")), "" )</f>
        <v>1.0512995896032831</v>
      </c>
      <c r="BP32" s="6" cm="1">
        <f t="array" aca="1" ref="BP32" ca="1">IFERROR( INDIRECT(ADDRESS(ROW()+1, COLUMN(), 4, TRUE, "Import-dataset")) / INDIRECT(ADDRESS(ROW(), COLUMN(), 4, TRUE, "Import-dataset")), "" )</f>
        <v>1.0145163163395656</v>
      </c>
      <c r="BQ32" s="6" cm="1">
        <f t="array" aca="1" ref="BQ32" ca="1">IFERROR( INDIRECT(ADDRESS(ROW()+1, COLUMN(), 4, TRUE, "Import-dataset")) / INDIRECT(ADDRESS(ROW(), COLUMN(), 4, TRUE, "Import-dataset")), "" )</f>
        <v>0.98864668483197093</v>
      </c>
      <c r="BR32" s="6" cm="1">
        <f t="array" aca="1" ref="BR32" ca="1">IFERROR( INDIRECT(ADDRESS(ROW()+1, COLUMN(), 4, TRUE, "Import-dataset")) / INDIRECT(ADDRESS(ROW(), COLUMN(), 4, TRUE, "Import-dataset")), "" )</f>
        <v>0.96862048549437541</v>
      </c>
      <c r="BS32" s="6" cm="1">
        <f t="array" aca="1" ref="BS32" ca="1">IFERROR( INDIRECT(ADDRESS(ROW()+1, COLUMN(), 4, TRUE, "Import-dataset")) / INDIRECT(ADDRESS(ROW(), COLUMN(), 4, TRUE, "Import-dataset")), "" )</f>
        <v>0.98273070696168374</v>
      </c>
      <c r="BT32" s="6" cm="1">
        <f t="array" aca="1" ref="BT32" ca="1">IFERROR( INDIRECT(ADDRESS(ROW()+1, COLUMN(), 4, TRUE, "Import-dataset")) / INDIRECT(ADDRESS(ROW(), COLUMN(), 4, TRUE, "Import-dataset")), "" )</f>
        <v>1.023621466007234</v>
      </c>
      <c r="BU32" s="6" cm="1">
        <f t="array" aca="1" ref="BU32" ca="1">IFERROR( INDIRECT(ADDRESS(ROW()+1, COLUMN(), 4, TRUE, "Import-dataset")) / INDIRECT(ADDRESS(ROW(), COLUMN(), 4, TRUE, "Import-dataset")), "" )</f>
        <v>2.1478618751254768</v>
      </c>
      <c r="BV32" s="6" cm="1">
        <f t="array" aca="1" ref="BV32" ca="1">IFERROR( INDIRECT(ADDRESS(ROW()+1, COLUMN(), 4, TRUE, "Import-dataset")) / INDIRECT(ADDRESS(ROW(), COLUMN(), 4, TRUE, "Import-dataset")), "" )</f>
        <v>3</v>
      </c>
      <c r="BW32" s="6" cm="1">
        <f t="array" aca="1" ref="BW32" ca="1">IFERROR( INDIRECT(ADDRESS(ROW()+1, COLUMN(), 4, TRUE, "Import-dataset")) / INDIRECT(ADDRESS(ROW(), COLUMN(), 4, TRUE, "Import-dataset")), "" )</f>
        <v>0.51219512195121952</v>
      </c>
      <c r="BX32" s="6" cm="1">
        <f t="array" aca="1" ref="BX32" ca="1">IFERROR( INDIRECT(ADDRESS(ROW()+1, COLUMN(), 4, TRUE, "Import-dataset")) / INDIRECT(ADDRESS(ROW(), COLUMN(), 4, TRUE, "Import-dataset")), "" )</f>
        <v>0.42857142857142855</v>
      </c>
      <c r="BY32" s="6" cm="1">
        <f t="array" aca="1" ref="BY32" ca="1">IFERROR( INDIRECT(ADDRESS(ROW()+1, COLUMN(), 4, TRUE, "Import-dataset")) / INDIRECT(ADDRESS(ROW(), COLUMN(), 4, TRUE, "Import-dataset")), "" )</f>
        <v>0.83288698446705944</v>
      </c>
      <c r="BZ32" s="6" cm="1">
        <f t="array" aca="1" ref="BZ32" ca="1">IFERROR( INDIRECT(ADDRESS(ROW()+1, COLUMN(), 4, TRUE, "Import-dataset")) / INDIRECT(ADDRESS(ROW(), COLUMN(), 4, TRUE, "Import-dataset")), "" )</f>
        <v>6.2049180327868854</v>
      </c>
      <c r="CA32" s="6" cm="1">
        <f t="array" aca="1" ref="CA32" ca="1">IFERROR( INDIRECT(ADDRESS(ROW()+1, COLUMN(), 4, TRUE, "Import-dataset")) / INDIRECT(ADDRESS(ROW(), COLUMN(), 4, TRUE, "Import-dataset")), "" )</f>
        <v>1.1334643889205607</v>
      </c>
    </row>
    <row r="33" spans="1:79">
      <c r="A33" s="6" t="s">
        <v>190</v>
      </c>
      <c r="B33" s="6" cm="1">
        <f t="array" aca="1" ref="B33" ca="1">IFERROR( INDIRECT(ADDRESS(ROW()+1, COLUMN(), 4, TRUE, "Import-dataset")) / INDIRECT(ADDRESS(ROW(), COLUMN(), 4, TRUE, "Import-dataset")), "" )</f>
        <v>1.0578859060402686</v>
      </c>
      <c r="C33" s="6" cm="1">
        <f t="array" aca="1" ref="C33" ca="1">IFERROR( INDIRECT(ADDRESS(ROW()+1, COLUMN(), 4, TRUE, "Import-dataset")) / INDIRECT(ADDRESS(ROW(), COLUMN(), 4, TRUE, "Import-dataset")), "" )</f>
        <v>1.0838709677419356</v>
      </c>
      <c r="D33" s="6" cm="1">
        <f t="array" aca="1" ref="D33" ca="1">IFERROR( INDIRECT(ADDRESS(ROW()+1, COLUMN(), 4, TRUE, "Import-dataset")) / INDIRECT(ADDRESS(ROW(), COLUMN(), 4, TRUE, "Import-dataset")), "" )</f>
        <v>0.98679471788715489</v>
      </c>
      <c r="E33" s="6" cm="1">
        <f t="array" aca="1" ref="E33" ca="1">IFERROR( INDIRECT(ADDRESS(ROW()+1, COLUMN(), 4, TRUE, "Import-dataset")) / INDIRECT(ADDRESS(ROW(), COLUMN(), 4, TRUE, "Import-dataset")), "" )</f>
        <v>1.0749432248296744</v>
      </c>
      <c r="F33" s="6" cm="1">
        <f t="array" aca="1" ref="F33" ca="1">IFERROR( INDIRECT(ADDRESS(ROW()+1, COLUMN(), 4, TRUE, "Import-dataset")) / INDIRECT(ADDRESS(ROW(), COLUMN(), 4, TRUE, "Import-dataset")), "" )</f>
        <v>1.0323076923076924</v>
      </c>
      <c r="G33" s="6" cm="1">
        <f t="array" aca="1" ref="G33" ca="1">IFERROR( INDIRECT(ADDRESS(ROW()+1, COLUMN(), 4, TRUE, "Import-dataset")) / INDIRECT(ADDRESS(ROW(), COLUMN(), 4, TRUE, "Import-dataset")), "" )</f>
        <v>1.1298701298701299</v>
      </c>
      <c r="H33" s="6" cm="1">
        <f t="array" aca="1" ref="H33" ca="1">IFERROR( INDIRECT(ADDRESS(ROW()+1, COLUMN(), 4, TRUE, "Import-dataset")) / INDIRECT(ADDRESS(ROW(), COLUMN(), 4, TRUE, "Import-dataset")), "" )</f>
        <v>0.98621460506706404</v>
      </c>
      <c r="I33" s="6" cm="1">
        <f t="array" aca="1" ref="I33" ca="1">IFERROR( INDIRECT(ADDRESS(ROW()+1, COLUMN(), 4, TRUE, "Import-dataset")) / INDIRECT(ADDRESS(ROW(), COLUMN(), 4, TRUE, "Import-dataset")), "" )</f>
        <v>1.05</v>
      </c>
      <c r="J33" s="6" cm="1">
        <f t="array" aca="1" ref="J33" ca="1">IFERROR( INDIRECT(ADDRESS(ROW()+1, COLUMN(), 4, TRUE, "Import-dataset")) / INDIRECT(ADDRESS(ROW(), COLUMN(), 4, TRUE, "Import-dataset")), "" )</f>
        <v>0.98736023334953815</v>
      </c>
      <c r="K33" s="6" cm="1">
        <f t="array" aca="1" ref="K33" ca="1">IFERROR( INDIRECT(ADDRESS(ROW()+1, COLUMN(), 4, TRUE, "Import-dataset")) / INDIRECT(ADDRESS(ROW(), COLUMN(), 4, TRUE, "Import-dataset")), "" )</f>
        <v>1.1714589989350372</v>
      </c>
      <c r="L33" s="6" cm="1">
        <f t="array" aca="1" ref="L33" ca="1">IFERROR( INDIRECT(ADDRESS(ROW()+1, COLUMN(), 4, TRUE, "Import-dataset")) / INDIRECT(ADDRESS(ROW(), COLUMN(), 4, TRUE, "Import-dataset")), "" )</f>
        <v>1.1453914384882375</v>
      </c>
      <c r="M33" s="6" cm="1">
        <f t="array" aca="1" ref="M33" ca="1">IFERROR( INDIRECT(ADDRESS(ROW()+1, COLUMN(), 4, TRUE, "Import-dataset")) / INDIRECT(ADDRESS(ROW(), COLUMN(), 4, TRUE, "Import-dataset")), "" )</f>
        <v>1.0779299847792998</v>
      </c>
      <c r="N33" s="6" cm="1">
        <f t="array" aca="1" ref="N33" ca="1">IFERROR( INDIRECT(ADDRESS(ROW()+1, COLUMN(), 4, TRUE, "Import-dataset")) / INDIRECT(ADDRESS(ROW(), COLUMN(), 4, TRUE, "Import-dataset")), "" )</f>
        <v>1.0877192982456141</v>
      </c>
      <c r="O33" s="6" cm="1">
        <f t="array" aca="1" ref="O33" ca="1">IFERROR( INDIRECT(ADDRESS(ROW()+1, COLUMN(), 4, TRUE, "Import-dataset")) / INDIRECT(ADDRESS(ROW(), COLUMN(), 4, TRUE, "Import-dataset")), "" )</f>
        <v>1.0566600397614314</v>
      </c>
      <c r="P33" s="6" cm="1">
        <f t="array" aca="1" ref="P33" ca="1">IFERROR( INDIRECT(ADDRESS(ROW()+1, COLUMN(), 4, TRUE, "Import-dataset")) / INDIRECT(ADDRESS(ROW(), COLUMN(), 4, TRUE, "Import-dataset")), "" )</f>
        <v>1.1244356659142212</v>
      </c>
      <c r="Q33" s="6" cm="1">
        <f t="array" aca="1" ref="Q33" ca="1">IFERROR( INDIRECT(ADDRESS(ROW()+1, COLUMN(), 4, TRUE, "Import-dataset")) / INDIRECT(ADDRESS(ROW(), COLUMN(), 4, TRUE, "Import-dataset")), "" )</f>
        <v>0.66666666666666663</v>
      </c>
      <c r="R33" s="6" cm="1">
        <f t="array" aca="1" ref="R33" ca="1">IFERROR( INDIRECT(ADDRESS(ROW()+1, COLUMN(), 4, TRUE, "Import-dataset")) / INDIRECT(ADDRESS(ROW(), COLUMN(), 4, TRUE, "Import-dataset")), "" )</f>
        <v>1.0360360360360361</v>
      </c>
      <c r="S33" s="6" cm="1">
        <f t="array" aca="1" ref="S33" ca="1">IFERROR( INDIRECT(ADDRESS(ROW()+1, COLUMN(), 4, TRUE, "Import-dataset")) / INDIRECT(ADDRESS(ROW(), COLUMN(), 4, TRUE, "Import-dataset")), "" )</f>
        <v>0.96969696969696972</v>
      </c>
      <c r="T33" s="6" cm="1">
        <f t="array" aca="1" ref="T33" ca="1">IFERROR( INDIRECT(ADDRESS(ROW()+1, COLUMN(), 4, TRUE, "Import-dataset")) / INDIRECT(ADDRESS(ROW(), COLUMN(), 4, TRUE, "Import-dataset")), "" )</f>
        <v>1.2452153110047848</v>
      </c>
      <c r="U33" s="6" cm="1">
        <f t="array" aca="1" ref="U33" ca="1">IFERROR( INDIRECT(ADDRESS(ROW()+1, COLUMN(), 4, TRUE, "Import-dataset")) / INDIRECT(ADDRESS(ROW(), COLUMN(), 4, TRUE, "Import-dataset")), "" )</f>
        <v>1.2241379310344827</v>
      </c>
      <c r="V33" s="6" cm="1">
        <f t="array" aca="1" ref="V33" ca="1">IFERROR( INDIRECT(ADDRESS(ROW()+1, COLUMN(), 4, TRUE, "Import-dataset")) / INDIRECT(ADDRESS(ROW(), COLUMN(), 4, TRUE, "Import-dataset")), "" )</f>
        <v>1.0879120879120878</v>
      </c>
      <c r="W33" s="6" cm="1">
        <f t="array" aca="1" ref="W33" ca="1">IFERROR( INDIRECT(ADDRESS(ROW()+1, COLUMN(), 4, TRUE, "Import-dataset")) / INDIRECT(ADDRESS(ROW(), COLUMN(), 4, TRUE, "Import-dataset")), "" )</f>
        <v>1.1048951048951048</v>
      </c>
      <c r="X33" s="6" cm="1">
        <f t="array" aca="1" ref="X33" ca="1">IFERROR( INDIRECT(ADDRESS(ROW()+1, COLUMN(), 4, TRUE, "Import-dataset")) / INDIRECT(ADDRESS(ROW(), COLUMN(), 4, TRUE, "Import-dataset")), "" )</f>
        <v>1.0696150696150697</v>
      </c>
      <c r="Y33" s="6" cm="1">
        <f t="array" aca="1" ref="Y33" ca="1">IFERROR( INDIRECT(ADDRESS(ROW()+1, COLUMN(), 4, TRUE, "Import-dataset")) / INDIRECT(ADDRESS(ROW(), COLUMN(), 4, TRUE, "Import-dataset")), "" )</f>
        <v>1.1088777219430486</v>
      </c>
      <c r="Z33" s="6" cm="1">
        <f t="array" aca="1" ref="Z33" ca="1">IFERROR( INDIRECT(ADDRESS(ROW()+1, COLUMN(), 4, TRUE, "Import-dataset")) / INDIRECT(ADDRESS(ROW(), COLUMN(), 4, TRUE, "Import-dataset")), "" )</f>
        <v>1.3592350276799194</v>
      </c>
      <c r="AA33" s="6" cm="1">
        <f t="array" aca="1" ref="AA33" ca="1">IFERROR( INDIRECT(ADDRESS(ROW()+1, COLUMN(), 4, TRUE, "Import-dataset")) / INDIRECT(ADDRESS(ROW(), COLUMN(), 4, TRUE, "Import-dataset")), "" )</f>
        <v>1.2805755395683454</v>
      </c>
      <c r="AB33" s="6" cm="1">
        <f t="array" aca="1" ref="AB33" ca="1">IFERROR( INDIRECT(ADDRESS(ROW()+1, COLUMN(), 4, TRUE, "Import-dataset")) / INDIRECT(ADDRESS(ROW(), COLUMN(), 4, TRUE, "Import-dataset")), "" )</f>
        <v>1.3603609739485782</v>
      </c>
      <c r="AC33" s="6" cm="1">
        <f t="array" aca="1" ref="AC33" ca="1">IFERROR( INDIRECT(ADDRESS(ROW()+1, COLUMN(), 4, TRUE, "Import-dataset")) / INDIRECT(ADDRESS(ROW(), COLUMN(), 4, TRUE, "Import-dataset")), "" )</f>
        <v>1.2871287128712872</v>
      </c>
      <c r="AD33" s="6" cm="1">
        <f t="array" aca="1" ref="AD33" ca="1">IFERROR( INDIRECT(ADDRESS(ROW()+1, COLUMN(), 4, TRUE, "Import-dataset")) / INDIRECT(ADDRESS(ROW(), COLUMN(), 4, TRUE, "Import-dataset")), "" )</f>
        <v>1.0769230769230769</v>
      </c>
      <c r="AE33" s="6" cm="1">
        <f t="array" aca="1" ref="AE33" ca="1">IFERROR( INDIRECT(ADDRESS(ROW()+1, COLUMN(), 4, TRUE, "Import-dataset")) / INDIRECT(ADDRESS(ROW(), COLUMN(), 4, TRUE, "Import-dataset")), "" )</f>
        <v>1.25</v>
      </c>
      <c r="AF33" s="6" cm="1">
        <f t="array" aca="1" ref="AF33" ca="1">IFERROR( INDIRECT(ADDRESS(ROW()+1, COLUMN(), 4, TRUE, "Import-dataset")) / INDIRECT(ADDRESS(ROW(), COLUMN(), 4, TRUE, "Import-dataset")), "" )</f>
        <v>1.0609137055837563</v>
      </c>
      <c r="AG33" s="6" cm="1">
        <f t="array" aca="1" ref="AG33" ca="1">IFERROR( INDIRECT(ADDRESS(ROW()+1, COLUMN(), 4, TRUE, "Import-dataset")) / INDIRECT(ADDRESS(ROW(), COLUMN(), 4, TRUE, "Import-dataset")), "" )</f>
        <v>1.0188679245283019</v>
      </c>
      <c r="AH33" s="6" cm="1">
        <f t="array" aca="1" ref="AH33" ca="1">IFERROR( INDIRECT(ADDRESS(ROW()+1, COLUMN(), 4, TRUE, "Import-dataset")) / INDIRECT(ADDRESS(ROW(), COLUMN(), 4, TRUE, "Import-dataset")), "" )</f>
        <v>1.0635559991445069</v>
      </c>
      <c r="AI33" s="6" cm="1">
        <f t="array" aca="1" ref="AI33" ca="1">IFERROR( INDIRECT(ADDRESS(ROW()+1, COLUMN(), 4, TRUE, "Import-dataset")) / INDIRECT(ADDRESS(ROW(), COLUMN(), 4, TRUE, "Import-dataset")), "" )</f>
        <v>1.060939483707152</v>
      </c>
      <c r="AJ33" s="6" cm="1">
        <f t="array" aca="1" ref="AJ33" ca="1">IFERROR( INDIRECT(ADDRESS(ROW()+1, COLUMN(), 4, TRUE, "Import-dataset")) / INDIRECT(ADDRESS(ROW(), COLUMN(), 4, TRUE, "Import-dataset")), "" )</f>
        <v>0.70152091254752846</v>
      </c>
      <c r="AK33" s="6" cm="1">
        <f t="array" aca="1" ref="AK33" ca="1">IFERROR( INDIRECT(ADDRESS(ROW()+1, COLUMN(), 4, TRUE, "Import-dataset")) / INDIRECT(ADDRESS(ROW(), COLUMN(), 4, TRUE, "Import-dataset")), "" )</f>
        <v>1.0902845927379785</v>
      </c>
      <c r="AL33" s="6" cm="1">
        <f t="array" aca="1" ref="AL33" ca="1">IFERROR( INDIRECT(ADDRESS(ROW()+1, COLUMN(), 4, TRUE, "Import-dataset")) / INDIRECT(ADDRESS(ROW(), COLUMN(), 4, TRUE, "Import-dataset")), "" )</f>
        <v>1.0578200754174896</v>
      </c>
      <c r="AM33" s="6" cm="1">
        <f t="array" aca="1" ref="AM33" ca="1">IFERROR( INDIRECT(ADDRESS(ROW()+1, COLUMN(), 4, TRUE, "Import-dataset")) / INDIRECT(ADDRESS(ROW(), COLUMN(), 4, TRUE, "Import-dataset")), "" )</f>
        <v>1.1656939040207523</v>
      </c>
      <c r="AN33" s="6" cm="1">
        <f t="array" aca="1" ref="AN33" ca="1">IFERROR( INDIRECT(ADDRESS(ROW()+1, COLUMN(), 4, TRUE, "Import-dataset")) / INDIRECT(ADDRESS(ROW(), COLUMN(), 4, TRUE, "Import-dataset")), "" )</f>
        <v>1.1676829268292683</v>
      </c>
      <c r="AO33" s="6" cm="1">
        <f t="array" aca="1" ref="AO33" ca="1">IFERROR( INDIRECT(ADDRESS(ROW()+1, COLUMN(), 4, TRUE, "Import-dataset")) / INDIRECT(ADDRESS(ROW(), COLUMN(), 4, TRUE, "Import-dataset")), "" )</f>
        <v>1.166429587482219</v>
      </c>
      <c r="AP33" s="6" cm="1">
        <f t="array" aca="1" ref="AP33" ca="1">IFERROR( INDIRECT(ADDRESS(ROW()+1, COLUMN(), 4, TRUE, "Import-dataset")) / INDIRECT(ADDRESS(ROW(), COLUMN(), 4, TRUE, "Import-dataset")), "" )</f>
        <v>1.1013039117352057</v>
      </c>
      <c r="AQ33" s="6" cm="1">
        <f t="array" aca="1" ref="AQ33" ca="1">IFERROR( INDIRECT(ADDRESS(ROW()+1, COLUMN(), 4, TRUE, "Import-dataset")) / INDIRECT(ADDRESS(ROW(), COLUMN(), 4, TRUE, "Import-dataset")), "" )</f>
        <v>1.0095816033216225</v>
      </c>
      <c r="AR33" s="6" cm="1">
        <f t="array" aca="1" ref="AR33" ca="1">IFERROR( INDIRECT(ADDRESS(ROW()+1, COLUMN(), 4, TRUE, "Import-dataset")) / INDIRECT(ADDRESS(ROW(), COLUMN(), 4, TRUE, "Import-dataset")), "" )</f>
        <v>1.1303787324483467</v>
      </c>
      <c r="AS33" s="6" cm="1">
        <f t="array" aca="1" ref="AS33" ca="1">IFERROR( INDIRECT(ADDRESS(ROW()+1, COLUMN(), 4, TRUE, "Import-dataset")) / INDIRECT(ADDRESS(ROW(), COLUMN(), 4, TRUE, "Import-dataset")), "" )</f>
        <v>0.96250000000000002</v>
      </c>
      <c r="AT33" s="6" cm="1">
        <f t="array" aca="1" ref="AT33" ca="1">IFERROR( INDIRECT(ADDRESS(ROW()+1, COLUMN(), 4, TRUE, "Import-dataset")) / INDIRECT(ADDRESS(ROW(), COLUMN(), 4, TRUE, "Import-dataset")), "" )</f>
        <v>1.1078212290502794</v>
      </c>
      <c r="AU33" s="6" cm="1">
        <f t="array" aca="1" ref="AU33" ca="1">IFERROR( INDIRECT(ADDRESS(ROW()+1, COLUMN(), 4, TRUE, "Import-dataset")) / INDIRECT(ADDRESS(ROW(), COLUMN(), 4, TRUE, "Import-dataset")), "" )</f>
        <v>1.1335227272727273</v>
      </c>
      <c r="AV33" s="6" cm="1">
        <f t="array" aca="1" ref="AV33" ca="1">IFERROR( INDIRECT(ADDRESS(ROW()+1, COLUMN(), 4, TRUE, "Import-dataset")) / INDIRECT(ADDRESS(ROW(), COLUMN(), 4, TRUE, "Import-dataset")), "" )</f>
        <v>1.0776831345826234</v>
      </c>
      <c r="AW33" s="6" cm="1">
        <f t="array" aca="1" ref="AW33" ca="1">IFERROR( INDIRECT(ADDRESS(ROW()+1, COLUMN(), 4, TRUE, "Import-dataset")) / INDIRECT(ADDRESS(ROW(), COLUMN(), 4, TRUE, "Import-dataset")), "" )</f>
        <v>1.0588235294117647</v>
      </c>
      <c r="AX33" s="6" cm="1">
        <f t="array" aca="1" ref="AX33" ca="1">IFERROR( INDIRECT(ADDRESS(ROW()+1, COLUMN(), 4, TRUE, "Import-dataset")) / INDIRECT(ADDRESS(ROW(), COLUMN(), 4, TRUE, "Import-dataset")), "" )</f>
        <v>1.0643120716921455</v>
      </c>
      <c r="AY33" s="6" cm="1">
        <f t="array" aca="1" ref="AY33" ca="1">IFERROR( INDIRECT(ADDRESS(ROW()+1, COLUMN(), 4, TRUE, "Import-dataset")) / INDIRECT(ADDRESS(ROW(), COLUMN(), 4, TRUE, "Import-dataset")), "" )</f>
        <v>1.2752533507682249</v>
      </c>
      <c r="AZ33" s="6" cm="1">
        <f t="array" aca="1" ref="AZ33" ca="1">IFERROR( INDIRECT(ADDRESS(ROW()+1, COLUMN(), 4, TRUE, "Import-dataset")) / INDIRECT(ADDRESS(ROW(), COLUMN(), 4, TRUE, "Import-dataset")), "" )</f>
        <v>1.1194029850746268</v>
      </c>
      <c r="BA33" s="6" cm="1">
        <f t="array" aca="1" ref="BA33" ca="1">IFERROR( INDIRECT(ADDRESS(ROW()+1, COLUMN(), 4, TRUE, "Import-dataset")) / INDIRECT(ADDRESS(ROW(), COLUMN(), 4, TRUE, "Import-dataset")), "" )</f>
        <v>1.1761873780091086</v>
      </c>
      <c r="BB33" s="6" cm="1">
        <f t="array" aca="1" ref="BB33" ca="1">IFERROR( INDIRECT(ADDRESS(ROW()+1, COLUMN(), 4, TRUE, "Import-dataset")) / INDIRECT(ADDRESS(ROW(), COLUMN(), 4, TRUE, "Import-dataset")), "" )</f>
        <v>1.0294319656075908</v>
      </c>
      <c r="BC33" s="6" cm="1">
        <f t="array" aca="1" ref="BC33" ca="1">IFERROR( INDIRECT(ADDRESS(ROW()+1, COLUMN(), 4, TRUE, "Import-dataset")) / INDIRECT(ADDRESS(ROW(), COLUMN(), 4, TRUE, "Import-dataset")), "" )</f>
        <v>1.2462733571278606</v>
      </c>
      <c r="BD33" s="6" cm="1">
        <f t="array" aca="1" ref="BD33" ca="1">IFERROR( INDIRECT(ADDRESS(ROW()+1, COLUMN(), 4, TRUE, "Import-dataset")) / INDIRECT(ADDRESS(ROW(), COLUMN(), 4, TRUE, "Import-dataset")), "" )</f>
        <v>1.1819616685456595</v>
      </c>
      <c r="BE33" s="6" cm="1">
        <f t="array" aca="1" ref="BE33" ca="1">IFERROR( INDIRECT(ADDRESS(ROW()+1, COLUMN(), 4, TRUE, "Import-dataset")) / INDIRECT(ADDRESS(ROW(), COLUMN(), 4, TRUE, "Import-dataset")), "" )</f>
        <v>1.1752738654147106</v>
      </c>
      <c r="BF33" s="6" cm="1">
        <f t="array" aca="1" ref="BF33" ca="1">IFERROR( INDIRECT(ADDRESS(ROW()+1, COLUMN(), 4, TRUE, "Import-dataset")) / INDIRECT(ADDRESS(ROW(), COLUMN(), 4, TRUE, "Import-dataset")), "" )</f>
        <v>1.1174887892376681</v>
      </c>
      <c r="BG33" s="6" cm="1">
        <f t="array" aca="1" ref="BG33" ca="1">IFERROR( INDIRECT(ADDRESS(ROW()+1, COLUMN(), 4, TRUE, "Import-dataset")) / INDIRECT(ADDRESS(ROW(), COLUMN(), 4, TRUE, "Import-dataset")), "" )</f>
        <v>1.1351892458766326</v>
      </c>
      <c r="BH33" s="6" cm="1">
        <f t="array" aca="1" ref="BH33" ca="1">IFERROR( INDIRECT(ADDRESS(ROW()+1, COLUMN(), 4, TRUE, "Import-dataset")) / INDIRECT(ADDRESS(ROW(), COLUMN(), 4, TRUE, "Import-dataset")), "" )</f>
        <v>1.1015143737166324</v>
      </c>
      <c r="BI33" s="6" cm="1">
        <f t="array" aca="1" ref="BI33" ca="1">IFERROR( INDIRECT(ADDRESS(ROW()+1, COLUMN(), 4, TRUE, "Import-dataset")) / INDIRECT(ADDRESS(ROW(), COLUMN(), 4, TRUE, "Import-dataset")), "" )</f>
        <v>1.1493475438956071</v>
      </c>
      <c r="BJ33" s="6" cm="1">
        <f t="array" aca="1" ref="BJ33" ca="1">IFERROR( INDIRECT(ADDRESS(ROW()+1, COLUMN(), 4, TRUE, "Import-dataset")) / INDIRECT(ADDRESS(ROW(), COLUMN(), 4, TRUE, "Import-dataset")), "" )</f>
        <v>1.0477913584217862</v>
      </c>
      <c r="BK33" s="6" cm="1">
        <f t="array" aca="1" ref="BK33" ca="1">IFERROR( INDIRECT(ADDRESS(ROW()+1, COLUMN(), 4, TRUE, "Import-dataset")) / INDIRECT(ADDRESS(ROW(), COLUMN(), 4, TRUE, "Import-dataset")), "" )</f>
        <v>0.35007337355291046</v>
      </c>
      <c r="BL33" s="6" cm="1">
        <f t="array" aca="1" ref="BL33" ca="1">IFERROR( INDIRECT(ADDRESS(ROW()+1, COLUMN(), 4, TRUE, "Import-dataset")) / INDIRECT(ADDRESS(ROW(), COLUMN(), 4, TRUE, "Import-dataset")), "" )</f>
        <v>1.0918882945946613</v>
      </c>
      <c r="BM33" s="6" cm="1">
        <f t="array" aca="1" ref="BM33" ca="1">IFERROR( INDIRECT(ADDRESS(ROW()+1, COLUMN(), 4, TRUE, "Import-dataset")) / INDIRECT(ADDRESS(ROW(), COLUMN(), 4, TRUE, "Import-dataset")), "" )</f>
        <v>1.098219766728054</v>
      </c>
      <c r="BN33" s="6" cm="1">
        <f t="array" aca="1" ref="BN33" ca="1">IFERROR( INDIRECT(ADDRESS(ROW()+1, COLUMN(), 4, TRUE, "Import-dataset")) / INDIRECT(ADDRESS(ROW(), COLUMN(), 4, TRUE, "Import-dataset")), "" )</f>
        <v>1.1452067669172932</v>
      </c>
      <c r="BO33" s="6" cm="1">
        <f t="array" aca="1" ref="BO33" ca="1">IFERROR( INDIRECT(ADDRESS(ROW()+1, COLUMN(), 4, TRUE, "Import-dataset")) / INDIRECT(ADDRESS(ROW(), COLUMN(), 4, TRUE, "Import-dataset")), "" )</f>
        <v>1.199089134677944</v>
      </c>
      <c r="BP33" s="6" cm="1">
        <f t="array" aca="1" ref="BP33" ca="1">IFERROR( INDIRECT(ADDRESS(ROW()+1, COLUMN(), 4, TRUE, "Import-dataset")) / INDIRECT(ADDRESS(ROW(), COLUMN(), 4, TRUE, "Import-dataset")), "" )</f>
        <v>1.0850503663003663</v>
      </c>
      <c r="BQ33" s="6" cm="1">
        <f t="array" aca="1" ref="BQ33" ca="1">IFERROR( INDIRECT(ADDRESS(ROW()+1, COLUMN(), 4, TRUE, "Import-dataset")) / INDIRECT(ADDRESS(ROW(), COLUMN(), 4, TRUE, "Import-dataset")), "" )</f>
        <v>1.067524115755627</v>
      </c>
      <c r="BR33" s="6" cm="1">
        <f t="array" aca="1" ref="BR33" ca="1">IFERROR( INDIRECT(ADDRESS(ROW()+1, COLUMN(), 4, TRUE, "Import-dataset")) / INDIRECT(ADDRESS(ROW(), COLUMN(), 4, TRUE, "Import-dataset")), "" )</f>
        <v>1.1253056234718826</v>
      </c>
      <c r="BS33" s="6" cm="1">
        <f t="array" aca="1" ref="BS33" ca="1">IFERROR( INDIRECT(ADDRESS(ROW()+1, COLUMN(), 4, TRUE, "Import-dataset")) / INDIRECT(ADDRESS(ROW(), COLUMN(), 4, TRUE, "Import-dataset")), "" )</f>
        <v>1.0620538165842943</v>
      </c>
      <c r="BT33" s="6" cm="1">
        <f t="array" aca="1" ref="BT33" ca="1">IFERROR( INDIRECT(ADDRESS(ROW()+1, COLUMN(), 4, TRUE, "Import-dataset")) / INDIRECT(ADDRESS(ROW(), COLUMN(), 4, TRUE, "Import-dataset")), "" )</f>
        <v>1.0594216485180645</v>
      </c>
      <c r="BU33" s="6" cm="1">
        <f t="array" aca="1" ref="BU33" ca="1">IFERROR( INDIRECT(ADDRESS(ROW()+1, COLUMN(), 4, TRUE, "Import-dataset")) / INDIRECT(ADDRESS(ROW(), COLUMN(), 4, TRUE, "Import-dataset")), "" )</f>
        <v>0.56736925737252886</v>
      </c>
      <c r="BV33" s="6" cm="1">
        <f t="array" aca="1" ref="BV33" ca="1">IFERROR( INDIRECT(ADDRESS(ROW()+1, COLUMN(), 4, TRUE, "Import-dataset")) / INDIRECT(ADDRESS(ROW(), COLUMN(), 4, TRUE, "Import-dataset")), "" )</f>
        <v>0.41666666666666669</v>
      </c>
      <c r="BW33" s="6" cm="1">
        <f t="array" aca="1" ref="BW33" ca="1">IFERROR( INDIRECT(ADDRESS(ROW()+1, COLUMN(), 4, TRUE, "Import-dataset")) / INDIRECT(ADDRESS(ROW(), COLUMN(), 4, TRUE, "Import-dataset")), "" )</f>
        <v>1.4285714285714286</v>
      </c>
      <c r="BX33" s="6" cm="1">
        <f t="array" aca="1" ref="BX33" ca="1">IFERROR( INDIRECT(ADDRESS(ROW()+1, COLUMN(), 4, TRUE, "Import-dataset")) / INDIRECT(ADDRESS(ROW(), COLUMN(), 4, TRUE, "Import-dataset")), "" )</f>
        <v>2.3333333333333335</v>
      </c>
      <c r="BY33" s="6" cm="1">
        <f t="array" aca="1" ref="BY33" ca="1">IFERROR( INDIRECT(ADDRESS(ROW()+1, COLUMN(), 4, TRUE, "Import-dataset")) / INDIRECT(ADDRESS(ROW(), COLUMN(), 4, TRUE, "Import-dataset")), "" )</f>
        <v>1.0265273311897105</v>
      </c>
      <c r="BZ33" s="6" cm="1">
        <f t="array" aca="1" ref="BZ33" ca="1">IFERROR( INDIRECT(ADDRESS(ROW()+1, COLUMN(), 4, TRUE, "Import-dataset")) / INDIRECT(ADDRESS(ROW(), COLUMN(), 4, TRUE, "Import-dataset")), "" )</f>
        <v>0.37721268163804489</v>
      </c>
      <c r="CA33" s="6" cm="1">
        <f t="array" aca="1" ref="CA33" ca="1">IFERROR( INDIRECT(ADDRESS(ROW()+1, COLUMN(), 4, TRUE, "Import-dataset")) / INDIRECT(ADDRESS(ROW(), COLUMN(), 4, TRUE, "Import-dataset")), "" )</f>
        <v>1.0546635170712926</v>
      </c>
    </row>
    <row r="34" spans="1:79">
      <c r="A34" s="6" t="s">
        <v>191</v>
      </c>
      <c r="B34" s="6" cm="1">
        <f t="array" aca="1" ref="B34" ca="1">IFERROR( INDIRECT(ADDRESS(ROW()+1, COLUMN(), 4, TRUE, "Import-dataset")) / INDIRECT(ADDRESS(ROW(), COLUMN(), 4, TRUE, "Import-dataset")), "" )</f>
        <v>1.119349722442506</v>
      </c>
      <c r="C34" s="6" cm="1">
        <f t="array" aca="1" ref="C34" ca="1">IFERROR( INDIRECT(ADDRESS(ROW()+1, COLUMN(), 4, TRUE, "Import-dataset")) / INDIRECT(ADDRESS(ROW(), COLUMN(), 4, TRUE, "Import-dataset")), "" )</f>
        <v>0.86309523809523814</v>
      </c>
      <c r="D34" s="6" cm="1">
        <f t="array" aca="1" ref="D34" ca="1">IFERROR( INDIRECT(ADDRESS(ROW()+1, COLUMN(), 4, TRUE, "Import-dataset")) / INDIRECT(ADDRESS(ROW(), COLUMN(), 4, TRUE, "Import-dataset")), "" )</f>
        <v>1.2518248175182483</v>
      </c>
      <c r="E34" s="6" cm="1">
        <f t="array" aca="1" ref="E34" ca="1">IFERROR( INDIRECT(ADDRESS(ROW()+1, COLUMN(), 4, TRUE, "Import-dataset")) / INDIRECT(ADDRESS(ROW(), COLUMN(), 4, TRUE, "Import-dataset")), "" )</f>
        <v>1.0401408450704226</v>
      </c>
      <c r="F34" s="6" cm="1">
        <f t="array" aca="1" ref="F34" ca="1">IFERROR( INDIRECT(ADDRESS(ROW()+1, COLUMN(), 4, TRUE, "Import-dataset")) / INDIRECT(ADDRESS(ROW(), COLUMN(), 4, TRUE, "Import-dataset")), "" )</f>
        <v>1.0104321907600595</v>
      </c>
      <c r="G34" s="6" cm="1">
        <f t="array" aca="1" ref="G34" ca="1">IFERROR( INDIRECT(ADDRESS(ROW()+1, COLUMN(), 4, TRUE, "Import-dataset")) / INDIRECT(ADDRESS(ROW(), COLUMN(), 4, TRUE, "Import-dataset")), "" )</f>
        <v>1.2954699121027722</v>
      </c>
      <c r="H34" s="6" cm="1">
        <f t="array" aca="1" ref="H34" ca="1">IFERROR( INDIRECT(ADDRESS(ROW()+1, COLUMN(), 4, TRUE, "Import-dataset")) / INDIRECT(ADDRESS(ROW(), COLUMN(), 4, TRUE, "Import-dataset")), "" )</f>
        <v>1.0600680015111448</v>
      </c>
      <c r="I34" s="6" cm="1">
        <f t="array" aca="1" ref="I34" ca="1">IFERROR( INDIRECT(ADDRESS(ROW()+1, COLUMN(), 4, TRUE, "Import-dataset")) / INDIRECT(ADDRESS(ROW(), COLUMN(), 4, TRUE, "Import-dataset")), "" )</f>
        <v>1.0041407867494825</v>
      </c>
      <c r="J34" s="6" cm="1">
        <f t="array" aca="1" ref="J34" ca="1">IFERROR( INDIRECT(ADDRESS(ROW()+1, COLUMN(), 4, TRUE, "Import-dataset")) / INDIRECT(ADDRESS(ROW(), COLUMN(), 4, TRUE, "Import-dataset")), "" )</f>
        <v>1.0492368291482028</v>
      </c>
      <c r="K34" s="6" cm="1">
        <f t="array" aca="1" ref="K34" ca="1">IFERROR( INDIRECT(ADDRESS(ROW()+1, COLUMN(), 4, TRUE, "Import-dataset")) / INDIRECT(ADDRESS(ROW(), COLUMN(), 4, TRUE, "Import-dataset")), "" )</f>
        <v>1.1254545454545455</v>
      </c>
      <c r="L34" s="6" cm="1">
        <f t="array" aca="1" ref="L34" ca="1">IFERROR( INDIRECT(ADDRESS(ROW()+1, COLUMN(), 4, TRUE, "Import-dataset")) / INDIRECT(ADDRESS(ROW(), COLUMN(), 4, TRUE, "Import-dataset")), "" )</f>
        <v>1.2383838383838384</v>
      </c>
      <c r="M34" s="6" cm="1">
        <f t="array" aca="1" ref="M34" ca="1">IFERROR( INDIRECT(ADDRESS(ROW()+1, COLUMN(), 4, TRUE, "Import-dataset")) / INDIRECT(ADDRESS(ROW(), COLUMN(), 4, TRUE, "Import-dataset")), "" )</f>
        <v>1.0725783676927421</v>
      </c>
      <c r="N34" s="6" cm="1">
        <f t="array" aca="1" ref="N34" ca="1">IFERROR( INDIRECT(ADDRESS(ROW()+1, COLUMN(), 4, TRUE, "Import-dataset")) / INDIRECT(ADDRESS(ROW(), COLUMN(), 4, TRUE, "Import-dataset")), "" )</f>
        <v>1.0838709677419356</v>
      </c>
      <c r="O34" s="6" cm="1">
        <f t="array" aca="1" ref="O34" ca="1">IFERROR( INDIRECT(ADDRESS(ROW()+1, COLUMN(), 4, TRUE, "Import-dataset")) / INDIRECT(ADDRESS(ROW(), COLUMN(), 4, TRUE, "Import-dataset")), "" )</f>
        <v>1.0470366886171214</v>
      </c>
      <c r="P34" s="6" cm="1">
        <f t="array" aca="1" ref="P34" ca="1">IFERROR( INDIRECT(ADDRESS(ROW()+1, COLUMN(), 4, TRUE, "Import-dataset")) / INDIRECT(ADDRESS(ROW(), COLUMN(), 4, TRUE, "Import-dataset")), "" )</f>
        <v>0.78745294855708914</v>
      </c>
      <c r="Q34" s="6" cm="1">
        <f t="array" aca="1" ref="Q34" ca="1">IFERROR( INDIRECT(ADDRESS(ROW()+1, COLUMN(), 4, TRUE, "Import-dataset")) / INDIRECT(ADDRESS(ROW(), COLUMN(), 4, TRUE, "Import-dataset")), "" )</f>
        <v>3.5</v>
      </c>
      <c r="R34" s="6" cm="1">
        <f t="array" aca="1" ref="R34" ca="1">IFERROR( INDIRECT(ADDRESS(ROW()+1, COLUMN(), 4, TRUE, "Import-dataset")) / INDIRECT(ADDRESS(ROW(), COLUMN(), 4, TRUE, "Import-dataset")), "" )</f>
        <v>1.1043478260869566</v>
      </c>
      <c r="S34" s="6" cm="1">
        <f t="array" aca="1" ref="S34" ca="1">IFERROR( INDIRECT(ADDRESS(ROW()+1, COLUMN(), 4, TRUE, "Import-dataset")) / INDIRECT(ADDRESS(ROW(), COLUMN(), 4, TRUE, "Import-dataset")), "" )</f>
        <v>0.91874999999999996</v>
      </c>
      <c r="T34" s="6" cm="1">
        <f t="array" aca="1" ref="T34" ca="1">IFERROR( INDIRECT(ADDRESS(ROW()+1, COLUMN(), 4, TRUE, "Import-dataset")) / INDIRECT(ADDRESS(ROW(), COLUMN(), 4, TRUE, "Import-dataset")), "" )</f>
        <v>0.7694524495677233</v>
      </c>
      <c r="U34" s="6" cm="1">
        <f t="array" aca="1" ref="U34" ca="1">IFERROR( INDIRECT(ADDRESS(ROW()+1, COLUMN(), 4, TRUE, "Import-dataset")) / INDIRECT(ADDRESS(ROW(), COLUMN(), 4, TRUE, "Import-dataset")), "" )</f>
        <v>0.91549295774647887</v>
      </c>
      <c r="V34" s="6" cm="1">
        <f t="array" aca="1" ref="V34" ca="1">IFERROR( INDIRECT(ADDRESS(ROW()+1, COLUMN(), 4, TRUE, "Import-dataset")) / INDIRECT(ADDRESS(ROW(), COLUMN(), 4, TRUE, "Import-dataset")), "" )</f>
        <v>0.98989898989898994</v>
      </c>
      <c r="W34" s="6" cm="1">
        <f t="array" aca="1" ref="W34" ca="1">IFERROR( INDIRECT(ADDRESS(ROW()+1, COLUMN(), 4, TRUE, "Import-dataset")) / INDIRECT(ADDRESS(ROW(), COLUMN(), 4, TRUE, "Import-dataset")), "" )</f>
        <v>0.90506329113924056</v>
      </c>
      <c r="X34" s="6" cm="1">
        <f t="array" aca="1" ref="X34" ca="1">IFERROR( INDIRECT(ADDRESS(ROW()+1, COLUMN(), 4, TRUE, "Import-dataset")) / INDIRECT(ADDRESS(ROW(), COLUMN(), 4, TRUE, "Import-dataset")), "" )</f>
        <v>0.56967840735068909</v>
      </c>
      <c r="Y34" s="6" cm="1">
        <f t="array" aca="1" ref="Y34" ca="1">IFERROR( INDIRECT(ADDRESS(ROW()+1, COLUMN(), 4, TRUE, "Import-dataset")) / INDIRECT(ADDRESS(ROW(), COLUMN(), 4, TRUE, "Import-dataset")), "" )</f>
        <v>1.0045317220543806</v>
      </c>
      <c r="Z34" s="6" cm="1">
        <f t="array" aca="1" ref="Z34" ca="1">IFERROR( INDIRECT(ADDRESS(ROW()+1, COLUMN(), 4, TRUE, "Import-dataset")) / INDIRECT(ADDRESS(ROW(), COLUMN(), 4, TRUE, "Import-dataset")), "" )</f>
        <v>0.95759281200631907</v>
      </c>
      <c r="AA34" s="6" cm="1">
        <f t="array" aca="1" ref="AA34" ca="1">IFERROR( INDIRECT(ADDRESS(ROW()+1, COLUMN(), 4, TRUE, "Import-dataset")) / INDIRECT(ADDRESS(ROW(), COLUMN(), 4, TRUE, "Import-dataset")), "" )</f>
        <v>1.1404494382022472</v>
      </c>
      <c r="AB34" s="6" cm="1">
        <f t="array" aca="1" ref="AB34" ca="1">IFERROR( INDIRECT(ADDRESS(ROW()+1, COLUMN(), 4, TRUE, "Import-dataset")) / INDIRECT(ADDRESS(ROW(), COLUMN(), 4, TRUE, "Import-dataset")), "" )</f>
        <v>0.960197261371317</v>
      </c>
      <c r="AC34" s="6" cm="1">
        <f t="array" aca="1" ref="AC34" ca="1">IFERROR( INDIRECT(ADDRESS(ROW()+1, COLUMN(), 4, TRUE, "Import-dataset")) / INDIRECT(ADDRESS(ROW(), COLUMN(), 4, TRUE, "Import-dataset")), "" )</f>
        <v>0.60512820512820509</v>
      </c>
      <c r="AD34" s="6" cm="1">
        <f t="array" aca="1" ref="AD34" ca="1">IFERROR( INDIRECT(ADDRESS(ROW()+1, COLUMN(), 4, TRUE, "Import-dataset")) / INDIRECT(ADDRESS(ROW(), COLUMN(), 4, TRUE, "Import-dataset")), "" )</f>
        <v>0.95899470899470896</v>
      </c>
      <c r="AE34" s="6" cm="1">
        <f t="array" aca="1" ref="AE34" ca="1">IFERROR( INDIRECT(ADDRESS(ROW()+1, COLUMN(), 4, TRUE, "Import-dataset")) / INDIRECT(ADDRESS(ROW(), COLUMN(), 4, TRUE, "Import-dataset")), "" )</f>
        <v>1.1857142857142857</v>
      </c>
      <c r="AF34" s="6" cm="1">
        <f t="array" aca="1" ref="AF34" ca="1">IFERROR( INDIRECT(ADDRESS(ROW()+1, COLUMN(), 4, TRUE, "Import-dataset")) / INDIRECT(ADDRESS(ROW(), COLUMN(), 4, TRUE, "Import-dataset")), "" )</f>
        <v>0.92344497607655507</v>
      </c>
      <c r="AG34" s="6" cm="1">
        <f t="array" aca="1" ref="AG34" ca="1">IFERROR( INDIRECT(ADDRESS(ROW()+1, COLUMN(), 4, TRUE, "Import-dataset")) / INDIRECT(ADDRESS(ROW(), COLUMN(), 4, TRUE, "Import-dataset")), "" )</f>
        <v>1.1851851851851851</v>
      </c>
      <c r="AH34" s="6" cm="1">
        <f t="array" aca="1" ref="AH34" ca="1">IFERROR( INDIRECT(ADDRESS(ROW()+1, COLUMN(), 4, TRUE, "Import-dataset")) / INDIRECT(ADDRESS(ROW(), COLUMN(), 4, TRUE, "Import-dataset")), "" )</f>
        <v>1.0397828199886048</v>
      </c>
      <c r="AI34" s="6" cm="1">
        <f t="array" aca="1" ref="AI34" ca="1">IFERROR( INDIRECT(ADDRESS(ROW()+1, COLUMN(), 4, TRUE, "Import-dataset")) / INDIRECT(ADDRESS(ROW(), COLUMN(), 4, TRUE, "Import-dataset")), "" )</f>
        <v>0.90147586757080178</v>
      </c>
      <c r="AJ34" s="6" cm="1">
        <f t="array" aca="1" ref="AJ34" ca="1">IFERROR( INDIRECT(ADDRESS(ROW()+1, COLUMN(), 4, TRUE, "Import-dataset")) / INDIRECT(ADDRESS(ROW(), COLUMN(), 4, TRUE, "Import-dataset")), "" )</f>
        <v>0.93134598012646796</v>
      </c>
      <c r="AK34" s="6" cm="1">
        <f t="array" aca="1" ref="AK34" ca="1">IFERROR( INDIRECT(ADDRESS(ROW()+1, COLUMN(), 4, TRUE, "Import-dataset")) / INDIRECT(ADDRESS(ROW(), COLUMN(), 4, TRUE, "Import-dataset")), "" )</f>
        <v>0.97569756975697575</v>
      </c>
      <c r="AL34" s="6" cm="1">
        <f t="array" aca="1" ref="AL34" ca="1">IFERROR( INDIRECT(ADDRESS(ROW()+1, COLUMN(), 4, TRUE, "Import-dataset")) / INDIRECT(ADDRESS(ROW(), COLUMN(), 4, TRUE, "Import-dataset")), "" )</f>
        <v>1.1128840604311663</v>
      </c>
      <c r="AM34" s="6" cm="1">
        <f t="array" aca="1" ref="AM34" ca="1">IFERROR( INDIRECT(ADDRESS(ROW()+1, COLUMN(), 4, TRUE, "Import-dataset")) / INDIRECT(ADDRESS(ROW(), COLUMN(), 4, TRUE, "Import-dataset")), "" )</f>
        <v>1.0751043115438108</v>
      </c>
      <c r="AN34" s="6" cm="1">
        <f t="array" aca="1" ref="AN34" ca="1">IFERROR( INDIRECT(ADDRESS(ROW()+1, COLUMN(), 4, TRUE, "Import-dataset")) / INDIRECT(ADDRESS(ROW(), COLUMN(), 4, TRUE, "Import-dataset")), "" )</f>
        <v>1.122715404699739</v>
      </c>
      <c r="AO34" s="6" cm="1">
        <f t="array" aca="1" ref="AO34" ca="1">IFERROR( INDIRECT(ADDRESS(ROW()+1, COLUMN(), 4, TRUE, "Import-dataset")) / INDIRECT(ADDRESS(ROW(), COLUMN(), 4, TRUE, "Import-dataset")), "" )</f>
        <v>0.89878048780487807</v>
      </c>
      <c r="AP34" s="6" cm="1">
        <f t="array" aca="1" ref="AP34" ca="1">IFERROR( INDIRECT(ADDRESS(ROW()+1, COLUMN(), 4, TRUE, "Import-dataset")) / INDIRECT(ADDRESS(ROW(), COLUMN(), 4, TRUE, "Import-dataset")), "" )</f>
        <v>1.0136612021857923</v>
      </c>
      <c r="AQ34" s="6" cm="1">
        <f t="array" aca="1" ref="AQ34" ca="1">IFERROR( INDIRECT(ADDRESS(ROW()+1, COLUMN(), 4, TRUE, "Import-dataset")) / INDIRECT(ADDRESS(ROW(), COLUMN(), 4, TRUE, "Import-dataset")), "" )</f>
        <v>0.97753875355900033</v>
      </c>
      <c r="AR34" s="6" cm="1">
        <f t="array" aca="1" ref="AR34" ca="1">IFERROR( INDIRECT(ADDRESS(ROW()+1, COLUMN(), 4, TRUE, "Import-dataset")) / INDIRECT(ADDRESS(ROW(), COLUMN(), 4, TRUE, "Import-dataset")), "" )</f>
        <v>0.99516074345775674</v>
      </c>
      <c r="AS34" s="6" cm="1">
        <f t="array" aca="1" ref="AS34" ca="1">IFERROR( INDIRECT(ADDRESS(ROW()+1, COLUMN(), 4, TRUE, "Import-dataset")) / INDIRECT(ADDRESS(ROW(), COLUMN(), 4, TRUE, "Import-dataset")), "" )</f>
        <v>0.9285714285714286</v>
      </c>
      <c r="AT34" s="6" cm="1">
        <f t="array" aca="1" ref="AT34" ca="1">IFERROR( INDIRECT(ADDRESS(ROW()+1, COLUMN(), 4, TRUE, "Import-dataset")) / INDIRECT(ADDRESS(ROW(), COLUMN(), 4, TRUE, "Import-dataset")), "" )</f>
        <v>1.0695915279878971</v>
      </c>
      <c r="AU34" s="6" cm="1">
        <f t="array" aca="1" ref="AU34" ca="1">IFERROR( INDIRECT(ADDRESS(ROW()+1, COLUMN(), 4, TRUE, "Import-dataset")) / INDIRECT(ADDRESS(ROW(), COLUMN(), 4, TRUE, "Import-dataset")), "" )</f>
        <v>0.95050125313283207</v>
      </c>
      <c r="AV34" s="6" cm="1">
        <f t="array" aca="1" ref="AV34" ca="1">IFERROR( INDIRECT(ADDRESS(ROW()+1, COLUMN(), 4, TRUE, "Import-dataset")) / INDIRECT(ADDRESS(ROW(), COLUMN(), 4, TRUE, "Import-dataset")), "" )</f>
        <v>1.0546949098956686</v>
      </c>
      <c r="AW34" s="6" cm="1">
        <f t="array" aca="1" ref="AW34" ca="1">IFERROR( INDIRECT(ADDRESS(ROW()+1, COLUMN(), 4, TRUE, "Import-dataset")) / INDIRECT(ADDRESS(ROW(), COLUMN(), 4, TRUE, "Import-dataset")), "" )</f>
        <v>1.0047169811320755</v>
      </c>
      <c r="AX34" s="6" cm="1">
        <f t="array" aca="1" ref="AX34" ca="1">IFERROR( INDIRECT(ADDRESS(ROW()+1, COLUMN(), 4, TRUE, "Import-dataset")) / INDIRECT(ADDRESS(ROW(), COLUMN(), 4, TRUE, "Import-dataset")), "" )</f>
        <v>1.0178306092124814</v>
      </c>
      <c r="AY34" s="6" cm="1">
        <f t="array" aca="1" ref="AY34" ca="1">IFERROR( INDIRECT(ADDRESS(ROW()+1, COLUMN(), 4, TRUE, "Import-dataset")) / INDIRECT(ADDRESS(ROW(), COLUMN(), 4, TRUE, "Import-dataset")), "" )</f>
        <v>0.83850294796206104</v>
      </c>
      <c r="AZ34" s="6" cm="1">
        <f t="array" aca="1" ref="AZ34" ca="1">IFERROR( INDIRECT(ADDRESS(ROW()+1, COLUMN(), 4, TRUE, "Import-dataset")) / INDIRECT(ADDRESS(ROW(), COLUMN(), 4, TRUE, "Import-dataset")), "" )</f>
        <v>1.0356756756756758</v>
      </c>
      <c r="BA34" s="6" cm="1">
        <f t="array" aca="1" ref="BA34" ca="1">IFERROR( INDIRECT(ADDRESS(ROW()+1, COLUMN(), 4, TRUE, "Import-dataset")) / INDIRECT(ADDRESS(ROW(), COLUMN(), 4, TRUE, "Import-dataset")), "" )</f>
        <v>0.99092820002212634</v>
      </c>
      <c r="BB34" s="6" cm="1">
        <f t="array" aca="1" ref="BB34" ca="1">IFERROR( INDIRECT(ADDRESS(ROW()+1, COLUMN(), 4, TRUE, "Import-dataset")) / INDIRECT(ADDRESS(ROW(), COLUMN(), 4, TRUE, "Import-dataset")), "" )</f>
        <v>1.0155019603966919</v>
      </c>
      <c r="BC34" s="6" cm="1">
        <f t="array" aca="1" ref="BC34" ca="1">IFERROR( INDIRECT(ADDRESS(ROW()+1, COLUMN(), 4, TRUE, "Import-dataset")) / INDIRECT(ADDRESS(ROW(), COLUMN(), 4, TRUE, "Import-dataset")), "" )</f>
        <v>1.0630053908355794</v>
      </c>
      <c r="BD34" s="6" cm="1">
        <f t="array" aca="1" ref="BD34" ca="1">IFERROR( INDIRECT(ADDRESS(ROW()+1, COLUMN(), 4, TRUE, "Import-dataset")) / INDIRECT(ADDRESS(ROW(), COLUMN(), 4, TRUE, "Import-dataset")), "" )</f>
        <v>1.0194582220526516</v>
      </c>
      <c r="BE34" s="6" cm="1">
        <f t="array" aca="1" ref="BE34" ca="1">IFERROR( INDIRECT(ADDRESS(ROW()+1, COLUMN(), 4, TRUE, "Import-dataset")) / INDIRECT(ADDRESS(ROW(), COLUMN(), 4, TRUE, "Import-dataset")), "" )</f>
        <v>1.1504660452729694</v>
      </c>
      <c r="BF34" s="6" cm="1">
        <f t="array" aca="1" ref="BF34" ca="1">IFERROR( INDIRECT(ADDRESS(ROW()+1, COLUMN(), 4, TRUE, "Import-dataset")) / INDIRECT(ADDRESS(ROW(), COLUMN(), 4, TRUE, "Import-dataset")), "" )</f>
        <v>1.0464151952915999</v>
      </c>
      <c r="BG34" s="6" cm="1">
        <f t="array" aca="1" ref="BG34" ca="1">IFERROR( INDIRECT(ADDRESS(ROW()+1, COLUMN(), 4, TRUE, "Import-dataset")) / INDIRECT(ADDRESS(ROW(), COLUMN(), 4, TRUE, "Import-dataset")), "" )</f>
        <v>0.98572268413538255</v>
      </c>
      <c r="BH34" s="6" cm="1">
        <f t="array" aca="1" ref="BH34" ca="1">IFERROR( INDIRECT(ADDRESS(ROW()+1, COLUMN(), 4, TRUE, "Import-dataset")) / INDIRECT(ADDRESS(ROW(), COLUMN(), 4, TRUE, "Import-dataset")), "" )</f>
        <v>1.0280787603402073</v>
      </c>
      <c r="BI34" s="6" cm="1">
        <f t="array" aca="1" ref="BI34" ca="1">IFERROR( INDIRECT(ADDRESS(ROW()+1, COLUMN(), 4, TRUE, "Import-dataset")) / INDIRECT(ADDRESS(ROW(), COLUMN(), 4, TRUE, "Import-dataset")), "" )</f>
        <v>1.0373298460441063</v>
      </c>
      <c r="BJ34" s="6" cm="1">
        <f t="array" aca="1" ref="BJ34" ca="1">IFERROR( INDIRECT(ADDRESS(ROW()+1, COLUMN(), 4, TRUE, "Import-dataset")) / INDIRECT(ADDRESS(ROW(), COLUMN(), 4, TRUE, "Import-dataset")), "" )</f>
        <v>0.95382568877746798</v>
      </c>
      <c r="BK34" s="6" cm="1">
        <f t="array" aca="1" ref="BK34" ca="1">IFERROR( INDIRECT(ADDRESS(ROW()+1, COLUMN(), 4, TRUE, "Import-dataset")) / INDIRECT(ADDRESS(ROW(), COLUMN(), 4, TRUE, "Import-dataset")), "" )</f>
        <v>1.3181183046110851</v>
      </c>
      <c r="BL34" s="6" cm="1">
        <f t="array" aca="1" ref="BL34" ca="1">IFERROR( INDIRECT(ADDRESS(ROW()+1, COLUMN(), 4, TRUE, "Import-dataset")) / INDIRECT(ADDRESS(ROW(), COLUMN(), 4, TRUE, "Import-dataset")), "" )</f>
        <v>1.0453509108557755</v>
      </c>
      <c r="BM34" s="6" cm="1">
        <f t="array" aca="1" ref="BM34" ca="1">IFERROR( INDIRECT(ADDRESS(ROW()+1, COLUMN(), 4, TRUE, "Import-dataset")) / INDIRECT(ADDRESS(ROW(), COLUMN(), 4, TRUE, "Import-dataset")), "" )</f>
        <v>0.97372833985466745</v>
      </c>
      <c r="BN34" s="6" cm="1">
        <f t="array" aca="1" ref="BN34" ca="1">IFERROR( INDIRECT(ADDRESS(ROW()+1, COLUMN(), 4, TRUE, "Import-dataset")) / INDIRECT(ADDRESS(ROW(), COLUMN(), 4, TRUE, "Import-dataset")), "" )</f>
        <v>1.0223635617562576</v>
      </c>
      <c r="BO34" s="6" cm="1">
        <f t="array" aca="1" ref="BO34" ca="1">IFERROR( INDIRECT(ADDRESS(ROW()+1, COLUMN(), 4, TRUE, "Import-dataset")) / INDIRECT(ADDRESS(ROW(), COLUMN(), 4, TRUE, "Import-dataset")), "" )</f>
        <v>1.0233315246880086</v>
      </c>
      <c r="BP34" s="6" cm="1">
        <f t="array" aca="1" ref="BP34" ca="1">IFERROR( INDIRECT(ADDRESS(ROW()+1, COLUMN(), 4, TRUE, "Import-dataset")) / INDIRECT(ADDRESS(ROW(), COLUMN(), 4, TRUE, "Import-dataset")), "" )</f>
        <v>1.0765903576326616</v>
      </c>
      <c r="BQ34" s="6" cm="1">
        <f t="array" aca="1" ref="BQ34" ca="1">IFERROR( INDIRECT(ADDRESS(ROW()+1, COLUMN(), 4, TRUE, "Import-dataset")) / INDIRECT(ADDRESS(ROW(), COLUMN(), 4, TRUE, "Import-dataset")), "" )</f>
        <v>1.1032702237521514</v>
      </c>
      <c r="BR34" s="6" cm="1">
        <f t="array" aca="1" ref="BR34" ca="1">IFERROR( INDIRECT(ADDRESS(ROW()+1, COLUMN(), 4, TRUE, "Import-dataset")) / INDIRECT(ADDRESS(ROW(), COLUMN(), 4, TRUE, "Import-dataset")), "" )</f>
        <v>1.0491580662683324</v>
      </c>
      <c r="BS34" s="6" cm="1">
        <f t="array" aca="1" ref="BS34" ca="1">IFERROR( INDIRECT(ADDRESS(ROW()+1, COLUMN(), 4, TRUE, "Import-dataset")) / INDIRECT(ADDRESS(ROW(), COLUMN(), 4, TRUE, "Import-dataset")), "" )</f>
        <v>1.0744570837642193</v>
      </c>
      <c r="BT34" s="6" cm="1">
        <f t="array" aca="1" ref="BT34" ca="1">IFERROR( INDIRECT(ADDRESS(ROW()+1, COLUMN(), 4, TRUE, "Import-dataset")) / INDIRECT(ADDRESS(ROW(), COLUMN(), 4, TRUE, "Import-dataset")), "" )</f>
        <v>1.0300864474848548</v>
      </c>
      <c r="BU34" s="6" cm="1">
        <f t="array" aca="1" ref="BU34" ca="1">IFERROR( INDIRECT(ADDRESS(ROW()+1, COLUMN(), 4, TRUE, "Import-dataset")) / INDIRECT(ADDRESS(ROW(), COLUMN(), 4, TRUE, "Import-dataset")), "" )</f>
        <v>0.92677100494233933</v>
      </c>
      <c r="BV34" s="6" cm="1">
        <f t="array" aca="1" ref="BV34" ca="1">IFERROR( INDIRECT(ADDRESS(ROW()+1, COLUMN(), 4, TRUE, "Import-dataset")) / INDIRECT(ADDRESS(ROW(), COLUMN(), 4, TRUE, "Import-dataset")), "" )</f>
        <v>1</v>
      </c>
      <c r="BW34" s="6" cm="1">
        <f t="array" aca="1" ref="BW34" ca="1">IFERROR( INDIRECT(ADDRESS(ROW()+1, COLUMN(), 4, TRUE, "Import-dataset")) / INDIRECT(ADDRESS(ROW(), COLUMN(), 4, TRUE, "Import-dataset")), "" )</f>
        <v>1.1000000000000001</v>
      </c>
      <c r="BX34" s="6" cm="1">
        <f t="array" aca="1" ref="BX34" ca="1">IFERROR( INDIRECT(ADDRESS(ROW()+1, COLUMN(), 4, TRUE, "Import-dataset")) / INDIRECT(ADDRESS(ROW(), COLUMN(), 4, TRUE, "Import-dataset")), "" )</f>
        <v>0.2857142857142857</v>
      </c>
      <c r="BY34" s="6" cm="1">
        <f t="array" aca="1" ref="BY34" ca="1">IFERROR( INDIRECT(ADDRESS(ROW()+1, COLUMN(), 4, TRUE, "Import-dataset")) / INDIRECT(ADDRESS(ROW(), COLUMN(), 4, TRUE, "Import-dataset")), "" )</f>
        <v>1.060610806577917</v>
      </c>
      <c r="BZ34" s="6" cm="1">
        <f t="array" aca="1" ref="BZ34" ca="1">IFERROR( INDIRECT(ADDRESS(ROW()+1, COLUMN(), 4, TRUE, "Import-dataset")) / INDIRECT(ADDRESS(ROW(), COLUMN(), 4, TRUE, "Import-dataset")), "" )</f>
        <v>0.776396427946069</v>
      </c>
      <c r="CA34" s="6" cm="1">
        <f t="array" aca="1" ref="CA34" ca="1">IFERROR( INDIRECT(ADDRESS(ROW()+1, COLUMN(), 4, TRUE, "Import-dataset")) / INDIRECT(ADDRESS(ROW(), COLUMN(), 4, TRUE, "Import-dataset")), "" )</f>
        <v>1.0115079756618977</v>
      </c>
    </row>
    <row r="35" spans="1:79">
      <c r="A35" s="6" t="s">
        <v>192</v>
      </c>
      <c r="B35" s="6" cm="1">
        <f t="array" aca="1" ref="B35" ca="1">IFERROR( INDIRECT(ADDRESS(ROW()+1, COLUMN(), 4, TRUE, "Import-dataset")) / INDIRECT(ADDRESS(ROW(), COLUMN(), 4, TRUE, "Import-dataset")), "" )</f>
        <v>1.0394969890187744</v>
      </c>
      <c r="C35" s="6" cm="1">
        <f t="array" aca="1" ref="C35" ca="1">IFERROR( INDIRECT(ADDRESS(ROW()+1, COLUMN(), 4, TRUE, "Import-dataset")) / INDIRECT(ADDRESS(ROW(), COLUMN(), 4, TRUE, "Import-dataset")), "" )</f>
        <v>1.0827586206896551</v>
      </c>
      <c r="D35" s="6" cm="1">
        <f t="array" aca="1" ref="D35" ca="1">IFERROR( INDIRECT(ADDRESS(ROW()+1, COLUMN(), 4, TRUE, "Import-dataset")) / INDIRECT(ADDRESS(ROW(), COLUMN(), 4, TRUE, "Import-dataset")), "" )</f>
        <v>0.87949465500485913</v>
      </c>
      <c r="E35" s="6" cm="1">
        <f t="array" aca="1" ref="E35" ca="1">IFERROR( INDIRECT(ADDRESS(ROW()+1, COLUMN(), 4, TRUE, "Import-dataset")) / INDIRECT(ADDRESS(ROW(), COLUMN(), 4, TRUE, "Import-dataset")), "" )</f>
        <v>1.0758293838862558</v>
      </c>
      <c r="F35" s="6" cm="1">
        <f t="array" aca="1" ref="F35" ca="1">IFERROR( INDIRECT(ADDRESS(ROW()+1, COLUMN(), 4, TRUE, "Import-dataset")) / INDIRECT(ADDRESS(ROW(), COLUMN(), 4, TRUE, "Import-dataset")), "" )</f>
        <v>0.92527040314650932</v>
      </c>
      <c r="G35" s="6" cm="1">
        <f t="array" aca="1" ref="G35" ca="1">IFERROR( INDIRECT(ADDRESS(ROW()+1, COLUMN(), 4, TRUE, "Import-dataset")) / INDIRECT(ADDRESS(ROW(), COLUMN(), 4, TRUE, "Import-dataset")), "" )</f>
        <v>1.0897703549060542</v>
      </c>
      <c r="H35" s="6" cm="1">
        <f t="array" aca="1" ref="H35" ca="1">IFERROR( INDIRECT(ADDRESS(ROW()+1, COLUMN(), 4, TRUE, "Import-dataset")) / INDIRECT(ADDRESS(ROW(), COLUMN(), 4, TRUE, "Import-dataset")), "" )</f>
        <v>1.1072701354240913</v>
      </c>
      <c r="I35" s="6" cm="1">
        <f t="array" aca="1" ref="I35" ca="1">IFERROR( INDIRECT(ADDRESS(ROW()+1, COLUMN(), 4, TRUE, "Import-dataset")) / INDIRECT(ADDRESS(ROW(), COLUMN(), 4, TRUE, "Import-dataset")), "" )</f>
        <v>1.0082474226804123</v>
      </c>
      <c r="J35" s="6" cm="1">
        <f t="array" aca="1" ref="J35" ca="1">IFERROR( INDIRECT(ADDRESS(ROW()+1, COLUMN(), 4, TRUE, "Import-dataset")) / INDIRECT(ADDRESS(ROW(), COLUMN(), 4, TRUE, "Import-dataset")), "" )</f>
        <v>1.0361332707648991</v>
      </c>
      <c r="K35" s="6" cm="1">
        <f t="array" aca="1" ref="K35" ca="1">IFERROR( INDIRECT(ADDRESS(ROW()+1, COLUMN(), 4, TRUE, "Import-dataset")) / INDIRECT(ADDRESS(ROW(), COLUMN(), 4, TRUE, "Import-dataset")), "" )</f>
        <v>1.0945072697899838</v>
      </c>
      <c r="L35" s="6" cm="1">
        <f t="array" aca="1" ref="L35" ca="1">IFERROR( INDIRECT(ADDRESS(ROW()+1, COLUMN(), 4, TRUE, "Import-dataset")) / INDIRECT(ADDRESS(ROW(), COLUMN(), 4, TRUE, "Import-dataset")), "" )</f>
        <v>1.0396954866775421</v>
      </c>
      <c r="M35" s="6" cm="1">
        <f t="array" aca="1" ref="M35" ca="1">IFERROR( INDIRECT(ADDRESS(ROW()+1, COLUMN(), 4, TRUE, "Import-dataset")) / INDIRECT(ADDRESS(ROW(), COLUMN(), 4, TRUE, "Import-dataset")), "" )</f>
        <v>0.91495523959978942</v>
      </c>
      <c r="N35" s="6" cm="1">
        <f t="array" aca="1" ref="N35" ca="1">IFERROR( INDIRECT(ADDRESS(ROW()+1, COLUMN(), 4, TRUE, "Import-dataset")) / INDIRECT(ADDRESS(ROW(), COLUMN(), 4, TRUE, "Import-dataset")), "" )</f>
        <v>0.96168154761904767</v>
      </c>
      <c r="O35" s="6" cm="1">
        <f t="array" aca="1" ref="O35" ca="1">IFERROR( INDIRECT(ADDRESS(ROW()+1, COLUMN(), 4, TRUE, "Import-dataset")) / INDIRECT(ADDRESS(ROW(), COLUMN(), 4, TRUE, "Import-dataset")), "" )</f>
        <v>0.80053908355795145</v>
      </c>
      <c r="P35" s="6" cm="1">
        <f t="array" aca="1" ref="P35" ca="1">IFERROR( INDIRECT(ADDRESS(ROW()+1, COLUMN(), 4, TRUE, "Import-dataset")) / INDIRECT(ADDRESS(ROW(), COLUMN(), 4, TRUE, "Import-dataset")), "" )</f>
        <v>1.0379222434671767</v>
      </c>
      <c r="Q35" s="6" cm="1">
        <f t="array" aca="1" ref="Q35" ca="1">IFERROR( INDIRECT(ADDRESS(ROW()+1, COLUMN(), 4, TRUE, "Import-dataset")) / INDIRECT(ADDRESS(ROW(), COLUMN(), 4, TRUE, "Import-dataset")), "" )</f>
        <v>1</v>
      </c>
      <c r="R35" s="6" cm="1">
        <f t="array" aca="1" ref="R35" ca="1">IFERROR( INDIRECT(ADDRESS(ROW()+1, COLUMN(), 4, TRUE, "Import-dataset")) / INDIRECT(ADDRESS(ROW(), COLUMN(), 4, TRUE, "Import-dataset")), "" )</f>
        <v>1.110236220472441</v>
      </c>
      <c r="S35" s="6" cm="1">
        <f t="array" aca="1" ref="S35" ca="1">IFERROR( INDIRECT(ADDRESS(ROW()+1, COLUMN(), 4, TRUE, "Import-dataset")) / INDIRECT(ADDRESS(ROW(), COLUMN(), 4, TRUE, "Import-dataset")), "" )</f>
        <v>0.82993197278911568</v>
      </c>
      <c r="T35" s="6" cm="1">
        <f t="array" aca="1" ref="T35" ca="1">IFERROR( INDIRECT(ADDRESS(ROW()+1, COLUMN(), 4, TRUE, "Import-dataset")) / INDIRECT(ADDRESS(ROW(), COLUMN(), 4, TRUE, "Import-dataset")), "" )</f>
        <v>1</v>
      </c>
      <c r="U35" s="6" cm="1">
        <f t="array" aca="1" ref="U35" ca="1">IFERROR( INDIRECT(ADDRESS(ROW()+1, COLUMN(), 4, TRUE, "Import-dataset")) / INDIRECT(ADDRESS(ROW(), COLUMN(), 4, TRUE, "Import-dataset")), "" )</f>
        <v>0.92307692307692313</v>
      </c>
      <c r="V35" s="6" cm="1">
        <f t="array" aca="1" ref="V35" ca="1">IFERROR( INDIRECT(ADDRESS(ROW()+1, COLUMN(), 4, TRUE, "Import-dataset")) / INDIRECT(ADDRESS(ROW(), COLUMN(), 4, TRUE, "Import-dataset")), "" )</f>
        <v>0.98979591836734693</v>
      </c>
      <c r="W35" s="6" cm="1">
        <f t="array" aca="1" ref="W35" ca="1">IFERROR( INDIRECT(ADDRESS(ROW()+1, COLUMN(), 4, TRUE, "Import-dataset")) / INDIRECT(ADDRESS(ROW(), COLUMN(), 4, TRUE, "Import-dataset")), "" )</f>
        <v>1.0419580419580419</v>
      </c>
      <c r="X35" s="6" cm="1">
        <f t="array" aca="1" ref="X35" ca="1">IFERROR( INDIRECT(ADDRESS(ROW()+1, COLUMN(), 4, TRUE, "Import-dataset")) / INDIRECT(ADDRESS(ROW(), COLUMN(), 4, TRUE, "Import-dataset")), "" )</f>
        <v>1.1693548387096775</v>
      </c>
      <c r="Y35" s="6" cm="1">
        <f t="array" aca="1" ref="Y35" ca="1">IFERROR( INDIRECT(ADDRESS(ROW()+1, COLUMN(), 4, TRUE, "Import-dataset")) / INDIRECT(ADDRESS(ROW(), COLUMN(), 4, TRUE, "Import-dataset")), "" )</f>
        <v>1.0315789473684212</v>
      </c>
      <c r="Z35" s="6" cm="1">
        <f t="array" aca="1" ref="Z35" ca="1">IFERROR( INDIRECT(ADDRESS(ROW()+1, COLUMN(), 4, TRUE, "Import-dataset")) / INDIRECT(ADDRESS(ROW(), COLUMN(), 4, TRUE, "Import-dataset")), "" )</f>
        <v>0.59565912254472342</v>
      </c>
      <c r="AA35" s="6" cm="1">
        <f t="array" aca="1" ref="AA35" ca="1">IFERROR( INDIRECT(ADDRESS(ROW()+1, COLUMN(), 4, TRUE, "Import-dataset")) / INDIRECT(ADDRESS(ROW(), COLUMN(), 4, TRUE, "Import-dataset")), "" )</f>
        <v>0.72906403940886699</v>
      </c>
      <c r="AB35" s="6" cm="1">
        <f t="array" aca="1" ref="AB35" ca="1">IFERROR( INDIRECT(ADDRESS(ROW()+1, COLUMN(), 4, TRUE, "Import-dataset")) / INDIRECT(ADDRESS(ROW(), COLUMN(), 4, TRUE, "Import-dataset")), "" )</f>
        <v>0.59232995281174228</v>
      </c>
      <c r="AC35" s="6" cm="1">
        <f t="array" aca="1" ref="AC35" ca="1">IFERROR( INDIRECT(ADDRESS(ROW()+1, COLUMN(), 4, TRUE, "Import-dataset")) / INDIRECT(ADDRESS(ROW(), COLUMN(), 4, TRUE, "Import-dataset")), "" )</f>
        <v>1.0254237288135593</v>
      </c>
      <c r="AD35" s="6" cm="1">
        <f t="array" aca="1" ref="AD35" ca="1">IFERROR( INDIRECT(ADDRESS(ROW()+1, COLUMN(), 4, TRUE, "Import-dataset")) / INDIRECT(ADDRESS(ROW(), COLUMN(), 4, TRUE, "Import-dataset")), "" )</f>
        <v>1.056551724137931</v>
      </c>
      <c r="AE35" s="6" cm="1">
        <f t="array" aca="1" ref="AE35" ca="1">IFERROR( INDIRECT(ADDRESS(ROW()+1, COLUMN(), 4, TRUE, "Import-dataset")) / INDIRECT(ADDRESS(ROW(), COLUMN(), 4, TRUE, "Import-dataset")), "" )</f>
        <v>1.0240963855421688</v>
      </c>
      <c r="AF35" s="6" cm="1">
        <f t="array" aca="1" ref="AF35" ca="1">IFERROR( INDIRECT(ADDRESS(ROW()+1, COLUMN(), 4, TRUE, "Import-dataset")) / INDIRECT(ADDRESS(ROW(), COLUMN(), 4, TRUE, "Import-dataset")), "" )</f>
        <v>1.0829015544041452</v>
      </c>
      <c r="AG35" s="6" cm="1">
        <f t="array" aca="1" ref="AG35" ca="1">IFERROR( INDIRECT(ADDRESS(ROW()+1, COLUMN(), 4, TRUE, "Import-dataset")) / INDIRECT(ADDRESS(ROW(), COLUMN(), 4, TRUE, "Import-dataset")), "" )</f>
        <v>0.859375</v>
      </c>
      <c r="AH35" s="6" cm="1">
        <f t="array" aca="1" ref="AH35" ca="1">IFERROR( INDIRECT(ADDRESS(ROW()+1, COLUMN(), 4, TRUE, "Import-dataset")) / INDIRECT(ADDRESS(ROW(), COLUMN(), 4, TRUE, "Import-dataset")), "" )</f>
        <v>1.0730724600309438</v>
      </c>
      <c r="AI35" s="6" cm="1">
        <f t="array" aca="1" ref="AI35" ca="1">IFERROR( INDIRECT(ADDRESS(ROW()+1, COLUMN(), 4, TRUE, "Import-dataset")) / INDIRECT(ADDRESS(ROW(), COLUMN(), 4, TRUE, "Import-dataset")), "" )</f>
        <v>1.1805309734513274</v>
      </c>
      <c r="AJ35" s="6" cm="1">
        <f t="array" aca="1" ref="AJ35" ca="1">IFERROR( INDIRECT(ADDRESS(ROW()+1, COLUMN(), 4, TRUE, "Import-dataset")) / INDIRECT(ADDRESS(ROW(), COLUMN(), 4, TRUE, "Import-dataset")), "" )</f>
        <v>1.0116391852570321</v>
      </c>
      <c r="AK35" s="6" cm="1">
        <f t="array" aca="1" ref="AK35" ca="1">IFERROR( INDIRECT(ADDRESS(ROW()+1, COLUMN(), 4, TRUE, "Import-dataset")) / INDIRECT(ADDRESS(ROW(), COLUMN(), 4, TRUE, "Import-dataset")), "" )</f>
        <v>1</v>
      </c>
      <c r="AL35" s="6" cm="1">
        <f t="array" aca="1" ref="AL35" ca="1">IFERROR( INDIRECT(ADDRESS(ROW()+1, COLUMN(), 4, TRUE, "Import-dataset")) / INDIRECT(ADDRESS(ROW(), COLUMN(), 4, TRUE, "Import-dataset")), "" )</f>
        <v>1.0526235509456987</v>
      </c>
      <c r="AM35" s="6" cm="1">
        <f t="array" aca="1" ref="AM35" ca="1">IFERROR( INDIRECT(ADDRESS(ROW()+1, COLUMN(), 4, TRUE, "Import-dataset")) / INDIRECT(ADDRESS(ROW(), COLUMN(), 4, TRUE, "Import-dataset")), "" )</f>
        <v>1.0271668822768434</v>
      </c>
      <c r="AN35" s="6" cm="1">
        <f t="array" aca="1" ref="AN35" ca="1">IFERROR( INDIRECT(ADDRESS(ROW()+1, COLUMN(), 4, TRUE, "Import-dataset")) / INDIRECT(ADDRESS(ROW(), COLUMN(), 4, TRUE, "Import-dataset")), "" )</f>
        <v>0.98697674418604653</v>
      </c>
      <c r="AO35" s="6" cm="1">
        <f t="array" aca="1" ref="AO35" ca="1">IFERROR( INDIRECT(ADDRESS(ROW()+1, COLUMN(), 4, TRUE, "Import-dataset")) / INDIRECT(ADDRESS(ROW(), COLUMN(), 4, TRUE, "Import-dataset")), "" )</f>
        <v>0.96698326549072822</v>
      </c>
      <c r="AP35" s="6" cm="1">
        <f t="array" aca="1" ref="AP35" ca="1">IFERROR( INDIRECT(ADDRESS(ROW()+1, COLUMN(), 4, TRUE, "Import-dataset")) / INDIRECT(ADDRESS(ROW(), COLUMN(), 4, TRUE, "Import-dataset")), "" )</f>
        <v>1.0305480682839174</v>
      </c>
      <c r="AQ35" s="6" cm="1">
        <f t="array" aca="1" ref="AQ35" ca="1">IFERROR( INDIRECT(ADDRESS(ROW()+1, COLUMN(), 4, TRUE, "Import-dataset")) / INDIRECT(ADDRESS(ROW(), COLUMN(), 4, TRUE, "Import-dataset")), "" )</f>
        <v>1.3485436893203884</v>
      </c>
      <c r="AR35" s="6" cm="1">
        <f t="array" aca="1" ref="AR35" ca="1">IFERROR( INDIRECT(ADDRESS(ROW()+1, COLUMN(), 4, TRUE, "Import-dataset")) / INDIRECT(ADDRESS(ROW(), COLUMN(), 4, TRUE, "Import-dataset")), "" )</f>
        <v>1.0654463234838629</v>
      </c>
      <c r="AS35" s="6" cm="1">
        <f t="array" aca="1" ref="AS35" ca="1">IFERROR( INDIRECT(ADDRESS(ROW()+1, COLUMN(), 4, TRUE, "Import-dataset")) / INDIRECT(ADDRESS(ROW(), COLUMN(), 4, TRUE, "Import-dataset")), "" )</f>
        <v>0.94405594405594406</v>
      </c>
      <c r="AT35" s="6" cm="1">
        <f t="array" aca="1" ref="AT35" ca="1">IFERROR( INDIRECT(ADDRESS(ROW()+1, COLUMN(), 4, TRUE, "Import-dataset")) / INDIRECT(ADDRESS(ROW(), COLUMN(), 4, TRUE, "Import-dataset")), "" )</f>
        <v>0.96393210749646396</v>
      </c>
      <c r="AU35" s="6" cm="1">
        <f t="array" aca="1" ref="AU35" ca="1">IFERROR( INDIRECT(ADDRESS(ROW()+1, COLUMN(), 4, TRUE, "Import-dataset")) / INDIRECT(ADDRESS(ROW(), COLUMN(), 4, TRUE, "Import-dataset")), "" )</f>
        <v>0.9353988134475939</v>
      </c>
      <c r="AV35" s="6" cm="1">
        <f t="array" aca="1" ref="AV35" ca="1">IFERROR( INDIRECT(ADDRESS(ROW()+1, COLUMN(), 4, TRUE, "Import-dataset")) / INDIRECT(ADDRESS(ROW(), COLUMN(), 4, TRUE, "Import-dataset")), "" )</f>
        <v>0.98141486810551559</v>
      </c>
      <c r="AW35" s="6" cm="1">
        <f t="array" aca="1" ref="AW35" ca="1">IFERROR( INDIRECT(ADDRESS(ROW()+1, COLUMN(), 4, TRUE, "Import-dataset")) / INDIRECT(ADDRESS(ROW(), COLUMN(), 4, TRUE, "Import-dataset")), "" )</f>
        <v>1.5378195096504956</v>
      </c>
      <c r="AX35" s="6" cm="1">
        <f t="array" aca="1" ref="AX35" ca="1">IFERROR( INDIRECT(ADDRESS(ROW()+1, COLUMN(), 4, TRUE, "Import-dataset")) / INDIRECT(ADDRESS(ROW(), COLUMN(), 4, TRUE, "Import-dataset")), "" )</f>
        <v>0.94136253041362528</v>
      </c>
      <c r="AY35" s="6" cm="1">
        <f t="array" aca="1" ref="AY35" ca="1">IFERROR( INDIRECT(ADDRESS(ROW()+1, COLUMN(), 4, TRUE, "Import-dataset")) / INDIRECT(ADDRESS(ROW(), COLUMN(), 4, TRUE, "Import-dataset")), "" )</f>
        <v>0.95811678385814736</v>
      </c>
      <c r="AZ35" s="6" cm="1">
        <f t="array" aca="1" ref="AZ35" ca="1">IFERROR( INDIRECT(ADDRESS(ROW()+1, COLUMN(), 4, TRUE, "Import-dataset")) / INDIRECT(ADDRESS(ROW(), COLUMN(), 4, TRUE, "Import-dataset")), "" )</f>
        <v>1.2512178148921365</v>
      </c>
      <c r="BA35" s="6" cm="1">
        <f t="array" aca="1" ref="BA35" ca="1">IFERROR( INDIRECT(ADDRESS(ROW()+1, COLUMN(), 4, TRUE, "Import-dataset")) / INDIRECT(ADDRESS(ROW(), COLUMN(), 4, TRUE, "Import-dataset")), "" )</f>
        <v>1.0034609802389194</v>
      </c>
      <c r="BB35" s="6" cm="1">
        <f t="array" aca="1" ref="BB35" ca="1">IFERROR( INDIRECT(ADDRESS(ROW()+1, COLUMN(), 4, TRUE, "Import-dataset")) / INDIRECT(ADDRESS(ROW(), COLUMN(), 4, TRUE, "Import-dataset")), "" )</f>
        <v>0.97128627743620521</v>
      </c>
      <c r="BC35" s="6" cm="1">
        <f t="array" aca="1" ref="BC35" ca="1">IFERROR( INDIRECT(ADDRESS(ROW()+1, COLUMN(), 4, TRUE, "Import-dataset")) / INDIRECT(ADDRESS(ROW(), COLUMN(), 4, TRUE, "Import-dataset")), "" )</f>
        <v>0.90190174326465922</v>
      </c>
      <c r="BD35" s="6" cm="1">
        <f t="array" aca="1" ref="BD35" ca="1">IFERROR( INDIRECT(ADDRESS(ROW()+1, COLUMN(), 4, TRUE, "Import-dataset")) / INDIRECT(ADDRESS(ROW(), COLUMN(), 4, TRUE, "Import-dataset")), "" )</f>
        <v>0.99176646706586824</v>
      </c>
      <c r="BE35" s="6" cm="1">
        <f t="array" aca="1" ref="BE35" ca="1">IFERROR( INDIRECT(ADDRESS(ROW()+1, COLUMN(), 4, TRUE, "Import-dataset")) / INDIRECT(ADDRESS(ROW(), COLUMN(), 4, TRUE, "Import-dataset")), "" )</f>
        <v>0.86921296296296291</v>
      </c>
      <c r="BF35" s="6" cm="1">
        <f t="array" aca="1" ref="BF35" ca="1">IFERROR( INDIRECT(ADDRESS(ROW()+1, COLUMN(), 4, TRUE, "Import-dataset")) / INDIRECT(ADDRESS(ROW(), COLUMN(), 4, TRUE, "Import-dataset")), "" )</f>
        <v>1.0017256806851591</v>
      </c>
      <c r="BG35" s="6" cm="1">
        <f t="array" aca="1" ref="BG35" ca="1">IFERROR( INDIRECT(ADDRESS(ROW()+1, COLUMN(), 4, TRUE, "Import-dataset")) / INDIRECT(ADDRESS(ROW(), COLUMN(), 4, TRUE, "Import-dataset")), "" )</f>
        <v>1.0611740649228933</v>
      </c>
      <c r="BH35" s="6" cm="1">
        <f t="array" aca="1" ref="BH35" ca="1">IFERROR( INDIRECT(ADDRESS(ROW()+1, COLUMN(), 4, TRUE, "Import-dataset")) / INDIRECT(ADDRESS(ROW(), COLUMN(), 4, TRUE, "Import-dataset")), "" )</f>
        <v>0.99660018132366279</v>
      </c>
      <c r="BI35" s="6" cm="1">
        <f t="array" aca="1" ref="BI35" ca="1">IFERROR( INDIRECT(ADDRESS(ROW()+1, COLUMN(), 4, TRUE, "Import-dataset")) / INDIRECT(ADDRESS(ROW(), COLUMN(), 4, TRUE, "Import-dataset")), "" )</f>
        <v>1.0248696349779383</v>
      </c>
      <c r="BJ35" s="6" cm="1">
        <f t="array" aca="1" ref="BJ35" ca="1">IFERROR( INDIRECT(ADDRESS(ROW()+1, COLUMN(), 4, TRUE, "Import-dataset")) / INDIRECT(ADDRESS(ROW(), COLUMN(), 4, TRUE, "Import-dataset")), "" )</f>
        <v>0.89851418763074609</v>
      </c>
      <c r="BK35" s="6" cm="1">
        <f t="array" aca="1" ref="BK35" ca="1">IFERROR( INDIRECT(ADDRESS(ROW()+1, COLUMN(), 4, TRUE, "Import-dataset")) / INDIRECT(ADDRESS(ROW(), COLUMN(), 4, TRUE, "Import-dataset")), "" )</f>
        <v>0.9885159010600707</v>
      </c>
      <c r="BL35" s="6" cm="1">
        <f t="array" aca="1" ref="BL35" ca="1">IFERROR( INDIRECT(ADDRESS(ROW()+1, COLUMN(), 4, TRUE, "Import-dataset")) / INDIRECT(ADDRESS(ROW(), COLUMN(), 4, TRUE, "Import-dataset")), "" )</f>
        <v>0.99416947395698363</v>
      </c>
      <c r="BM35" s="6" cm="1">
        <f t="array" aca="1" ref="BM35" ca="1">IFERROR( INDIRECT(ADDRESS(ROW()+1, COLUMN(), 4, TRUE, "Import-dataset")) / INDIRECT(ADDRESS(ROW(), COLUMN(), 4, TRUE, "Import-dataset")), "" )</f>
        <v>0.99081515499425943</v>
      </c>
      <c r="BN35" s="6" cm="1">
        <f t="array" aca="1" ref="BN35" ca="1">IFERROR( INDIRECT(ADDRESS(ROW()+1, COLUMN(), 4, TRUE, "Import-dataset")) / INDIRECT(ADDRESS(ROW(), COLUMN(), 4, TRUE, "Import-dataset")), "" )</f>
        <v>1.0483644390929159</v>
      </c>
      <c r="BO35" s="6" cm="1">
        <f t="array" aca="1" ref="BO35" ca="1">IFERROR( INDIRECT(ADDRESS(ROW()+1, COLUMN(), 4, TRUE, "Import-dataset")) / INDIRECT(ADDRESS(ROW(), COLUMN(), 4, TRUE, "Import-dataset")), "" )</f>
        <v>0.80169671261930009</v>
      </c>
      <c r="BP35" s="6" cm="1">
        <f t="array" aca="1" ref="BP35" ca="1">IFERROR( INDIRECT(ADDRESS(ROW()+1, COLUMN(), 4, TRUE, "Import-dataset")) / INDIRECT(ADDRESS(ROW(), COLUMN(), 4, TRUE, "Import-dataset")), "" )</f>
        <v>0.99813816756491913</v>
      </c>
      <c r="BQ35" s="6" cm="1">
        <f t="array" aca="1" ref="BQ35" ca="1">IFERROR( INDIRECT(ADDRESS(ROW()+1, COLUMN(), 4, TRUE, "Import-dataset")) / INDIRECT(ADDRESS(ROW(), COLUMN(), 4, TRUE, "Import-dataset")), "" )</f>
        <v>0.82176287051482055</v>
      </c>
      <c r="BR35" s="6" cm="1">
        <f t="array" aca="1" ref="BR35" ca="1">IFERROR( INDIRECT(ADDRESS(ROW()+1, COLUMN(), 4, TRUE, "Import-dataset")) / INDIRECT(ADDRESS(ROW(), COLUMN(), 4, TRUE, "Import-dataset")), "" )</f>
        <v>1.0041418586590733</v>
      </c>
      <c r="BS35" s="6" cm="1">
        <f t="array" aca="1" ref="BS35" ca="1">IFERROR( INDIRECT(ADDRESS(ROW()+1, COLUMN(), 4, TRUE, "Import-dataset")) / INDIRECT(ADDRESS(ROW(), COLUMN(), 4, TRUE, "Import-dataset")), "" )</f>
        <v>0.90423484119345521</v>
      </c>
      <c r="BT35" s="6" cm="1">
        <f t="array" aca="1" ref="BT35" ca="1">IFERROR( INDIRECT(ADDRESS(ROW()+1, COLUMN(), 4, TRUE, "Import-dataset")) / INDIRECT(ADDRESS(ROW(), COLUMN(), 4, TRUE, "Import-dataset")), "" )</f>
        <v>1.034097667349501</v>
      </c>
      <c r="BU35" s="6" cm="1">
        <f t="array" aca="1" ref="BU35" ca="1">IFERROR( INDIRECT(ADDRESS(ROW()+1, COLUMN(), 4, TRUE, "Import-dataset")) / INDIRECT(ADDRESS(ROW(), COLUMN(), 4, TRUE, "Import-dataset")), "" )</f>
        <v>1.0589280952804194</v>
      </c>
      <c r="BV35" s="6" cm="1">
        <f t="array" aca="1" ref="BV35" ca="1">IFERROR( INDIRECT(ADDRESS(ROW()+1, COLUMN(), 4, TRUE, "Import-dataset")) / INDIRECT(ADDRESS(ROW(), COLUMN(), 4, TRUE, "Import-dataset")), "" )</f>
        <v>0.4</v>
      </c>
      <c r="BW35" s="6" cm="1">
        <f t="array" aca="1" ref="BW35" ca="1">IFERROR( INDIRECT(ADDRESS(ROW()+1, COLUMN(), 4, TRUE, "Import-dataset")) / INDIRECT(ADDRESS(ROW(), COLUMN(), 4, TRUE, "Import-dataset")), "" )</f>
        <v>1.8181818181818181</v>
      </c>
      <c r="BX35" s="6" cm="1">
        <f t="array" aca="1" ref="BX35" ca="1">IFERROR( INDIRECT(ADDRESS(ROW()+1, COLUMN(), 4, TRUE, "Import-dataset")) / INDIRECT(ADDRESS(ROW(), COLUMN(), 4, TRUE, "Import-dataset")), "" )</f>
        <v>6</v>
      </c>
      <c r="BY35" s="6" cm="1">
        <f t="array" aca="1" ref="BY35" ca="1">IFERROR( INDIRECT(ADDRESS(ROW()+1, COLUMN(), 4, TRUE, "Import-dataset")) / INDIRECT(ADDRESS(ROW(), COLUMN(), 4, TRUE, "Import-dataset")), "" )</f>
        <v>1.3597164796219727</v>
      </c>
      <c r="BZ35" s="6" cm="1">
        <f t="array" aca="1" ref="BZ35" ca="1">IFERROR( INDIRECT(ADDRESS(ROW()+1, COLUMN(), 4, TRUE, "Import-dataset")) / INDIRECT(ADDRESS(ROW(), COLUMN(), 4, TRUE, "Import-dataset")), "" )</f>
        <v>0.59359494812810099</v>
      </c>
      <c r="CA35" s="6" cm="1">
        <f t="array" aca="1" ref="CA35" ca="1">IFERROR( INDIRECT(ADDRESS(ROW()+1, COLUMN(), 4, TRUE, "Import-dataset")) / INDIRECT(ADDRESS(ROW(), COLUMN(), 4, TRUE, "Import-dataset")), "" )</f>
        <v>0.95465438027761429</v>
      </c>
    </row>
    <row r="36" spans="1:79">
      <c r="A36" s="6" t="s">
        <v>193</v>
      </c>
      <c r="B36" s="6" cm="1">
        <f t="array" aca="1" ref="B36" ca="1">IFERROR( INDIRECT(ADDRESS(ROW()+1, COLUMN(), 4, TRUE, "Import-dataset")) / INDIRECT(ADDRESS(ROW(), COLUMN(), 4, TRUE, "Import-dataset")), "" )</f>
        <v>0.93201567558357468</v>
      </c>
      <c r="C36" s="6" cm="1">
        <f t="array" aca="1" ref="C36" ca="1">IFERROR( INDIRECT(ADDRESS(ROW()+1, COLUMN(), 4, TRUE, "Import-dataset")) / INDIRECT(ADDRESS(ROW(), COLUMN(), 4, TRUE, "Import-dataset")), "" )</f>
        <v>0.99363057324840764</v>
      </c>
      <c r="D36" s="6" cm="1">
        <f t="array" aca="1" ref="D36" ca="1">IFERROR( INDIRECT(ADDRESS(ROW()+1, COLUMN(), 4, TRUE, "Import-dataset")) / INDIRECT(ADDRESS(ROW(), COLUMN(), 4, TRUE, "Import-dataset")), "" )</f>
        <v>1.0674033149171271</v>
      </c>
      <c r="E36" s="6" cm="1">
        <f t="array" aca="1" ref="E36" ca="1">IFERROR( INDIRECT(ADDRESS(ROW()+1, COLUMN(), 4, TRUE, "Import-dataset")) / INDIRECT(ADDRESS(ROW(), COLUMN(), 4, TRUE, "Import-dataset")), "" )</f>
        <v>0.90497168030207675</v>
      </c>
      <c r="F36" s="6" cm="1">
        <f t="array" aca="1" ref="F36" ca="1">IFERROR( INDIRECT(ADDRESS(ROW()+1, COLUMN(), 4, TRUE, "Import-dataset")) / INDIRECT(ADDRESS(ROW(), COLUMN(), 4, TRUE, "Import-dataset")), "" )</f>
        <v>0.99574920297555791</v>
      </c>
      <c r="G36" s="6" cm="1">
        <f t="array" aca="1" ref="G36" ca="1">IFERROR( INDIRECT(ADDRESS(ROW()+1, COLUMN(), 4, TRUE, "Import-dataset")) / INDIRECT(ADDRESS(ROW(), COLUMN(), 4, TRUE, "Import-dataset")), "" )</f>
        <v>0.82710727969348663</v>
      </c>
      <c r="H36" s="6" cm="1">
        <f t="array" aca="1" ref="H36" ca="1">IFERROR( INDIRECT(ADDRESS(ROW()+1, COLUMN(), 4, TRUE, "Import-dataset")) / INDIRECT(ADDRESS(ROW(), COLUMN(), 4, TRUE, "Import-dataset")), "" )</f>
        <v>0.91309945284840688</v>
      </c>
      <c r="I36" s="6" cm="1">
        <f t="array" aca="1" ref="I36" ca="1">IFERROR( INDIRECT(ADDRESS(ROW()+1, COLUMN(), 4, TRUE, "Import-dataset")) / INDIRECT(ADDRESS(ROW(), COLUMN(), 4, TRUE, "Import-dataset")), "" )</f>
        <v>1.0040899795501022</v>
      </c>
      <c r="J36" s="6" cm="1">
        <f t="array" aca="1" ref="J36" ca="1">IFERROR( INDIRECT(ADDRESS(ROW()+1, COLUMN(), 4, TRUE, "Import-dataset")) / INDIRECT(ADDRESS(ROW(), COLUMN(), 4, TRUE, "Import-dataset")), "" )</f>
        <v>0.98007246376811596</v>
      </c>
      <c r="K36" s="6" cm="1">
        <f t="array" aca="1" ref="K36" ca="1">IFERROR( INDIRECT(ADDRESS(ROW()+1, COLUMN(), 4, TRUE, "Import-dataset")) / INDIRECT(ADDRESS(ROW(), COLUMN(), 4, TRUE, "Import-dataset")), "" )</f>
        <v>0.90036900369003692</v>
      </c>
      <c r="L36" s="6" cm="1">
        <f t="array" aca="1" ref="L36" ca="1">IFERROR( INDIRECT(ADDRESS(ROW()+1, COLUMN(), 4, TRUE, "Import-dataset")) / INDIRECT(ADDRESS(ROW(), COLUMN(), 4, TRUE, "Import-dataset")), "" )</f>
        <v>0.92442468619246865</v>
      </c>
      <c r="M36" s="6" cm="1">
        <f t="array" aca="1" ref="M36" ca="1">IFERROR( INDIRECT(ADDRESS(ROW()+1, COLUMN(), 4, TRUE, "Import-dataset")) / INDIRECT(ADDRESS(ROW(), COLUMN(), 4, TRUE, "Import-dataset")), "" )</f>
        <v>0.99251798561151083</v>
      </c>
      <c r="N36" s="6" cm="1">
        <f t="array" aca="1" ref="N36" ca="1">IFERROR( INDIRECT(ADDRESS(ROW()+1, COLUMN(), 4, TRUE, "Import-dataset")) / INDIRECT(ADDRESS(ROW(), COLUMN(), 4, TRUE, "Import-dataset")), "" )</f>
        <v>1.0615087040618956</v>
      </c>
      <c r="O36" s="6" cm="1">
        <f t="array" aca="1" ref="O36" ca="1">IFERROR( INDIRECT(ADDRESS(ROW()+1, COLUMN(), 4, TRUE, "Import-dataset")) / INDIRECT(ADDRESS(ROW(), COLUMN(), 4, TRUE, "Import-dataset")), "" )</f>
        <v>0.79012345679012341</v>
      </c>
      <c r="P36" s="6" cm="1">
        <f t="array" aca="1" ref="P36" ca="1">IFERROR( INDIRECT(ADDRESS(ROW()+1, COLUMN(), 4, TRUE, "Import-dataset")) / INDIRECT(ADDRESS(ROW(), COLUMN(), 4, TRUE, "Import-dataset")), "" )</f>
        <v>1.3039607000307032</v>
      </c>
      <c r="Q36" s="6" cm="1">
        <f t="array" aca="1" ref="Q36" ca="1">IFERROR( INDIRECT(ADDRESS(ROW()+1, COLUMN(), 4, TRUE, "Import-dataset")) / INDIRECT(ADDRESS(ROW(), COLUMN(), 4, TRUE, "Import-dataset")), "" )</f>
        <v>0.2857142857142857</v>
      </c>
      <c r="R36" s="6" cm="1">
        <f t="array" aca="1" ref="R36" ca="1">IFERROR( INDIRECT(ADDRESS(ROW()+1, COLUMN(), 4, TRUE, "Import-dataset")) / INDIRECT(ADDRESS(ROW(), COLUMN(), 4, TRUE, "Import-dataset")), "" )</f>
        <v>0.72340425531914898</v>
      </c>
      <c r="S36" s="6" cm="1">
        <f t="array" aca="1" ref="S36" ca="1">IFERROR( INDIRECT(ADDRESS(ROW()+1, COLUMN(), 4, TRUE, "Import-dataset")) / INDIRECT(ADDRESS(ROW(), COLUMN(), 4, TRUE, "Import-dataset")), "" )</f>
        <v>1.098360655737705</v>
      </c>
      <c r="T36" s="6" cm="1">
        <f t="array" aca="1" ref="T36" ca="1">IFERROR( INDIRECT(ADDRESS(ROW()+1, COLUMN(), 4, TRUE, "Import-dataset")) / INDIRECT(ADDRESS(ROW(), COLUMN(), 4, TRUE, "Import-dataset")), "" )</f>
        <v>1.3121098626716605</v>
      </c>
      <c r="U36" s="6" cm="1">
        <f t="array" aca="1" ref="U36" ca="1">IFERROR( INDIRECT(ADDRESS(ROW()+1, COLUMN(), 4, TRUE, "Import-dataset")) / INDIRECT(ADDRESS(ROW(), COLUMN(), 4, TRUE, "Import-dataset")), "" )</f>
        <v>1.1708333333333334</v>
      </c>
      <c r="V36" s="6" cm="1">
        <f t="array" aca="1" ref="V36" ca="1">IFERROR( INDIRECT(ADDRESS(ROW()+1, COLUMN(), 4, TRUE, "Import-dataset")) / INDIRECT(ADDRESS(ROW(), COLUMN(), 4, TRUE, "Import-dataset")), "" )</f>
        <v>1.1855670103092784</v>
      </c>
      <c r="W36" s="6" cm="1">
        <f t="array" aca="1" ref="W36" ca="1">IFERROR( INDIRECT(ADDRESS(ROW()+1, COLUMN(), 4, TRUE, "Import-dataset")) / INDIRECT(ADDRESS(ROW(), COLUMN(), 4, TRUE, "Import-dataset")), "" )</f>
        <v>1.4295302013422819</v>
      </c>
      <c r="X36" s="6" cm="1">
        <f t="array" aca="1" ref="X36" ca="1">IFERROR( INDIRECT(ADDRESS(ROW()+1, COLUMN(), 4, TRUE, "Import-dataset")) / INDIRECT(ADDRESS(ROW(), COLUMN(), 4, TRUE, "Import-dataset")), "" )</f>
        <v>1.6379310344827587</v>
      </c>
      <c r="Y36" s="6" cm="1">
        <f t="array" aca="1" ref="Y36" ca="1">IFERROR( INDIRECT(ADDRESS(ROW()+1, COLUMN(), 4, TRUE, "Import-dataset")) / INDIRECT(ADDRESS(ROW(), COLUMN(), 4, TRUE, "Import-dataset")), "" )</f>
        <v>1.0379008746355685</v>
      </c>
      <c r="Z36" s="6" cm="1">
        <f t="array" aca="1" ref="Z36" ca="1">IFERROR( INDIRECT(ADDRESS(ROW()+1, COLUMN(), 4, TRUE, "Import-dataset")) / INDIRECT(ADDRESS(ROW(), COLUMN(), 4, TRUE, "Import-dataset")), "" )</f>
        <v>1.4952397438116669</v>
      </c>
      <c r="AA36" s="6" cm="1">
        <f t="array" aca="1" ref="AA36" ca="1">IFERROR( INDIRECT(ADDRESS(ROW()+1, COLUMN(), 4, TRUE, "Import-dataset")) / INDIRECT(ADDRESS(ROW(), COLUMN(), 4, TRUE, "Import-dataset")), "" )</f>
        <v>1.3513513513513513</v>
      </c>
      <c r="AB36" s="6" cm="1">
        <f t="array" aca="1" ref="AB36" ca="1">IFERROR( INDIRECT(ADDRESS(ROW()+1, COLUMN(), 4, TRUE, "Import-dataset")) / INDIRECT(ADDRESS(ROW(), COLUMN(), 4, TRUE, "Import-dataset")), "" )</f>
        <v>1.4984154929577465</v>
      </c>
      <c r="AC36" s="6" cm="1">
        <f t="array" aca="1" ref="AC36" ca="1">IFERROR( INDIRECT(ADDRESS(ROW()+1, COLUMN(), 4, TRUE, "Import-dataset")) / INDIRECT(ADDRESS(ROW(), COLUMN(), 4, TRUE, "Import-dataset")), "" )</f>
        <v>1.28099173553719</v>
      </c>
      <c r="AD36" s="6" cm="1">
        <f t="array" aca="1" ref="AD36" ca="1">IFERROR( INDIRECT(ADDRESS(ROW()+1, COLUMN(), 4, TRUE, "Import-dataset")) / INDIRECT(ADDRESS(ROW(), COLUMN(), 4, TRUE, "Import-dataset")), "" )</f>
        <v>1.0848563968668408</v>
      </c>
      <c r="AE36" s="6" cm="1">
        <f t="array" aca="1" ref="AE36" ca="1">IFERROR( INDIRECT(ADDRESS(ROW()+1, COLUMN(), 4, TRUE, "Import-dataset")) / INDIRECT(ADDRESS(ROW(), COLUMN(), 4, TRUE, "Import-dataset")), "" )</f>
        <v>1.0588235294117647</v>
      </c>
      <c r="AF36" s="6" cm="1">
        <f t="array" aca="1" ref="AF36" ca="1">IFERROR( INDIRECT(ADDRESS(ROW()+1, COLUMN(), 4, TRUE, "Import-dataset")) / INDIRECT(ADDRESS(ROW(), COLUMN(), 4, TRUE, "Import-dataset")), "" )</f>
        <v>1.0845295055821371</v>
      </c>
      <c r="AG36" s="6" cm="1">
        <f t="array" aca="1" ref="AG36" ca="1">IFERROR( INDIRECT(ADDRESS(ROW()+1, COLUMN(), 4, TRUE, "Import-dataset")) / INDIRECT(ADDRESS(ROW(), COLUMN(), 4, TRUE, "Import-dataset")), "" )</f>
        <v>1.1090909090909091</v>
      </c>
      <c r="AH36" s="6" cm="1">
        <f t="array" aca="1" ref="AH36" ca="1">IFERROR( INDIRECT(ADDRESS(ROW()+1, COLUMN(), 4, TRUE, "Import-dataset")) / INDIRECT(ADDRESS(ROW(), COLUMN(), 4, TRUE, "Import-dataset")), "" )</f>
        <v>1.1120422937130154</v>
      </c>
      <c r="AI36" s="6" cm="1">
        <f t="array" aca="1" ref="AI36" ca="1">IFERROR( INDIRECT(ADDRESS(ROW()+1, COLUMN(), 4, TRUE, "Import-dataset")) / INDIRECT(ADDRESS(ROW(), COLUMN(), 4, TRUE, "Import-dataset")), "" )</f>
        <v>1.1435532233883059</v>
      </c>
      <c r="AJ36" s="6" cm="1">
        <f t="array" aca="1" ref="AJ36" ca="1">IFERROR( INDIRECT(ADDRESS(ROW()+1, COLUMN(), 4, TRUE, "Import-dataset")) / INDIRECT(ADDRESS(ROW(), COLUMN(), 4, TRUE, "Import-dataset")), "" )</f>
        <v>1.2329817833173538</v>
      </c>
      <c r="AK36" s="6" cm="1">
        <f t="array" aca="1" ref="AK36" ca="1">IFERROR( INDIRECT(ADDRESS(ROW()+1, COLUMN(), 4, TRUE, "Import-dataset")) / INDIRECT(ADDRESS(ROW(), COLUMN(), 4, TRUE, "Import-dataset")), "" )</f>
        <v>1.0627306273062731</v>
      </c>
      <c r="AL36" s="6" cm="1">
        <f t="array" aca="1" ref="AL36" ca="1">IFERROR( INDIRECT(ADDRESS(ROW()+1, COLUMN(), 4, TRUE, "Import-dataset")) / INDIRECT(ADDRESS(ROW(), COLUMN(), 4, TRUE, "Import-dataset")), "" )</f>
        <v>1.0701347630778149</v>
      </c>
      <c r="AM36" s="6" cm="1">
        <f t="array" aca="1" ref="AM36" ca="1">IFERROR( INDIRECT(ADDRESS(ROW()+1, COLUMN(), 4, TRUE, "Import-dataset")) / INDIRECT(ADDRESS(ROW(), COLUMN(), 4, TRUE, "Import-dataset")), "" )</f>
        <v>0.97254408060453401</v>
      </c>
      <c r="AN36" s="6" cm="1">
        <f t="array" aca="1" ref="AN36" ca="1">IFERROR( INDIRECT(ADDRESS(ROW()+1, COLUMN(), 4, TRUE, "Import-dataset")) / INDIRECT(ADDRESS(ROW(), COLUMN(), 4, TRUE, "Import-dataset")), "" )</f>
        <v>1.5499528746465598</v>
      </c>
      <c r="AO36" s="6" cm="1">
        <f t="array" aca="1" ref="AO36" ca="1">IFERROR( INDIRECT(ADDRESS(ROW()+1, COLUMN(), 4, TRUE, "Import-dataset")) / INDIRECT(ADDRESS(ROW(), COLUMN(), 4, TRUE, "Import-dataset")), "" )</f>
        <v>1.2521047708138446</v>
      </c>
      <c r="AP36" s="6" cm="1">
        <f t="array" aca="1" ref="AP36" ca="1">IFERROR( INDIRECT(ADDRESS(ROW()+1, COLUMN(), 4, TRUE, "Import-dataset")) / INDIRECT(ADDRESS(ROW(), COLUMN(), 4, TRUE, "Import-dataset")), "" )</f>
        <v>1.0671316477768091</v>
      </c>
      <c r="AQ36" s="6" cm="1">
        <f t="array" aca="1" ref="AQ36" ca="1">IFERROR( INDIRECT(ADDRESS(ROW()+1, COLUMN(), 4, TRUE, "Import-dataset")) / INDIRECT(ADDRESS(ROW(), COLUMN(), 4, TRUE, "Import-dataset")), "" )</f>
        <v>1.0775137988960883</v>
      </c>
      <c r="AR36" s="6" cm="1">
        <f t="array" aca="1" ref="AR36" ca="1">IFERROR( INDIRECT(ADDRESS(ROW()+1, COLUMN(), 4, TRUE, "Import-dataset")) / INDIRECT(ADDRESS(ROW(), COLUMN(), 4, TRUE, "Import-dataset")), "" )</f>
        <v>1.0749440390709033</v>
      </c>
      <c r="AS36" s="6" cm="1">
        <f t="array" aca="1" ref="AS36" ca="1">IFERROR( INDIRECT(ADDRESS(ROW()+1, COLUMN(), 4, TRUE, "Import-dataset")) / INDIRECT(ADDRESS(ROW(), COLUMN(), 4, TRUE, "Import-dataset")), "" )</f>
        <v>1.288888888888889</v>
      </c>
      <c r="AT36" s="6" cm="1">
        <f t="array" aca="1" ref="AT36" ca="1">IFERROR( INDIRECT(ADDRESS(ROW()+1, COLUMN(), 4, TRUE, "Import-dataset")) / INDIRECT(ADDRESS(ROW(), COLUMN(), 4, TRUE, "Import-dataset")), "" )</f>
        <v>1.0635852286622647</v>
      </c>
      <c r="AU36" s="6" cm="1">
        <f t="array" aca="1" ref="AU36" ca="1">IFERROR( INDIRECT(ADDRESS(ROW()+1, COLUMN(), 4, TRUE, "Import-dataset")) / INDIRECT(ADDRESS(ROW(), COLUMN(), 4, TRUE, "Import-dataset")), "" )</f>
        <v>1.1825229034531359</v>
      </c>
      <c r="AV36" s="6" cm="1">
        <f t="array" aca="1" ref="AV36" ca="1">IFERROR( INDIRECT(ADDRESS(ROW()+1, COLUMN(), 4, TRUE, "Import-dataset")) / INDIRECT(ADDRESS(ROW(), COLUMN(), 4, TRUE, "Import-dataset")), "" )</f>
        <v>0.98259010384850332</v>
      </c>
      <c r="AW36" s="6" cm="1">
        <f t="array" aca="1" ref="AW36" ca="1">IFERROR( INDIRECT(ADDRESS(ROW()+1, COLUMN(), 4, TRUE, "Import-dataset")) / INDIRECT(ADDRESS(ROW(), COLUMN(), 4, TRUE, "Import-dataset")), "" )</f>
        <v>0.79579375848032563</v>
      </c>
      <c r="AX36" s="6" cm="1">
        <f t="array" aca="1" ref="AX36" ca="1">IFERROR( INDIRECT(ADDRESS(ROW()+1, COLUMN(), 4, TRUE, "Import-dataset")) / INDIRECT(ADDRESS(ROW(), COLUMN(), 4, TRUE, "Import-dataset")), "" )</f>
        <v>1.1064874644611011</v>
      </c>
      <c r="AY36" s="6" cm="1">
        <f t="array" aca="1" ref="AY36" ca="1">IFERROR( INDIRECT(ADDRESS(ROW()+1, COLUMN(), 4, TRUE, "Import-dataset")) / INDIRECT(ADDRESS(ROW(), COLUMN(), 4, TRUE, "Import-dataset")), "" )</f>
        <v>1.2922782386726228</v>
      </c>
      <c r="AZ36" s="6" cm="1">
        <f t="array" aca="1" ref="AZ36" ca="1">IFERROR( INDIRECT(ADDRESS(ROW()+1, COLUMN(), 4, TRUE, "Import-dataset")) / INDIRECT(ADDRESS(ROW(), COLUMN(), 4, TRUE, "Import-dataset")), "" )</f>
        <v>1.1279199110122358</v>
      </c>
      <c r="BA36" s="6" cm="1">
        <f t="array" aca="1" ref="BA36" ca="1">IFERROR( INDIRECT(ADDRESS(ROW()+1, COLUMN(), 4, TRUE, "Import-dataset")) / INDIRECT(ADDRESS(ROW(), COLUMN(), 4, TRUE, "Import-dataset")), "" )</f>
        <v>1.1658878504672898</v>
      </c>
      <c r="BB36" s="6" cm="1">
        <f t="array" aca="1" ref="BB36" ca="1">IFERROR( INDIRECT(ADDRESS(ROW()+1, COLUMN(), 4, TRUE, "Import-dataset")) / INDIRECT(ADDRESS(ROW(), COLUMN(), 4, TRUE, "Import-dataset")), "" )</f>
        <v>1.1307684599068026</v>
      </c>
      <c r="BC36" s="6" cm="1">
        <f t="array" aca="1" ref="BC36" ca="1">IFERROR( INDIRECT(ADDRESS(ROW()+1, COLUMN(), 4, TRUE, "Import-dataset")) / INDIRECT(ADDRESS(ROW(), COLUMN(), 4, TRUE, "Import-dataset")), "" )</f>
        <v>0.94043226146547176</v>
      </c>
      <c r="BD36" s="6" cm="1">
        <f t="array" aca="1" ref="BD36" ca="1">IFERROR( INDIRECT(ADDRESS(ROW()+1, COLUMN(), 4, TRUE, "Import-dataset")) / INDIRECT(ADDRESS(ROW(), COLUMN(), 4, TRUE, "Import-dataset")), "" )</f>
        <v>1.223679245283019</v>
      </c>
      <c r="BE36" s="6" cm="1">
        <f t="array" aca="1" ref="BE36" ca="1">IFERROR( INDIRECT(ADDRESS(ROW()+1, COLUMN(), 4, TRUE, "Import-dataset")) / INDIRECT(ADDRESS(ROW(), COLUMN(), 4, TRUE, "Import-dataset")), "" )</f>
        <v>1.292942743009321</v>
      </c>
      <c r="BF36" s="6" cm="1">
        <f t="array" aca="1" ref="BF36" ca="1">IFERROR( INDIRECT(ADDRESS(ROW()+1, COLUMN(), 4, TRUE, "Import-dataset")) / INDIRECT(ADDRESS(ROW(), COLUMN(), 4, TRUE, "Import-dataset")), "" )</f>
        <v>1.0805206405921011</v>
      </c>
      <c r="BG36" s="6" cm="1">
        <f t="array" aca="1" ref="BG36" ca="1">IFERROR( INDIRECT(ADDRESS(ROW()+1, COLUMN(), 4, TRUE, "Import-dataset")) / INDIRECT(ADDRESS(ROW(), COLUMN(), 4, TRUE, "Import-dataset")), "" )</f>
        <v>1.0601364913689282</v>
      </c>
      <c r="BH36" s="6" cm="1">
        <f t="array" aca="1" ref="BH36" ca="1">IFERROR( INDIRECT(ADDRESS(ROW()+1, COLUMN(), 4, TRUE, "Import-dataset")) / INDIRECT(ADDRESS(ROW(), COLUMN(), 4, TRUE, "Import-dataset")), "" )</f>
        <v>1.0053445531043894</v>
      </c>
      <c r="BI36" s="6" cm="1">
        <f t="array" aca="1" ref="BI36" ca="1">IFERROR( INDIRECT(ADDRESS(ROW()+1, COLUMN(), 4, TRUE, "Import-dataset")) / INDIRECT(ADDRESS(ROW(), COLUMN(), 4, TRUE, "Import-dataset")), "" )</f>
        <v>1.098909700866648</v>
      </c>
      <c r="BJ36" s="6" cm="1">
        <f t="array" aca="1" ref="BJ36" ca="1">IFERROR( INDIRECT(ADDRESS(ROW()+1, COLUMN(), 4, TRUE, "Import-dataset")) / INDIRECT(ADDRESS(ROW(), COLUMN(), 4, TRUE, "Import-dataset")), "" )</f>
        <v>1.2798041907945794</v>
      </c>
      <c r="BK36" s="6" cm="1">
        <f t="array" aca="1" ref="BK36" ca="1">IFERROR( INDIRECT(ADDRESS(ROW()+1, COLUMN(), 4, TRUE, "Import-dataset")) / INDIRECT(ADDRESS(ROW(), COLUMN(), 4, TRUE, "Import-dataset")), "" )</f>
        <v>1.0293118856121537</v>
      </c>
      <c r="BL36" s="6" cm="1">
        <f t="array" aca="1" ref="BL36" ca="1">IFERROR( INDIRECT(ADDRESS(ROW()+1, COLUMN(), 4, TRUE, "Import-dataset")) / INDIRECT(ADDRESS(ROW(), COLUMN(), 4, TRUE, "Import-dataset")), "" )</f>
        <v>1.0889048177592424</v>
      </c>
      <c r="BM36" s="6" cm="1">
        <f t="array" aca="1" ref="BM36" ca="1">IFERROR( INDIRECT(ADDRESS(ROW()+1, COLUMN(), 4, TRUE, "Import-dataset")) / INDIRECT(ADDRESS(ROW(), COLUMN(), 4, TRUE, "Import-dataset")), "" )</f>
        <v>1.13441483198146</v>
      </c>
      <c r="BN36" s="6" cm="1">
        <f t="array" aca="1" ref="BN36" ca="1">IFERROR( INDIRECT(ADDRESS(ROW()+1, COLUMN(), 4, TRUE, "Import-dataset")) / INDIRECT(ADDRESS(ROW(), COLUMN(), 4, TRUE, "Import-dataset")), "" )</f>
        <v>1.0809724349157734</v>
      </c>
      <c r="BO36" s="6" cm="1">
        <f t="array" aca="1" ref="BO36" ca="1">IFERROR( INDIRECT(ADDRESS(ROW()+1, COLUMN(), 4, TRUE, "Import-dataset")) / INDIRECT(ADDRESS(ROW(), COLUMN(), 4, TRUE, "Import-dataset")), "" )</f>
        <v>1.0793650793650793</v>
      </c>
      <c r="BP36" s="6" cm="1">
        <f t="array" aca="1" ref="BP36" ca="1">IFERROR( INDIRECT(ADDRESS(ROW()+1, COLUMN(), 4, TRUE, "Import-dataset")) / INDIRECT(ADDRESS(ROW(), COLUMN(), 4, TRUE, "Import-dataset")), "" )</f>
        <v>1.0783428234832122</v>
      </c>
      <c r="BQ36" s="6" cm="1">
        <f t="array" aca="1" ref="BQ36" ca="1">IFERROR( INDIRECT(ADDRESS(ROW()+1, COLUMN(), 4, TRUE, "Import-dataset")) / INDIRECT(ADDRESS(ROW(), COLUMN(), 4, TRUE, "Import-dataset")), "" )</f>
        <v>1.144280968201234</v>
      </c>
      <c r="BR36" s="6" cm="1">
        <f t="array" aca="1" ref="BR36" ca="1">IFERROR( INDIRECT(ADDRESS(ROW()+1, COLUMN(), 4, TRUE, "Import-dataset")) / INDIRECT(ADDRESS(ROW(), COLUMN(), 4, TRUE, "Import-dataset")), "" )</f>
        <v>1.0537509667440061</v>
      </c>
      <c r="BS36" s="6" cm="1">
        <f t="array" aca="1" ref="BS36" ca="1">IFERROR( INDIRECT(ADDRESS(ROW()+1, COLUMN(), 4, TRUE, "Import-dataset")) / INDIRECT(ADDRESS(ROW(), COLUMN(), 4, TRUE, "Import-dataset")), "" )</f>
        <v>1.1000532197977648</v>
      </c>
      <c r="BT36" s="6" cm="1">
        <f t="array" aca="1" ref="BT36" ca="1">IFERROR( INDIRECT(ADDRESS(ROW()+1, COLUMN(), 4, TRUE, "Import-dataset")) / INDIRECT(ADDRESS(ROW(), COLUMN(), 4, TRUE, "Import-dataset")), "" )</f>
        <v>1.1029458751357915</v>
      </c>
      <c r="BU36" s="6" cm="1">
        <f t="array" aca="1" ref="BU36" ca="1">IFERROR( INDIRECT(ADDRESS(ROW()+1, COLUMN(), 4, TRUE, "Import-dataset")) / INDIRECT(ADDRESS(ROW(), COLUMN(), 4, TRUE, "Import-dataset")), "" )</f>
        <v>0.94099378881987583</v>
      </c>
      <c r="BV36" s="6" cm="1">
        <f t="array" aca="1" ref="BV36" ca="1">IFERROR( INDIRECT(ADDRESS(ROW()+1, COLUMN(), 4, TRUE, "Import-dataset")) / INDIRECT(ADDRESS(ROW(), COLUMN(), 4, TRUE, "Import-dataset")), "" )</f>
        <v>2</v>
      </c>
      <c r="BW36" s="6" cm="1">
        <f t="array" aca="1" ref="BW36" ca="1">IFERROR( INDIRECT(ADDRESS(ROW()+1, COLUMN(), 4, TRUE, "Import-dataset")) / INDIRECT(ADDRESS(ROW(), COLUMN(), 4, TRUE, "Import-dataset")), "" )</f>
        <v>0.93333333333333335</v>
      </c>
      <c r="BX36" s="6" cm="1">
        <f t="array" aca="1" ref="BX36" ca="1">IFERROR( INDIRECT(ADDRESS(ROW()+1, COLUMN(), 4, TRUE, "Import-dataset")) / INDIRECT(ADDRESS(ROW(), COLUMN(), 4, TRUE, "Import-dataset")), "" )</f>
        <v>0.91666666666666663</v>
      </c>
      <c r="BY36" s="6" cm="1">
        <f t="array" aca="1" ref="BY36" ca="1">IFERROR( INDIRECT(ADDRESS(ROW()+1, COLUMN(), 4, TRUE, "Import-dataset")) / INDIRECT(ADDRESS(ROW(), COLUMN(), 4, TRUE, "Import-dataset")), "" )</f>
        <v>0.70862293657688968</v>
      </c>
      <c r="BZ36" s="6" cm="1">
        <f t="array" aca="1" ref="BZ36" ca="1">IFERROR( INDIRECT(ADDRESS(ROW()+1, COLUMN(), 4, TRUE, "Import-dataset")) / INDIRECT(ADDRESS(ROW(), COLUMN(), 4, TRUE, "Import-dataset")), "" )</f>
        <v>1.753419452887538</v>
      </c>
      <c r="CA36" s="6" cm="1">
        <f t="array" aca="1" ref="CA36" ca="1">IFERROR( INDIRECT(ADDRESS(ROW()+1, COLUMN(), 4, TRUE, "Import-dataset")) / INDIRECT(ADDRESS(ROW(), COLUMN(), 4, TRUE, "Import-dataset")), "" )</f>
        <v>1.1247637115424569</v>
      </c>
    </row>
    <row r="37" spans="1:79">
      <c r="A37" s="6" t="s">
        <v>194</v>
      </c>
      <c r="B37" s="6" cm="1">
        <f t="array" aca="1" ref="B37" ca="1">IFERROR( INDIRECT(ADDRESS(ROW()+1, COLUMN(), 4, TRUE, "Import-dataset")) / INDIRECT(ADDRESS(ROW(), COLUMN(), 4, TRUE, "Import-dataset")), "" )</f>
        <v>1.1893967093235831</v>
      </c>
      <c r="C37" s="6" cm="1">
        <f t="array" aca="1" ref="C37" ca="1">IFERROR( INDIRECT(ADDRESS(ROW()+1, COLUMN(), 4, TRUE, "Import-dataset")) / INDIRECT(ADDRESS(ROW(), COLUMN(), 4, TRUE, "Import-dataset")), "" )</f>
        <v>1.0705128205128205</v>
      </c>
      <c r="D37" s="6" cm="1">
        <f t="array" aca="1" ref="D37" ca="1">IFERROR( INDIRECT(ADDRESS(ROW()+1, COLUMN(), 4, TRUE, "Import-dataset")) / INDIRECT(ADDRESS(ROW(), COLUMN(), 4, TRUE, "Import-dataset")), "" )</f>
        <v>1.1076604554865424</v>
      </c>
      <c r="E37" s="6" cm="1">
        <f t="array" aca="1" ref="E37" ca="1">IFERROR( INDIRECT(ADDRESS(ROW()+1, COLUMN(), 4, TRUE, "Import-dataset")) / INDIRECT(ADDRESS(ROW(), COLUMN(), 4, TRUE, "Import-dataset")), "" )</f>
        <v>1.2579972183588317</v>
      </c>
      <c r="F37" s="6" cm="1">
        <f t="array" aca="1" ref="F37" ca="1">IFERROR( INDIRECT(ADDRESS(ROW()+1, COLUMN(), 4, TRUE, "Import-dataset")) / INDIRECT(ADDRESS(ROW(), COLUMN(), 4, TRUE, "Import-dataset")), "" )</f>
        <v>1.3068303094983991</v>
      </c>
      <c r="G37" s="6" cm="1">
        <f t="array" aca="1" ref="G37" ca="1">IFERROR( INDIRECT(ADDRESS(ROW()+1, COLUMN(), 4, TRUE, "Import-dataset")) / INDIRECT(ADDRESS(ROW(), COLUMN(), 4, TRUE, "Import-dataset")), "" )</f>
        <v>1.1644470179502027</v>
      </c>
      <c r="H37" s="6" cm="1">
        <f t="array" aca="1" ref="H37" ca="1">IFERROR( INDIRECT(ADDRESS(ROW()+1, COLUMN(), 4, TRUE, "Import-dataset")) / INDIRECT(ADDRESS(ROW(), COLUMN(), 4, TRUE, "Import-dataset")), "" )</f>
        <v>1.1149101163200563</v>
      </c>
      <c r="I37" s="6" cm="1">
        <f t="array" aca="1" ref="I37" ca="1">IFERROR( INDIRECT(ADDRESS(ROW()+1, COLUMN(), 4, TRUE, "Import-dataset")) / INDIRECT(ADDRESS(ROW(), COLUMN(), 4, TRUE, "Import-dataset")), "" )</f>
        <v>1.1507128309572301</v>
      </c>
      <c r="J37" s="6" cm="1">
        <f t="array" aca="1" ref="J37" ca="1">IFERROR( INDIRECT(ADDRESS(ROW()+1, COLUMN(), 4, TRUE, "Import-dataset")) / INDIRECT(ADDRESS(ROW(), COLUMN(), 4, TRUE, "Import-dataset")), "" )</f>
        <v>1.1857670979667283</v>
      </c>
      <c r="K37" s="6" cm="1">
        <f t="array" aca="1" ref="K37" ca="1">IFERROR( INDIRECT(ADDRESS(ROW()+1, COLUMN(), 4, TRUE, "Import-dataset")) / INDIRECT(ADDRESS(ROW(), COLUMN(), 4, TRUE, "Import-dataset")), "" )</f>
        <v>1.360655737704918</v>
      </c>
      <c r="L37" s="6" cm="1">
        <f t="array" aca="1" ref="L37" ca="1">IFERROR( INDIRECT(ADDRESS(ROW()+1, COLUMN(), 4, TRUE, "Import-dataset")) / INDIRECT(ADDRESS(ROW(), COLUMN(), 4, TRUE, "Import-dataset")), "" )</f>
        <v>1.1493635077793494</v>
      </c>
      <c r="M37" s="6" cm="1">
        <f t="array" aca="1" ref="M37" ca="1">IFERROR( INDIRECT(ADDRESS(ROW()+1, COLUMN(), 4, TRUE, "Import-dataset")) / INDIRECT(ADDRESS(ROW(), COLUMN(), 4, TRUE, "Import-dataset")), "" )</f>
        <v>1.1162655842273124</v>
      </c>
      <c r="N37" s="6" cm="1">
        <f t="array" aca="1" ref="N37" ca="1">IFERROR( INDIRECT(ADDRESS(ROW()+1, COLUMN(), 4, TRUE, "Import-dataset")) / INDIRECT(ADDRESS(ROW(), COLUMN(), 4, TRUE, "Import-dataset")), "" )</f>
        <v>1.1552478134110786</v>
      </c>
      <c r="O37" s="6" cm="1">
        <f t="array" aca="1" ref="O37" ca="1">IFERROR( INDIRECT(ADDRESS(ROW()+1, COLUMN(), 4, TRUE, "Import-dataset")) / INDIRECT(ADDRESS(ROW(), COLUMN(), 4, TRUE, "Import-dataset")), "" )</f>
        <v>0.96875</v>
      </c>
      <c r="P37" s="6" cm="1">
        <f t="array" aca="1" ref="P37" ca="1">IFERROR( INDIRECT(ADDRESS(ROW()+1, COLUMN(), 4, TRUE, "Import-dataset")) / INDIRECT(ADDRESS(ROW(), COLUMN(), 4, TRUE, "Import-dataset")), "" )</f>
        <v>1.0955968919237109</v>
      </c>
      <c r="Q37" s="6" cm="1">
        <f t="array" aca="1" ref="Q37" ca="1">IFERROR( INDIRECT(ADDRESS(ROW()+1, COLUMN(), 4, TRUE, "Import-dataset")) / INDIRECT(ADDRESS(ROW(), COLUMN(), 4, TRUE, "Import-dataset")), "" )</f>
        <v>2</v>
      </c>
      <c r="R37" s="6" cm="1">
        <f t="array" aca="1" ref="R37" ca="1">IFERROR( INDIRECT(ADDRESS(ROW()+1, COLUMN(), 4, TRUE, "Import-dataset")) / INDIRECT(ADDRESS(ROW(), COLUMN(), 4, TRUE, "Import-dataset")), "" )</f>
        <v>1.3235294117647058</v>
      </c>
      <c r="S37" s="6" cm="1">
        <f t="array" aca="1" ref="S37" ca="1">IFERROR( INDIRECT(ADDRESS(ROW()+1, COLUMN(), 4, TRUE, "Import-dataset")) / INDIRECT(ADDRESS(ROW(), COLUMN(), 4, TRUE, "Import-dataset")), "" )</f>
        <v>1.1044776119402986</v>
      </c>
      <c r="T37" s="6" cm="1">
        <f t="array" aca="1" ref="T37" ca="1">IFERROR( INDIRECT(ADDRESS(ROW()+1, COLUMN(), 4, TRUE, "Import-dataset")) / INDIRECT(ADDRESS(ROW(), COLUMN(), 4, TRUE, "Import-dataset")), "" )</f>
        <v>1.373929590865842</v>
      </c>
      <c r="U37" s="6" cm="1">
        <f t="array" aca="1" ref="U37" ca="1">IFERROR( INDIRECT(ADDRESS(ROW()+1, COLUMN(), 4, TRUE, "Import-dataset")) / INDIRECT(ADDRESS(ROW(), COLUMN(), 4, TRUE, "Import-dataset")), "" )</f>
        <v>1.2989323843416369</v>
      </c>
      <c r="V37" s="6" cm="1">
        <f t="array" aca="1" ref="V37" ca="1">IFERROR( INDIRECT(ADDRESS(ROW()+1, COLUMN(), 4, TRUE, "Import-dataset")) / INDIRECT(ADDRESS(ROW(), COLUMN(), 4, TRUE, "Import-dataset")), "" )</f>
        <v>1.0869565217391304</v>
      </c>
      <c r="W37" s="6" cm="1">
        <f t="array" aca="1" ref="W37" ca="1">IFERROR( INDIRECT(ADDRESS(ROW()+1, COLUMN(), 4, TRUE, "Import-dataset")) / INDIRECT(ADDRESS(ROW(), COLUMN(), 4, TRUE, "Import-dataset")), "" )</f>
        <v>1.4178403755868545</v>
      </c>
      <c r="X37" s="6" cm="1">
        <f t="array" aca="1" ref="X37" ca="1">IFERROR( INDIRECT(ADDRESS(ROW()+1, COLUMN(), 4, TRUE, "Import-dataset")) / INDIRECT(ADDRESS(ROW(), COLUMN(), 4, TRUE, "Import-dataset")), "" )</f>
        <v>0.66315789473684206</v>
      </c>
      <c r="Y37" s="6" cm="1">
        <f t="array" aca="1" ref="Y37" ca="1">IFERROR( INDIRECT(ADDRESS(ROW()+1, COLUMN(), 4, TRUE, "Import-dataset")) / INDIRECT(ADDRESS(ROW(), COLUMN(), 4, TRUE, "Import-dataset")), "" )</f>
        <v>1.2373595505617978</v>
      </c>
      <c r="Z37" s="6" cm="1">
        <f t="array" aca="1" ref="Z37" ca="1">IFERROR( INDIRECT(ADDRESS(ROW()+1, COLUMN(), 4, TRUE, "Import-dataset")) / INDIRECT(ADDRESS(ROW(), COLUMN(), 4, TRUE, "Import-dataset")), "" )</f>
        <v>1.9045496642741375</v>
      </c>
      <c r="AA37" s="6" cm="1">
        <f t="array" aca="1" ref="AA37" ca="1">IFERROR( INDIRECT(ADDRESS(ROW()+1, COLUMN(), 4, TRUE, "Import-dataset")) / INDIRECT(ADDRESS(ROW(), COLUMN(), 4, TRUE, "Import-dataset")), "" )</f>
        <v>1.875</v>
      </c>
      <c r="AB37" s="6" cm="1">
        <f t="array" aca="1" ref="AB37" ca="1">IFERROR( INDIRECT(ADDRESS(ROW()+1, COLUMN(), 4, TRUE, "Import-dataset")) / INDIRECT(ADDRESS(ROW(), COLUMN(), 4, TRUE, "Import-dataset")), "" )</f>
        <v>1.9117025026436376</v>
      </c>
      <c r="AC37" s="6" cm="1">
        <f t="array" aca="1" ref="AC37" ca="1">IFERROR( INDIRECT(ADDRESS(ROW()+1, COLUMN(), 4, TRUE, "Import-dataset")) / INDIRECT(ADDRESS(ROW(), COLUMN(), 4, TRUE, "Import-dataset")), "" )</f>
        <v>1.1354838709677419</v>
      </c>
      <c r="AD37" s="6" cm="1">
        <f t="array" aca="1" ref="AD37" ca="1">IFERROR( INDIRECT(ADDRESS(ROW()+1, COLUMN(), 4, TRUE, "Import-dataset")) / INDIRECT(ADDRESS(ROW(), COLUMN(), 4, TRUE, "Import-dataset")), "" )</f>
        <v>1.3164861612515042</v>
      </c>
      <c r="AE37" s="6" cm="1">
        <f t="array" aca="1" ref="AE37" ca="1">IFERROR( INDIRECT(ADDRESS(ROW()+1, COLUMN(), 4, TRUE, "Import-dataset")) / INDIRECT(ADDRESS(ROW(), COLUMN(), 4, TRUE, "Import-dataset")), "" )</f>
        <v>1.4222222222222223</v>
      </c>
      <c r="AF37" s="6" cm="1">
        <f t="array" aca="1" ref="AF37" ca="1">IFERROR( INDIRECT(ADDRESS(ROW()+1, COLUMN(), 4, TRUE, "Import-dataset")) / INDIRECT(ADDRESS(ROW(), COLUMN(), 4, TRUE, "Import-dataset")), "" )</f>
        <v>1.3058823529411765</v>
      </c>
      <c r="AG37" s="6" cm="1">
        <f t="array" aca="1" ref="AG37" ca="1">IFERROR( INDIRECT(ADDRESS(ROW()+1, COLUMN(), 4, TRUE, "Import-dataset")) / INDIRECT(ADDRESS(ROW(), COLUMN(), 4, TRUE, "Import-dataset")), "" )</f>
        <v>1.2459016393442623</v>
      </c>
      <c r="AH37" s="6" cm="1">
        <f t="array" aca="1" ref="AH37" ca="1">IFERROR( INDIRECT(ADDRESS(ROW()+1, COLUMN(), 4, TRUE, "Import-dataset")) / INDIRECT(ADDRESS(ROW(), COLUMN(), 4, TRUE, "Import-dataset")), "" )</f>
        <v>1.3882120958374977</v>
      </c>
      <c r="AI37" s="6" cm="1">
        <f t="array" aca="1" ref="AI37" ca="1">IFERROR( INDIRECT(ADDRESS(ROW()+1, COLUMN(), 4, TRUE, "Import-dataset")) / INDIRECT(ADDRESS(ROW(), COLUMN(), 4, TRUE, "Import-dataset")), "" )</f>
        <v>1.2307440183546379</v>
      </c>
      <c r="AJ37" s="6" cm="1">
        <f t="array" aca="1" ref="AJ37" ca="1">IFERROR( INDIRECT(ADDRESS(ROW()+1, COLUMN(), 4, TRUE, "Import-dataset")) / INDIRECT(ADDRESS(ROW(), COLUMN(), 4, TRUE, "Import-dataset")), "" )</f>
        <v>2.644634525660964</v>
      </c>
      <c r="AK37" s="6" cm="1">
        <f t="array" aca="1" ref="AK37" ca="1">IFERROR( INDIRECT(ADDRESS(ROW()+1, COLUMN(), 4, TRUE, "Import-dataset")) / INDIRECT(ADDRESS(ROW(), COLUMN(), 4, TRUE, "Import-dataset")), "" )</f>
        <v>1.0998263888888888</v>
      </c>
      <c r="AL37" s="6" cm="1">
        <f t="array" aca="1" ref="AL37" ca="1">IFERROR( INDIRECT(ADDRESS(ROW()+1, COLUMN(), 4, TRUE, "Import-dataset")) / INDIRECT(ADDRESS(ROW(), COLUMN(), 4, TRUE, "Import-dataset")), "" )</f>
        <v>1.2935680433310766</v>
      </c>
      <c r="AM37" s="6" cm="1">
        <f t="array" aca="1" ref="AM37" ca="1">IFERROR( INDIRECT(ADDRESS(ROW()+1, COLUMN(), 4, TRUE, "Import-dataset")) / INDIRECT(ADDRESS(ROW(), COLUMN(), 4, TRUE, "Import-dataset")), "" )</f>
        <v>1.2061642061642062</v>
      </c>
      <c r="AN37" s="6" cm="1">
        <f t="array" aca="1" ref="AN37" ca="1">IFERROR( INDIRECT(ADDRESS(ROW()+1, COLUMN(), 4, TRUE, "Import-dataset")) / INDIRECT(ADDRESS(ROW(), COLUMN(), 4, TRUE, "Import-dataset")), "" )</f>
        <v>1.7348738218303437</v>
      </c>
      <c r="AO37" s="6" cm="1">
        <f t="array" aca="1" ref="AO37" ca="1">IFERROR( INDIRECT(ADDRESS(ROW()+1, COLUMN(), 4, TRUE, "Import-dataset")) / INDIRECT(ADDRESS(ROW(), COLUMN(), 4, TRUE, "Import-dataset")), "" )</f>
        <v>1.1759432200224131</v>
      </c>
      <c r="AP37" s="6" cm="1">
        <f t="array" aca="1" ref="AP37" ca="1">IFERROR( INDIRECT(ADDRESS(ROW()+1, COLUMN(), 4, TRUE, "Import-dataset")) / INDIRECT(ADDRESS(ROW(), COLUMN(), 4, TRUE, "Import-dataset")), "" )</f>
        <v>1.1707516339869282</v>
      </c>
      <c r="AQ37" s="6" cm="1">
        <f t="array" aca="1" ref="AQ37" ca="1">IFERROR( INDIRECT(ADDRESS(ROW()+1, COLUMN(), 4, TRUE, "Import-dataset")) / INDIRECT(ADDRESS(ROW(), COLUMN(), 4, TRUE, "Import-dataset")), "" )</f>
        <v>1.666815144766147</v>
      </c>
      <c r="AR37" s="6" cm="1">
        <f t="array" aca="1" ref="AR37" ca="1">IFERROR( INDIRECT(ADDRESS(ROW()+1, COLUMN(), 4, TRUE, "Import-dataset")) / INDIRECT(ADDRESS(ROW(), COLUMN(), 4, TRUE, "Import-dataset")), "" )</f>
        <v>1.1904967953051897</v>
      </c>
      <c r="AS37" s="6" cm="1">
        <f t="array" aca="1" ref="AS37" ca="1">IFERROR( INDIRECT(ADDRESS(ROW()+1, COLUMN(), 4, TRUE, "Import-dataset")) / INDIRECT(ADDRESS(ROW(), COLUMN(), 4, TRUE, "Import-dataset")), "" )</f>
        <v>1.1609195402298851</v>
      </c>
      <c r="AT37" s="6" cm="1">
        <f t="array" aca="1" ref="AT37" ca="1">IFERROR( INDIRECT(ADDRESS(ROW()+1, COLUMN(), 4, TRUE, "Import-dataset")) / INDIRECT(ADDRESS(ROW(), COLUMN(), 4, TRUE, "Import-dataset")), "" )</f>
        <v>1.177971947574155</v>
      </c>
      <c r="AU37" s="6" cm="1">
        <f t="array" aca="1" ref="AU37" ca="1">IFERROR( INDIRECT(ADDRESS(ROW()+1, COLUMN(), 4, TRUE, "Import-dataset")) / INDIRECT(ADDRESS(ROW(), COLUMN(), 4, TRUE, "Import-dataset")), "" )</f>
        <v>1.2187127532777116</v>
      </c>
      <c r="AV37" s="6" cm="1">
        <f t="array" aca="1" ref="AV37" ca="1">IFERROR( INDIRECT(ADDRESS(ROW()+1, COLUMN(), 4, TRUE, "Import-dataset")) / INDIRECT(ADDRESS(ROW(), COLUMN(), 4, TRUE, "Import-dataset")), "" )</f>
        <v>1.1818464407833384</v>
      </c>
      <c r="AW37" s="6" cm="1">
        <f t="array" aca="1" ref="AW37" ca="1">IFERROR( INDIRECT(ADDRESS(ROW()+1, COLUMN(), 4, TRUE, "Import-dataset")) / INDIRECT(ADDRESS(ROW(), COLUMN(), 4, TRUE, "Import-dataset")), "" )</f>
        <v>1.1344842284739982</v>
      </c>
      <c r="AX37" s="6" cm="1">
        <f t="array" aca="1" ref="AX37" ca="1">IFERROR( INDIRECT(ADDRESS(ROW()+1, COLUMN(), 4, TRUE, "Import-dataset")) / INDIRECT(ADDRESS(ROW(), COLUMN(), 4, TRUE, "Import-dataset")), "" )</f>
        <v>1.12940901658491</v>
      </c>
      <c r="AY37" s="6" cm="1">
        <f t="array" aca="1" ref="AY37" ca="1">IFERROR( INDIRECT(ADDRESS(ROW()+1, COLUMN(), 4, TRUE, "Import-dataset")) / INDIRECT(ADDRESS(ROW(), COLUMN(), 4, TRUE, "Import-dataset")), "" )</f>
        <v>1.2874074074074073</v>
      </c>
      <c r="AZ37" s="6" cm="1">
        <f t="array" aca="1" ref="AZ37" ca="1">IFERROR( INDIRECT(ADDRESS(ROW()+1, COLUMN(), 4, TRUE, "Import-dataset")) / INDIRECT(ADDRESS(ROW(), COLUMN(), 4, TRUE, "Import-dataset")), "" )</f>
        <v>1.2384122287968442</v>
      </c>
      <c r="BA37" s="6" cm="1">
        <f t="array" aca="1" ref="BA37" ca="1">IFERROR( INDIRECT(ADDRESS(ROW()+1, COLUMN(), 4, TRUE, "Import-dataset")) / INDIRECT(ADDRESS(ROW(), COLUMN(), 4, TRUE, "Import-dataset")), "" )</f>
        <v>1.1880904666475809</v>
      </c>
      <c r="BB37" s="6" cm="1">
        <f t="array" aca="1" ref="BB37" ca="1">IFERROR( INDIRECT(ADDRESS(ROW()+1, COLUMN(), 4, TRUE, "Import-dataset")) / INDIRECT(ADDRESS(ROW(), COLUMN(), 4, TRUE, "Import-dataset")), "" )</f>
        <v>1.1587459842694139</v>
      </c>
      <c r="BC37" s="6" cm="1">
        <f t="array" aca="1" ref="BC37" ca="1">IFERROR( INDIRECT(ADDRESS(ROW()+1, COLUMN(), 4, TRUE, "Import-dataset")) / INDIRECT(ADDRESS(ROW(), COLUMN(), 4, TRUE, "Import-dataset")), "" )</f>
        <v>1.1677877428998504</v>
      </c>
      <c r="BD37" s="6" cm="1">
        <f t="array" aca="1" ref="BD37" ca="1">IFERROR( INDIRECT(ADDRESS(ROW()+1, COLUMN(), 4, TRUE, "Import-dataset")) / INDIRECT(ADDRESS(ROW(), COLUMN(), 4, TRUE, "Import-dataset")), "" )</f>
        <v>1.218872870249017</v>
      </c>
      <c r="BE37" s="6" cm="1">
        <f t="array" aca="1" ref="BE37" ca="1">IFERROR( INDIRECT(ADDRESS(ROW()+1, COLUMN(), 4, TRUE, "Import-dataset")) / INDIRECT(ADDRESS(ROW(), COLUMN(), 4, TRUE, "Import-dataset")), "" )</f>
        <v>1.1277033985581875</v>
      </c>
      <c r="BF37" s="6" cm="1">
        <f t="array" aca="1" ref="BF37" ca="1">IFERROR( INDIRECT(ADDRESS(ROW()+1, COLUMN(), 4, TRUE, "Import-dataset")) / INDIRECT(ADDRESS(ROW(), COLUMN(), 4, TRUE, "Import-dataset")), "" )</f>
        <v>1.1736049601417184</v>
      </c>
      <c r="BG37" s="6" cm="1">
        <f t="array" aca="1" ref="BG37" ca="1">IFERROR( INDIRECT(ADDRESS(ROW()+1, COLUMN(), 4, TRUE, "Import-dataset")) / INDIRECT(ADDRESS(ROW(), COLUMN(), 4, TRUE, "Import-dataset")), "" )</f>
        <v>1.1153438352014542</v>
      </c>
      <c r="BH37" s="6" cm="1">
        <f t="array" aca="1" ref="BH37" ca="1">IFERROR( INDIRECT(ADDRESS(ROW()+1, COLUMN(), 4, TRUE, "Import-dataset")) / INDIRECT(ADDRESS(ROW(), COLUMN(), 4, TRUE, "Import-dataset")), "" )</f>
        <v>1.1503789164121705</v>
      </c>
      <c r="BI37" s="6" cm="1">
        <f t="array" aca="1" ref="BI37" ca="1">IFERROR( INDIRECT(ADDRESS(ROW()+1, COLUMN(), 4, TRUE, "Import-dataset")) / INDIRECT(ADDRESS(ROW(), COLUMN(), 4, TRUE, "Import-dataset")), "" )</f>
        <v>1.1854584308537701</v>
      </c>
      <c r="BJ37" s="6" cm="1">
        <f t="array" aca="1" ref="BJ37" ca="1">IFERROR( INDIRECT(ADDRESS(ROW()+1, COLUMN(), 4, TRUE, "Import-dataset")) / INDIRECT(ADDRESS(ROW(), COLUMN(), 4, TRUE, "Import-dataset")), "" )</f>
        <v>1.167319712659763</v>
      </c>
      <c r="BK37" s="6" cm="1">
        <f t="array" aca="1" ref="BK37" ca="1">IFERROR( INDIRECT(ADDRESS(ROW()+1, COLUMN(), 4, TRUE, "Import-dataset")) / INDIRECT(ADDRESS(ROW(), COLUMN(), 4, TRUE, "Import-dataset")), "" )</f>
        <v>0.94703941656537594</v>
      </c>
      <c r="BL37" s="6" cm="1">
        <f t="array" aca="1" ref="BL37" ca="1">IFERROR( INDIRECT(ADDRESS(ROW()+1, COLUMN(), 4, TRUE, "Import-dataset")) / INDIRECT(ADDRESS(ROW(), COLUMN(), 4, TRUE, "Import-dataset")), "" )</f>
        <v>1.1465161277453073</v>
      </c>
      <c r="BM37" s="6" cm="1">
        <f t="array" aca="1" ref="BM37" ca="1">IFERROR( INDIRECT(ADDRESS(ROW()+1, COLUMN(), 4, TRUE, "Import-dataset")) / INDIRECT(ADDRESS(ROW(), COLUMN(), 4, TRUE, "Import-dataset")), "" )</f>
        <v>1.0909090909090908</v>
      </c>
      <c r="BN37" s="6" cm="1">
        <f t="array" aca="1" ref="BN37" ca="1">IFERROR( INDIRECT(ADDRESS(ROW()+1, COLUMN(), 4, TRUE, "Import-dataset")) / INDIRECT(ADDRESS(ROW(), COLUMN(), 4, TRUE, "Import-dataset")), "" )</f>
        <v>1.1096157251638037</v>
      </c>
      <c r="BO37" s="6" cm="1">
        <f t="array" aca="1" ref="BO37" ca="1">IFERROR( INDIRECT(ADDRESS(ROW()+1, COLUMN(), 4, TRUE, "Import-dataset")) / INDIRECT(ADDRESS(ROW(), COLUMN(), 4, TRUE, "Import-dataset")), "" )</f>
        <v>1.3498774509803921</v>
      </c>
      <c r="BP37" s="6" cm="1">
        <f t="array" aca="1" ref="BP37" ca="1">IFERROR( INDIRECT(ADDRESS(ROW()+1, COLUMN(), 4, TRUE, "Import-dataset")) / INDIRECT(ADDRESS(ROW(), COLUMN(), 4, TRUE, "Import-dataset")), "" )</f>
        <v>1.1679715950473415</v>
      </c>
      <c r="BQ37" s="6" cm="1">
        <f t="array" aca="1" ref="BQ37" ca="1">IFERROR( INDIRECT(ADDRESS(ROW()+1, COLUMN(), 4, TRUE, "Import-dataset")) / INDIRECT(ADDRESS(ROW(), COLUMN(), 4, TRUE, "Import-dataset")), "" )</f>
        <v>1.287432600580672</v>
      </c>
      <c r="BR37" s="6" cm="1">
        <f t="array" aca="1" ref="BR37" ca="1">IFERROR( INDIRECT(ADDRESS(ROW()+1, COLUMN(), 4, TRUE, "Import-dataset")) / INDIRECT(ADDRESS(ROW(), COLUMN(), 4, TRUE, "Import-dataset")), "" )</f>
        <v>1.1136391437308868</v>
      </c>
      <c r="BS37" s="6" cm="1">
        <f t="array" aca="1" ref="BS37" ca="1">IFERROR( INDIRECT(ADDRESS(ROW()+1, COLUMN(), 4, TRUE, "Import-dataset")) / INDIRECT(ADDRESS(ROW(), COLUMN(), 4, TRUE, "Import-dataset")), "" )</f>
        <v>1.2002902757619738</v>
      </c>
      <c r="BT37" s="6" cm="1">
        <f t="array" aca="1" ref="BT37" ca="1">IFERROR( INDIRECT(ADDRESS(ROW()+1, COLUMN(), 4, TRUE, "Import-dataset")) / INDIRECT(ADDRESS(ROW(), COLUMN(), 4, TRUE, "Import-dataset")), "" )</f>
        <v>1.1212050984936268</v>
      </c>
      <c r="BU37" s="6" cm="1">
        <f t="array" aca="1" ref="BU37" ca="1">IFERROR( INDIRECT(ADDRESS(ROW()+1, COLUMN(), 4, TRUE, "Import-dataset")) / INDIRECT(ADDRESS(ROW(), COLUMN(), 4, TRUE, "Import-dataset")), "" )</f>
        <v>1.0964231558290964</v>
      </c>
      <c r="BV37" s="6" cm="1">
        <f t="array" aca="1" ref="BV37" ca="1">IFERROR( INDIRECT(ADDRESS(ROW()+1, COLUMN(), 4, TRUE, "Import-dataset")) / INDIRECT(ADDRESS(ROW(), COLUMN(), 4, TRUE, "Import-dataset")), "" )</f>
        <v>0.75</v>
      </c>
      <c r="BW37" s="6" cm="1">
        <f t="array" aca="1" ref="BW37" ca="1">IFERROR( INDIRECT(ADDRESS(ROW()+1, COLUMN(), 4, TRUE, "Import-dataset")) / INDIRECT(ADDRESS(ROW(), COLUMN(), 4, TRUE, "Import-dataset")), "" )</f>
        <v>1.4285714285714286</v>
      </c>
      <c r="BX37" s="6" cm="1">
        <f t="array" aca="1" ref="BX37" ca="1">IFERROR( INDIRECT(ADDRESS(ROW()+1, COLUMN(), 4, TRUE, "Import-dataset")) / INDIRECT(ADDRESS(ROW(), COLUMN(), 4, TRUE, "Import-dataset")), "" )</f>
        <v>1.5454545454545454</v>
      </c>
      <c r="BY37" s="6" cm="1">
        <f t="array" aca="1" ref="BY37" ca="1">IFERROR( INDIRECT(ADDRESS(ROW()+1, COLUMN(), 4, TRUE, "Import-dataset")) / INDIRECT(ADDRESS(ROW(), COLUMN(), 4, TRUE, "Import-dataset")), "" )</f>
        <v>1.0665134099616858</v>
      </c>
      <c r="BZ37" s="6" cm="1">
        <f t="array" aca="1" ref="BZ37" ca="1">IFERROR( INDIRECT(ADDRESS(ROW()+1, COLUMN(), 4, TRUE, "Import-dataset")) / INDIRECT(ADDRESS(ROW(), COLUMN(), 4, TRUE, "Import-dataset")), "" )</f>
        <v>1.1330444203683641</v>
      </c>
      <c r="CA37" s="6" cm="1">
        <f t="array" aca="1" ref="CA37" ca="1">IFERROR( INDIRECT(ADDRESS(ROW()+1, COLUMN(), 4, TRUE, "Import-dataset")) / INDIRECT(ADDRESS(ROW(), COLUMN(), 4, TRUE, "Import-dataset")), "" )</f>
        <v>1.262747021808778</v>
      </c>
    </row>
    <row r="38" spans="1:79">
      <c r="A38" s="6" t="s">
        <v>195</v>
      </c>
      <c r="B38" s="6" cm="1">
        <f t="array" aca="1" ref="B38" ca="1">IFERROR( INDIRECT(ADDRESS(ROW()+1, COLUMN(), 4, TRUE, "Import-dataset")) / INDIRECT(ADDRESS(ROW(), COLUMN(), 4, TRUE, "Import-dataset")), "" )</f>
        <v>1.008504969771493</v>
      </c>
      <c r="C38" s="6" cm="1">
        <f t="array" aca="1" ref="C38" ca="1">IFERROR( INDIRECT(ADDRESS(ROW()+1, COLUMN(), 4, TRUE, "Import-dataset")) / INDIRECT(ADDRESS(ROW(), COLUMN(), 4, TRUE, "Import-dataset")), "" )</f>
        <v>1.2694610778443114</v>
      </c>
      <c r="D38" s="6" cm="1">
        <f t="array" aca="1" ref="D38" ca="1">IFERROR( INDIRECT(ADDRESS(ROW()+1, COLUMN(), 4, TRUE, "Import-dataset")) / INDIRECT(ADDRESS(ROW(), COLUMN(), 4, TRUE, "Import-dataset")), "" )</f>
        <v>0.96728971962616828</v>
      </c>
      <c r="E38" s="6" cm="1">
        <f t="array" aca="1" ref="E38" ca="1">IFERROR( INDIRECT(ADDRESS(ROW()+1, COLUMN(), 4, TRUE, "Import-dataset")) / INDIRECT(ADDRESS(ROW(), COLUMN(), 4, TRUE, "Import-dataset")), "" )</f>
        <v>1.1243781094527363</v>
      </c>
      <c r="F38" s="6" cm="1">
        <f t="array" aca="1" ref="F38" ca="1">IFERROR( INDIRECT(ADDRESS(ROW()+1, COLUMN(), 4, TRUE, "Import-dataset")) / INDIRECT(ADDRESS(ROW(), COLUMN(), 4, TRUE, "Import-dataset")), "" )</f>
        <v>0.91057574520212337</v>
      </c>
      <c r="G38" s="6" cm="1">
        <f t="array" aca="1" ref="G38" ca="1">IFERROR( INDIRECT(ADDRESS(ROW()+1, COLUMN(), 4, TRUE, "Import-dataset")) / INDIRECT(ADDRESS(ROW(), COLUMN(), 4, TRUE, "Import-dataset")), "" )</f>
        <v>1.0621581302834411</v>
      </c>
      <c r="H38" s="6" cm="1">
        <f t="array" aca="1" ref="H38" ca="1">IFERROR( INDIRECT(ADDRESS(ROW()+1, COLUMN(), 4, TRUE, "Import-dataset")) / INDIRECT(ADDRESS(ROW(), COLUMN(), 4, TRUE, "Import-dataset")), "" )</f>
        <v>1.0641795763515649</v>
      </c>
      <c r="I38" s="6" cm="1">
        <f t="array" aca="1" ref="I38" ca="1">IFERROR( INDIRECT(ADDRESS(ROW()+1, COLUMN(), 4, TRUE, "Import-dataset")) / INDIRECT(ADDRESS(ROW(), COLUMN(), 4, TRUE, "Import-dataset")), "" )</f>
        <v>1.0814159292035399</v>
      </c>
      <c r="J38" s="6" cm="1">
        <f t="array" aca="1" ref="J38" ca="1">IFERROR( INDIRECT(ADDRESS(ROW()+1, COLUMN(), 4, TRUE, "Import-dataset")) / INDIRECT(ADDRESS(ROW(), COLUMN(), 4, TRUE, "Import-dataset")), "" )</f>
        <v>1.0062353858144972</v>
      </c>
      <c r="K38" s="6" cm="1">
        <f t="array" aca="1" ref="K38" ca="1">IFERROR( INDIRECT(ADDRESS(ROW()+1, COLUMN(), 4, TRUE, "Import-dataset")) / INDIRECT(ADDRESS(ROW(), COLUMN(), 4, TRUE, "Import-dataset")), "" )</f>
        <v>0.86626506024096384</v>
      </c>
      <c r="L38" s="6" cm="1">
        <f t="array" aca="1" ref="L38" ca="1">IFERROR( INDIRECT(ADDRESS(ROW()+1, COLUMN(), 4, TRUE, "Import-dataset")) / INDIRECT(ADDRESS(ROW(), COLUMN(), 4, TRUE, "Import-dataset")), "" )</f>
        <v>0.99310854048732466</v>
      </c>
      <c r="M38" s="6" cm="1">
        <f t="array" aca="1" ref="M38" ca="1">IFERROR( INDIRECT(ADDRESS(ROW()+1, COLUMN(), 4, TRUE, "Import-dataset")) / INDIRECT(ADDRESS(ROW(), COLUMN(), 4, TRUE, "Import-dataset")), "" )</f>
        <v>0.91376623376623378</v>
      </c>
      <c r="N38" s="6" cm="1">
        <f t="array" aca="1" ref="N38" ca="1">IFERROR( INDIRECT(ADDRESS(ROW()+1, COLUMN(), 4, TRUE, "Import-dataset")) / INDIRECT(ADDRESS(ROW(), COLUMN(), 4, TRUE, "Import-dataset")), "" )</f>
        <v>0.92365930599369084</v>
      </c>
      <c r="O38" s="6" cm="1">
        <f t="array" aca="1" ref="O38" ca="1">IFERROR( INDIRECT(ADDRESS(ROW()+1, COLUMN(), 4, TRUE, "Import-dataset")) / INDIRECT(ADDRESS(ROW(), COLUMN(), 4, TRUE, "Import-dataset")), "" )</f>
        <v>0.8621700879765396</v>
      </c>
      <c r="P38" s="6" cm="1">
        <f t="array" aca="1" ref="P38" ca="1">IFERROR( INDIRECT(ADDRESS(ROW()+1, COLUMN(), 4, TRUE, "Import-dataset")) / INDIRECT(ADDRESS(ROW(), COLUMN(), 4, TRUE, "Import-dataset")), "" )</f>
        <v>0.84483129163980231</v>
      </c>
      <c r="Q38" s="6" cm="1">
        <f t="array" aca="1" ref="Q38" ca="1">IFERROR( INDIRECT(ADDRESS(ROW()+1, COLUMN(), 4, TRUE, "Import-dataset")) / INDIRECT(ADDRESS(ROW(), COLUMN(), 4, TRUE, "Import-dataset")), "" )</f>
        <v>0.5</v>
      </c>
      <c r="R38" s="6" cm="1">
        <f t="array" aca="1" ref="R38" ca="1">IFERROR( INDIRECT(ADDRESS(ROW()+1, COLUMN(), 4, TRUE, "Import-dataset")) / INDIRECT(ADDRESS(ROW(), COLUMN(), 4, TRUE, "Import-dataset")), "" )</f>
        <v>0.88888888888888884</v>
      </c>
      <c r="S38" s="6" cm="1">
        <f t="array" aca="1" ref="S38" ca="1">IFERROR( INDIRECT(ADDRESS(ROW()+1, COLUMN(), 4, TRUE, "Import-dataset")) / INDIRECT(ADDRESS(ROW(), COLUMN(), 4, TRUE, "Import-dataset")), "" )</f>
        <v>0.8783783783783784</v>
      </c>
      <c r="T38" s="6" cm="1">
        <f t="array" aca="1" ref="T38" ca="1">IFERROR( INDIRECT(ADDRESS(ROW()+1, COLUMN(), 4, TRUE, "Import-dataset")) / INDIRECT(ADDRESS(ROW(), COLUMN(), 4, TRUE, "Import-dataset")), "" )</f>
        <v>0.58240997229916902</v>
      </c>
      <c r="U38" s="6" cm="1">
        <f t="array" aca="1" ref="U38" ca="1">IFERROR( INDIRECT(ADDRESS(ROW()+1, COLUMN(), 4, TRUE, "Import-dataset")) / INDIRECT(ADDRESS(ROW(), COLUMN(), 4, TRUE, "Import-dataset")), "" )</f>
        <v>0.76712328767123283</v>
      </c>
      <c r="V38" s="6" cm="1">
        <f t="array" aca="1" ref="V38" ca="1">IFERROR( INDIRECT(ADDRESS(ROW()+1, COLUMN(), 4, TRUE, "Import-dataset")) / INDIRECT(ADDRESS(ROW(), COLUMN(), 4, TRUE, "Import-dataset")), "" )</f>
        <v>0.95199999999999996</v>
      </c>
      <c r="W38" s="6" cm="1">
        <f t="array" aca="1" ref="W38" ca="1">IFERROR( INDIRECT(ADDRESS(ROW()+1, COLUMN(), 4, TRUE, "Import-dataset")) / INDIRECT(ADDRESS(ROW(), COLUMN(), 4, TRUE, "Import-dataset")), "" )</f>
        <v>0.79139072847682124</v>
      </c>
      <c r="X38" s="6" cm="1">
        <f t="array" aca="1" ref="X38" ca="1">IFERROR( INDIRECT(ADDRESS(ROW()+1, COLUMN(), 4, TRUE, "Import-dataset")) / INDIRECT(ADDRESS(ROW(), COLUMN(), 4, TRUE, "Import-dataset")), "" )</f>
        <v>1.0783068783068783</v>
      </c>
      <c r="Y38" s="6" cm="1">
        <f t="array" aca="1" ref="Y38" ca="1">IFERROR( INDIRECT(ADDRESS(ROW()+1, COLUMN(), 4, TRUE, "Import-dataset")) / INDIRECT(ADDRESS(ROW(), COLUMN(), 4, TRUE, "Import-dataset")), "" )</f>
        <v>1.0692395005675368</v>
      </c>
      <c r="Z38" s="6" cm="1">
        <f t="array" aca="1" ref="Z38" ca="1">IFERROR( INDIRECT(ADDRESS(ROW()+1, COLUMN(), 4, TRUE, "Import-dataset")) / INDIRECT(ADDRESS(ROW(), COLUMN(), 4, TRUE, "Import-dataset")), "" )</f>
        <v>0.92166367808406524</v>
      </c>
      <c r="AA38" s="6" cm="1">
        <f t="array" aca="1" ref="AA38" ca="1">IFERROR( INDIRECT(ADDRESS(ROW()+1, COLUMN(), 4, TRUE, "Import-dataset")) / INDIRECT(ADDRESS(ROW(), COLUMN(), 4, TRUE, "Import-dataset")), "" )</f>
        <v>0.81599999999999995</v>
      </c>
      <c r="AB38" s="6" cm="1">
        <f t="array" aca="1" ref="AB38" ca="1">IFERROR( INDIRECT(ADDRESS(ROW()+1, COLUMN(), 4, TRUE, "Import-dataset")) / INDIRECT(ADDRESS(ROW(), COLUMN(), 4, TRUE, "Import-dataset")), "" )</f>
        <v>0.92278971144095145</v>
      </c>
      <c r="AC38" s="6" cm="1">
        <f t="array" aca="1" ref="AC38" ca="1">IFERROR( INDIRECT(ADDRESS(ROW()+1, COLUMN(), 4, TRUE, "Import-dataset")) / INDIRECT(ADDRESS(ROW(), COLUMN(), 4, TRUE, "Import-dataset")), "" )</f>
        <v>0.83238636363636365</v>
      </c>
      <c r="AD38" s="6" cm="1">
        <f t="array" aca="1" ref="AD38" ca="1">IFERROR( INDIRECT(ADDRESS(ROW()+1, COLUMN(), 4, TRUE, "Import-dataset")) / INDIRECT(ADDRESS(ROW(), COLUMN(), 4, TRUE, "Import-dataset")), "" )</f>
        <v>0.90310786106032903</v>
      </c>
      <c r="AE38" s="6" cm="1">
        <f t="array" aca="1" ref="AE38" ca="1">IFERROR( INDIRECT(ADDRESS(ROW()+1, COLUMN(), 4, TRUE, "Import-dataset")) / INDIRECT(ADDRESS(ROW(), COLUMN(), 4, TRUE, "Import-dataset")), "" )</f>
        <v>1.2578125</v>
      </c>
      <c r="AF38" s="6" cm="1">
        <f t="array" aca="1" ref="AF38" ca="1">IFERROR( INDIRECT(ADDRESS(ROW()+1, COLUMN(), 4, TRUE, "Import-dataset")) / INDIRECT(ADDRESS(ROW(), COLUMN(), 4, TRUE, "Import-dataset")), "" )</f>
        <v>0.84459459459459463</v>
      </c>
      <c r="AG38" s="6" cm="1">
        <f t="array" aca="1" ref="AG38" ca="1">IFERROR( INDIRECT(ADDRESS(ROW()+1, COLUMN(), 4, TRUE, "Import-dataset")) / INDIRECT(ADDRESS(ROW(), COLUMN(), 4, TRUE, "Import-dataset")), "" )</f>
        <v>1.0263157894736843</v>
      </c>
      <c r="AH38" s="6" cm="1">
        <f t="array" aca="1" ref="AH38" ca="1">IFERROR( INDIRECT(ADDRESS(ROW()+1, COLUMN(), 4, TRUE, "Import-dataset")) / INDIRECT(ADDRESS(ROW(), COLUMN(), 4, TRUE, "Import-dataset")), "" )</f>
        <v>0.83340143599322869</v>
      </c>
      <c r="AI38" s="6" cm="1">
        <f t="array" aca="1" ref="AI38" ca="1">IFERROR( INDIRECT(ADDRESS(ROW()+1, COLUMN(), 4, TRUE, "Import-dataset")) / INDIRECT(ADDRESS(ROW(), COLUMN(), 4, TRUE, "Import-dataset")), "" )</f>
        <v>0.72436750998668442</v>
      </c>
      <c r="AJ38" s="6" cm="1">
        <f t="array" aca="1" ref="AJ38" ca="1">IFERROR( INDIRECT(ADDRESS(ROW()+1, COLUMN(), 4, TRUE, "Import-dataset")) / INDIRECT(ADDRESS(ROW(), COLUMN(), 4, TRUE, "Import-dataset")), "" )</f>
        <v>0.83210820346956782</v>
      </c>
      <c r="AK38" s="6" cm="1">
        <f t="array" aca="1" ref="AK38" ca="1">IFERROR( INDIRECT(ADDRESS(ROW()+1, COLUMN(), 4, TRUE, "Import-dataset")) / INDIRECT(ADDRESS(ROW(), COLUMN(), 4, TRUE, "Import-dataset")), "" )</f>
        <v>0.90607734806629836</v>
      </c>
      <c r="AL38" s="6" cm="1">
        <f t="array" aca="1" ref="AL38" ca="1">IFERROR( INDIRECT(ADDRESS(ROW()+1, COLUMN(), 4, TRUE, "Import-dataset")) / INDIRECT(ADDRESS(ROW(), COLUMN(), 4, TRUE, "Import-dataset")), "" )</f>
        <v>0.88977284622631636</v>
      </c>
      <c r="AM38" s="6" cm="1">
        <f t="array" aca="1" ref="AM38" ca="1">IFERROR( INDIRECT(ADDRESS(ROW()+1, COLUMN(), 4, TRUE, "Import-dataset")) / INDIRECT(ADDRESS(ROW(), COLUMN(), 4, TRUE, "Import-dataset")), "" )</f>
        <v>1.1097272922482284</v>
      </c>
      <c r="AN38" s="6" cm="1">
        <f t="array" aca="1" ref="AN38" ca="1">IFERROR( INDIRECT(ADDRESS(ROW()+1, COLUMN(), 4, TRUE, "Import-dataset")) / INDIRECT(ADDRESS(ROW(), COLUMN(), 4, TRUE, "Import-dataset")), "" )</f>
        <v>0.62407991587802314</v>
      </c>
      <c r="AO38" s="6" cm="1">
        <f t="array" aca="1" ref="AO38" ca="1">IFERROR( INDIRECT(ADDRESS(ROW()+1, COLUMN(), 4, TRUE, "Import-dataset")) / INDIRECT(ADDRESS(ROW(), COLUMN(), 4, TRUE, "Import-dataset")), "" )</f>
        <v>0.86658195679796701</v>
      </c>
      <c r="AP38" s="6" cm="1">
        <f t="array" aca="1" ref="AP38" ca="1">IFERROR( INDIRECT(ADDRESS(ROW()+1, COLUMN(), 4, TRUE, "Import-dataset")) / INDIRECT(ADDRESS(ROW(), COLUMN(), 4, TRUE, "Import-dataset")), "" )</f>
        <v>0.94312630844382417</v>
      </c>
      <c r="AQ38" s="6" cm="1">
        <f t="array" aca="1" ref="AQ38" ca="1">IFERROR( INDIRECT(ADDRESS(ROW()+1, COLUMN(), 4, TRUE, "Import-dataset")) / INDIRECT(ADDRESS(ROW(), COLUMN(), 4, TRUE, "Import-dataset")), "" )</f>
        <v>0.664484233030465</v>
      </c>
      <c r="AR38" s="6" cm="1">
        <f t="array" aca="1" ref="AR38" ca="1">IFERROR( INDIRECT(ADDRESS(ROW()+1, COLUMN(), 4, TRUE, "Import-dataset")) / INDIRECT(ADDRESS(ROW(), COLUMN(), 4, TRUE, "Import-dataset")), "" )</f>
        <v>0.92319574748415534</v>
      </c>
      <c r="AS38" s="6" cm="1">
        <f t="array" aca="1" ref="AS38" ca="1">IFERROR( INDIRECT(ADDRESS(ROW()+1, COLUMN(), 4, TRUE, "Import-dataset")) / INDIRECT(ADDRESS(ROW(), COLUMN(), 4, TRUE, "Import-dataset")), "" )</f>
        <v>0.87128712871287128</v>
      </c>
      <c r="AT38" s="6" cm="1">
        <f t="array" aca="1" ref="AT38" ca="1">IFERROR( INDIRECT(ADDRESS(ROW()+1, COLUMN(), 4, TRUE, "Import-dataset")) / INDIRECT(ADDRESS(ROW(), COLUMN(), 4, TRUE, "Import-dataset")), "" )</f>
        <v>1.0128830763224672</v>
      </c>
      <c r="AU38" s="6" cm="1">
        <f t="array" aca="1" ref="AU38" ca="1">IFERROR( INDIRECT(ADDRESS(ROW()+1, COLUMN(), 4, TRUE, "Import-dataset")) / INDIRECT(ADDRESS(ROW(), COLUMN(), 4, TRUE, "Import-dataset")), "" )</f>
        <v>0.84743276283618585</v>
      </c>
      <c r="AV38" s="6" cm="1">
        <f t="array" aca="1" ref="AV38" ca="1">IFERROR( INDIRECT(ADDRESS(ROW()+1, COLUMN(), 4, TRUE, "Import-dataset")) / INDIRECT(ADDRESS(ROW(), COLUMN(), 4, TRUE, "Import-dataset")), "" )</f>
        <v>1.0065754865860073</v>
      </c>
      <c r="AW38" s="6" cm="1">
        <f t="array" aca="1" ref="AW38" ca="1">IFERROR( INDIRECT(ADDRESS(ROW()+1, COLUMN(), 4, TRUE, "Import-dataset")) / INDIRECT(ADDRESS(ROW(), COLUMN(), 4, TRUE, "Import-dataset")), "" )</f>
        <v>0.80349427014841257</v>
      </c>
      <c r="AX38" s="6" cm="1">
        <f t="array" aca="1" ref="AX38" ca="1">IFERROR( INDIRECT(ADDRESS(ROW()+1, COLUMN(), 4, TRUE, "Import-dataset")) / INDIRECT(ADDRESS(ROW(), COLUMN(), 4, TRUE, "Import-dataset")), "" )</f>
        <v>0.95243019648397109</v>
      </c>
      <c r="AY38" s="6" cm="1">
        <f t="array" aca="1" ref="AY38" ca="1">IFERROR( INDIRECT(ADDRESS(ROW()+1, COLUMN(), 4, TRUE, "Import-dataset")) / INDIRECT(ADDRESS(ROW(), COLUMN(), 4, TRUE, "Import-dataset")), "" )</f>
        <v>0.91024165707710014</v>
      </c>
      <c r="AZ38" s="6" cm="1">
        <f t="array" aca="1" ref="AZ38" ca="1">IFERROR( INDIRECT(ADDRESS(ROW()+1, COLUMN(), 4, TRUE, "Import-dataset")) / INDIRECT(ADDRESS(ROW(), COLUMN(), 4, TRUE, "Import-dataset")), "" )</f>
        <v>0.8309775034839737</v>
      </c>
      <c r="BA38" s="6" cm="1">
        <f t="array" aca="1" ref="BA38" ca="1">IFERROR( INDIRECT(ADDRESS(ROW()+1, COLUMN(), 4, TRUE, "Import-dataset")) / INDIRECT(ADDRESS(ROW(), COLUMN(), 4, TRUE, "Import-dataset")), "" )</f>
        <v>0.95718875502008027</v>
      </c>
      <c r="BB38" s="6" cm="1">
        <f t="array" aca="1" ref="BB38" ca="1">IFERROR( INDIRECT(ADDRESS(ROW()+1, COLUMN(), 4, TRUE, "Import-dataset")) / INDIRECT(ADDRESS(ROW(), COLUMN(), 4, TRUE, "Import-dataset")), "" )</f>
        <v>1.1048757170172083</v>
      </c>
      <c r="BC38" s="6" cm="1">
        <f t="array" aca="1" ref="BC38" ca="1">IFERROR( INDIRECT(ADDRESS(ROW()+1, COLUMN(), 4, TRUE, "Import-dataset")) / INDIRECT(ADDRESS(ROW(), COLUMN(), 4, TRUE, "Import-dataset")), "" )</f>
        <v>1.1788799999999999</v>
      </c>
      <c r="BD38" s="6" cm="1">
        <f t="array" aca="1" ref="BD38" ca="1">IFERROR( INDIRECT(ADDRESS(ROW()+1, COLUMN(), 4, TRUE, "Import-dataset")) / INDIRECT(ADDRESS(ROW(), COLUMN(), 4, TRUE, "Import-dataset")), "" )</f>
        <v>1.1588235294117648</v>
      </c>
      <c r="BE38" s="6" cm="1">
        <f t="array" aca="1" ref="BE38" ca="1">IFERROR( INDIRECT(ADDRESS(ROW()+1, COLUMN(), 4, TRUE, "Import-dataset")) / INDIRECT(ADDRESS(ROW(), COLUMN(), 4, TRUE, "Import-dataset")), "" )</f>
        <v>1.069406392694064</v>
      </c>
      <c r="BF38" s="6" cm="1">
        <f t="array" aca="1" ref="BF38" ca="1">IFERROR( INDIRECT(ADDRESS(ROW()+1, COLUMN(), 4, TRUE, "Import-dataset")) / INDIRECT(ADDRESS(ROW(), COLUMN(), 4, TRUE, "Import-dataset")), "" )</f>
        <v>1.0491572327044025</v>
      </c>
      <c r="BG38" s="6" cm="1">
        <f t="array" aca="1" ref="BG38" ca="1">IFERROR( INDIRECT(ADDRESS(ROW()+1, COLUMN(), 4, TRUE, "Import-dataset")) / INDIRECT(ADDRESS(ROW(), COLUMN(), 4, TRUE, "Import-dataset")), "" )</f>
        <v>0.85088612752088</v>
      </c>
      <c r="BH38" s="6" cm="1">
        <f t="array" aca="1" ref="BH38" ca="1">IFERROR( INDIRECT(ADDRESS(ROW()+1, COLUMN(), 4, TRUE, "Import-dataset")) / INDIRECT(ADDRESS(ROW(), COLUMN(), 4, TRUE, "Import-dataset")), "" )</f>
        <v>0.9932648345705718</v>
      </c>
      <c r="BI38" s="6" cm="1">
        <f t="array" aca="1" ref="BI38" ca="1">IFERROR( INDIRECT(ADDRESS(ROW()+1, COLUMN(), 4, TRUE, "Import-dataset")) / INDIRECT(ADDRESS(ROW(), COLUMN(), 4, TRUE, "Import-dataset")), "" )</f>
        <v>1.0296150049358341</v>
      </c>
      <c r="BJ38" s="6" cm="1">
        <f t="array" aca="1" ref="BJ38" ca="1">IFERROR( INDIRECT(ADDRESS(ROW()+1, COLUMN(), 4, TRUE, "Import-dataset")) / INDIRECT(ADDRESS(ROW(), COLUMN(), 4, TRUE, "Import-dataset")), "" )</f>
        <v>1.2571828171828172</v>
      </c>
      <c r="BK38" s="6" cm="1">
        <f t="array" aca="1" ref="BK38" ca="1">IFERROR( INDIRECT(ADDRESS(ROW()+1, COLUMN(), 4, TRUE, "Import-dataset")) / INDIRECT(ADDRESS(ROW(), COLUMN(), 4, TRUE, "Import-dataset")), "" )</f>
        <v>1.0991932526585992</v>
      </c>
      <c r="BL38" s="6" cm="1">
        <f t="array" aca="1" ref="BL38" ca="1">IFERROR( INDIRECT(ADDRESS(ROW()+1, COLUMN(), 4, TRUE, "Import-dataset")) / INDIRECT(ADDRESS(ROW(), COLUMN(), 4, TRUE, "Import-dataset")), "" )</f>
        <v>0.96906534901524111</v>
      </c>
      <c r="BM38" s="6" cm="1">
        <f t="array" aca="1" ref="BM38" ca="1">IFERROR( INDIRECT(ADDRESS(ROW()+1, COLUMN(), 4, TRUE, "Import-dataset")) / INDIRECT(ADDRESS(ROW(), COLUMN(), 4, TRUE, "Import-dataset")), "" )</f>
        <v>0.91760299625468167</v>
      </c>
      <c r="BN38" s="6" cm="1">
        <f t="array" aca="1" ref="BN38" ca="1">IFERROR( INDIRECT(ADDRESS(ROW()+1, COLUMN(), 4, TRUE, "Import-dataset")) / INDIRECT(ADDRESS(ROW(), COLUMN(), 4, TRUE, "Import-dataset")), "" )</f>
        <v>0.85157995531439512</v>
      </c>
      <c r="BO38" s="6" cm="1">
        <f t="array" aca="1" ref="BO38" ca="1">IFERROR( INDIRECT(ADDRESS(ROW()+1, COLUMN(), 4, TRUE, "Import-dataset")) / INDIRECT(ADDRESS(ROW(), COLUMN(), 4, TRUE, "Import-dataset")), "" )</f>
        <v>1.0208806173399909</v>
      </c>
      <c r="BP38" s="6" cm="1">
        <f t="array" aca="1" ref="BP38" ca="1">IFERROR( INDIRECT(ADDRESS(ROW()+1, COLUMN(), 4, TRUE, "Import-dataset")) / INDIRECT(ADDRESS(ROW(), COLUMN(), 4, TRUE, "Import-dataset")), "" )</f>
        <v>0.94824226362148256</v>
      </c>
      <c r="BQ38" s="6" cm="1">
        <f t="array" aca="1" ref="BQ38" ca="1">IFERROR( INDIRECT(ADDRESS(ROW()+1, COLUMN(), 4, TRUE, "Import-dataset")) / INDIRECT(ADDRESS(ROW(), COLUMN(), 4, TRUE, "Import-dataset")), "" )</f>
        <v>0.92976804123711343</v>
      </c>
      <c r="BR38" s="6" cm="1">
        <f t="array" aca="1" ref="BR38" ca="1">IFERROR( INDIRECT(ADDRESS(ROW()+1, COLUMN(), 4, TRUE, "Import-dataset")) / INDIRECT(ADDRESS(ROW(), COLUMN(), 4, TRUE, "Import-dataset")), "" )</f>
        <v>1.0995166959578206</v>
      </c>
      <c r="BS38" s="6" cm="1">
        <f t="array" aca="1" ref="BS38" ca="1">IFERROR( INDIRECT(ADDRESS(ROW()+1, COLUMN(), 4, TRUE, "Import-dataset")) / INDIRECT(ADDRESS(ROW(), COLUMN(), 4, TRUE, "Import-dataset")), "" )</f>
        <v>1.0483675937122128</v>
      </c>
      <c r="BT38" s="6" cm="1">
        <f t="array" aca="1" ref="BT38" ca="1">IFERROR( INDIRECT(ADDRESS(ROW()+1, COLUMN(), 4, TRUE, "Import-dataset")) / INDIRECT(ADDRESS(ROW(), COLUMN(), 4, TRUE, "Import-dataset")), "" )</f>
        <v>0.9556634973129392</v>
      </c>
      <c r="BU38" s="6" cm="1">
        <f t="array" aca="1" ref="BU38" ca="1">IFERROR( INDIRECT(ADDRESS(ROW()+1, COLUMN(), 4, TRUE, "Import-dataset")) / INDIRECT(ADDRESS(ROW(), COLUMN(), 4, TRUE, "Import-dataset")), "" )</f>
        <v>1.0230231044581841</v>
      </c>
      <c r="BV38" s="6" cm="1">
        <f t="array" aca="1" ref="BV38" ca="1">IFERROR( INDIRECT(ADDRESS(ROW()+1, COLUMN(), 4, TRUE, "Import-dataset")) / INDIRECT(ADDRESS(ROW(), COLUMN(), 4, TRUE, "Import-dataset")), "" )</f>
        <v>2</v>
      </c>
      <c r="BW38" s="6" cm="1">
        <f t="array" aca="1" ref="BW38" ca="1">IFERROR( INDIRECT(ADDRESS(ROW()+1, COLUMN(), 4, TRUE, "Import-dataset")) / INDIRECT(ADDRESS(ROW(), COLUMN(), 4, TRUE, "Import-dataset")), "" )</f>
        <v>0.82499999999999996</v>
      </c>
      <c r="BX38" s="6" cm="1">
        <f t="array" aca="1" ref="BX38" ca="1">IFERROR( INDIRECT(ADDRESS(ROW()+1, COLUMN(), 4, TRUE, "Import-dataset")) / INDIRECT(ADDRESS(ROW(), COLUMN(), 4, TRUE, "Import-dataset")), "" )</f>
        <v>1.1176470588235294</v>
      </c>
      <c r="BY38" s="6" cm="1">
        <f t="array" aca="1" ref="BY38" ca="1">IFERROR( INDIRECT(ADDRESS(ROW()+1, COLUMN(), 4, TRUE, "Import-dataset")) / INDIRECT(ADDRESS(ROW(), COLUMN(), 4, TRUE, "Import-dataset")), "" )</f>
        <v>1.2307802845236384</v>
      </c>
      <c r="BZ38" s="6" cm="1">
        <f t="array" aca="1" ref="BZ38" ca="1">IFERROR( INDIRECT(ADDRESS(ROW()+1, COLUMN(), 4, TRUE, "Import-dataset")) / INDIRECT(ADDRESS(ROW(), COLUMN(), 4, TRUE, "Import-dataset")), "" )</f>
        <v>0.74909160451329126</v>
      </c>
      <c r="CA38" s="6" cm="1">
        <f t="array" aca="1" ref="CA38" ca="1">IFERROR( INDIRECT(ADDRESS(ROW()+1, COLUMN(), 4, TRUE, "Import-dataset")) / INDIRECT(ADDRESS(ROW(), COLUMN(), 4, TRUE, "Import-dataset")), "" )</f>
        <v>0.99248684658586772</v>
      </c>
    </row>
    <row r="39" spans="1:79">
      <c r="A39" s="6" t="s">
        <v>275</v>
      </c>
      <c r="B39" s="6" cm="1">
        <f t="array" aca="1" ref="B39" ca="1">IFERROR( INDIRECT(ADDRESS(ROW()+1, COLUMN(), 4, TRUE, "Import-dataset")) / INDIRECT(ADDRESS(ROW(), COLUMN(), 4, TRUE, "Import-dataset")), "" )</f>
        <v>1.1333570412517782</v>
      </c>
      <c r="C39" s="6" cm="1">
        <f t="array" aca="1" ref="C39" ca="1">IFERROR( INDIRECT(ADDRESS(ROW()+1, COLUMN(), 4, TRUE, "Import-dataset")) / INDIRECT(ADDRESS(ROW(), COLUMN(), 4, TRUE, "Import-dataset")), "" )</f>
        <v>0.94811320754716977</v>
      </c>
      <c r="D39" s="6" cm="1">
        <f t="array" aca="1" ref="D39" ca="1">IFERROR( INDIRECT(ADDRESS(ROW()+1, COLUMN(), 4, TRUE, "Import-dataset")) / INDIRECT(ADDRESS(ROW(), COLUMN(), 4, TRUE, "Import-dataset")), "" )</f>
        <v>1.2096618357487923</v>
      </c>
      <c r="E39" s="6" cm="1">
        <f t="array" aca="1" ref="E39" ca="1">IFERROR( INDIRECT(ADDRESS(ROW()+1, COLUMN(), 4, TRUE, "Import-dataset")) / INDIRECT(ADDRESS(ROW(), COLUMN(), 4, TRUE, "Import-dataset")), "" )</f>
        <v>0.95132743362831862</v>
      </c>
      <c r="F39" s="6" cm="1">
        <f t="array" aca="1" ref="F39" ca="1">IFERROR( INDIRECT(ADDRESS(ROW()+1, COLUMN(), 4, TRUE, "Import-dataset")) / INDIRECT(ADDRESS(ROW(), COLUMN(), 4, TRUE, "Import-dataset")), "" )</f>
        <v>1.083408071748879</v>
      </c>
      <c r="G39" s="6" cm="1">
        <f t="array" aca="1" ref="G39" ca="1">IFERROR( INDIRECT(ADDRESS(ROW()+1, COLUMN(), 4, TRUE, "Import-dataset")) / INDIRECT(ADDRESS(ROW(), COLUMN(), 4, TRUE, "Import-dataset")), "" )</f>
        <v>1.1830524344569289</v>
      </c>
      <c r="H39" s="6" cm="1">
        <f t="array" aca="1" ref="H39" ca="1">IFERROR( INDIRECT(ADDRESS(ROW()+1, COLUMN(), 4, TRUE, "Import-dataset")) / INDIRECT(ADDRESS(ROW(), COLUMN(), 4, TRUE, "Import-dataset")), "" )</f>
        <v>1.1625074272133096</v>
      </c>
      <c r="I39" s="6" cm="1">
        <f t="array" aca="1" ref="I39" ca="1">IFERROR( INDIRECT(ADDRESS(ROW()+1, COLUMN(), 4, TRUE, "Import-dataset")) / INDIRECT(ADDRESS(ROW(), COLUMN(), 4, TRUE, "Import-dataset")), "" )</f>
        <v>1.1260229132569559</v>
      </c>
      <c r="J39" s="6" cm="1">
        <f t="array" aca="1" ref="J39" ca="1">IFERROR( INDIRECT(ADDRESS(ROW()+1, COLUMN(), 4, TRUE, "Import-dataset")) / INDIRECT(ADDRESS(ROW(), COLUMN(), 4, TRUE, "Import-dataset")), "" )</f>
        <v>1.2587141750580946</v>
      </c>
      <c r="K39" s="6" cm="1">
        <f t="array" aca="1" ref="K39" ca="1">IFERROR( INDIRECT(ADDRESS(ROW()+1, COLUMN(), 4, TRUE, "Import-dataset")) / INDIRECT(ADDRESS(ROW(), COLUMN(), 4, TRUE, "Import-dataset")), "" )</f>
        <v>1.1453407510431155</v>
      </c>
      <c r="L39" s="6" cm="1">
        <f t="array" aca="1" ref="L39" ca="1">IFERROR( INDIRECT(ADDRESS(ROW()+1, COLUMN(), 4, TRUE, "Import-dataset")) / INDIRECT(ADDRESS(ROW(), COLUMN(), 4, TRUE, "Import-dataset")), "" )</f>
        <v>1.1105328376703842</v>
      </c>
      <c r="M39" s="6" cm="1">
        <f t="array" aca="1" ref="M39" ca="1">IFERROR( INDIRECT(ADDRESS(ROW()+1, COLUMN(), 4, TRUE, "Import-dataset")) / INDIRECT(ADDRESS(ROW(), COLUMN(), 4, TRUE, "Import-dataset")), "" )</f>
        <v>0.95196134167140423</v>
      </c>
      <c r="N39" s="6" cm="1">
        <f t="array" aca="1" ref="N39" ca="1">IFERROR( INDIRECT(ADDRESS(ROW()+1, COLUMN(), 4, TRUE, "Import-dataset")) / INDIRECT(ADDRESS(ROW(), COLUMN(), 4, TRUE, "Import-dataset")), "" )</f>
        <v>0.99248633879781423</v>
      </c>
      <c r="O39" s="6" cm="1">
        <f t="array" aca="1" ref="O39" ca="1">IFERROR( INDIRECT(ADDRESS(ROW()+1, COLUMN(), 4, TRUE, "Import-dataset")) / INDIRECT(ADDRESS(ROW(), COLUMN(), 4, TRUE, "Import-dataset")), "" )</f>
        <v>0.75</v>
      </c>
      <c r="P39" s="6" cm="1">
        <f t="array" aca="1" ref="P39" ca="1">IFERROR( INDIRECT(ADDRESS(ROW()+1, COLUMN(), 4, TRUE, "Import-dataset")) / INDIRECT(ADDRESS(ROW(), COLUMN(), 4, TRUE, "Import-dataset")), "" )</f>
        <v>1.0478249809208853</v>
      </c>
      <c r="Q39" s="6" cm="1">
        <f t="array" aca="1" ref="Q39" ca="1">IFERROR( INDIRECT(ADDRESS(ROW()+1, COLUMN(), 4, TRUE, "Import-dataset")) / INDIRECT(ADDRESS(ROW(), COLUMN(), 4, TRUE, "Import-dataset")), "" )</f>
        <v>3</v>
      </c>
      <c r="R39" s="6" cm="1">
        <f t="array" aca="1" ref="R39" ca="1">IFERROR( INDIRECT(ADDRESS(ROW()+1, COLUMN(), 4, TRUE, "Import-dataset")) / INDIRECT(ADDRESS(ROW(), COLUMN(), 4, TRUE, "Import-dataset")), "" )</f>
        <v>1.2583333333333333</v>
      </c>
      <c r="S39" s="6" cm="1">
        <f t="array" aca="1" ref="S39" ca="1">IFERROR( INDIRECT(ADDRESS(ROW()+1, COLUMN(), 4, TRUE, "Import-dataset")) / INDIRECT(ADDRESS(ROW(), COLUMN(), 4, TRUE, "Import-dataset")), "" )</f>
        <v>1.0846153846153845</v>
      </c>
      <c r="T39" s="6" cm="1">
        <f t="array" aca="1" ref="T39" ca="1">IFERROR( INDIRECT(ADDRESS(ROW()+1, COLUMN(), 4, TRUE, "Import-dataset")) / INDIRECT(ADDRESS(ROW(), COLUMN(), 4, TRUE, "Import-dataset")), "" )</f>
        <v>1.0903686087990487</v>
      </c>
      <c r="U39" s="6" cm="1">
        <f t="array" aca="1" ref="U39" ca="1">IFERROR( INDIRECT(ADDRESS(ROW()+1, COLUMN(), 4, TRUE, "Import-dataset")) / INDIRECT(ADDRESS(ROW(), COLUMN(), 4, TRUE, "Import-dataset")), "" )</f>
        <v>0.98571428571428577</v>
      </c>
      <c r="V39" s="6" cm="1">
        <f t="array" aca="1" ref="V39" ca="1">IFERROR( INDIRECT(ADDRESS(ROW()+1, COLUMN(), 4, TRUE, "Import-dataset")) / INDIRECT(ADDRESS(ROW(), COLUMN(), 4, TRUE, "Import-dataset")), "" )</f>
        <v>1.0168067226890756</v>
      </c>
      <c r="W39" s="6" cm="1">
        <f t="array" aca="1" ref="W39" ca="1">IFERROR( INDIRECT(ADDRESS(ROW()+1, COLUMN(), 4, TRUE, "Import-dataset")) / INDIRECT(ADDRESS(ROW(), COLUMN(), 4, TRUE, "Import-dataset")), "" )</f>
        <v>0.75732217573221761</v>
      </c>
      <c r="X39" s="6" cm="1">
        <f t="array" aca="1" ref="X39" ca="1">IFERROR( INDIRECT(ADDRESS(ROW()+1, COLUMN(), 4, TRUE, "Import-dataset")) / INDIRECT(ADDRESS(ROW(), COLUMN(), 4, TRUE, "Import-dataset")), "" )</f>
        <v>1.1197252208047106</v>
      </c>
      <c r="Y39" s="6" cm="1">
        <f t="array" aca="1" ref="Y39" ca="1">IFERROR( INDIRECT(ADDRESS(ROW()+1, COLUMN(), 4, TRUE, "Import-dataset")) / INDIRECT(ADDRESS(ROW(), COLUMN(), 4, TRUE, "Import-dataset")), "" )</f>
        <v>1.0690021231422506</v>
      </c>
      <c r="Z39" s="6" cm="1">
        <f t="array" aca="1" ref="Z39" ca="1">IFERROR( INDIRECT(ADDRESS(ROW()+1, COLUMN(), 4, TRUE, "Import-dataset")) / INDIRECT(ADDRESS(ROW(), COLUMN(), 4, TRUE, "Import-dataset")), "" )</f>
        <v>0.93589553346193799</v>
      </c>
      <c r="AA39" s="6" cm="1">
        <f t="array" aca="1" ref="AA39" ca="1">IFERROR( INDIRECT(ADDRESS(ROW()+1, COLUMN(), 4, TRUE, "Import-dataset")) / INDIRECT(ADDRESS(ROW(), COLUMN(), 4, TRUE, "Import-dataset")), "" )</f>
        <v>0.84967320261437906</v>
      </c>
      <c r="AB39" s="6" cm="1">
        <f t="array" aca="1" ref="AB39" ca="1">IFERROR( INDIRECT(ADDRESS(ROW()+1, COLUMN(), 4, TRUE, "Import-dataset")) / INDIRECT(ADDRESS(ROW(), COLUMN(), 4, TRUE, "Import-dataset")), "" )</f>
        <v>0.9357277253276054</v>
      </c>
      <c r="AC39" s="6" cm="1">
        <f t="array" aca="1" ref="AC39" ca="1">IFERROR( INDIRECT(ADDRESS(ROW()+1, COLUMN(), 4, TRUE, "Import-dataset")) / INDIRECT(ADDRESS(ROW(), COLUMN(), 4, TRUE, "Import-dataset")), "" )</f>
        <v>1.0443686006825939</v>
      </c>
      <c r="AD39" s="6" cm="1">
        <f t="array" aca="1" ref="AD39" ca="1">IFERROR( INDIRECT(ADDRESS(ROW()+1, COLUMN(), 4, TRUE, "Import-dataset")) / INDIRECT(ADDRESS(ROW(), COLUMN(), 4, TRUE, "Import-dataset")), "" )</f>
        <v>1.2722672064777327</v>
      </c>
      <c r="AE39" s="6" cm="1">
        <f t="array" aca="1" ref="AE39" ca="1">IFERROR( INDIRECT(ADDRESS(ROW()+1, COLUMN(), 4, TRUE, "Import-dataset")) / INDIRECT(ADDRESS(ROW(), COLUMN(), 4, TRUE, "Import-dataset")), "" )</f>
        <v>1.2670807453416149</v>
      </c>
      <c r="AF39" s="6" cm="1">
        <f t="array" aca="1" ref="AF39" ca="1">IFERROR( INDIRECT(ADDRESS(ROW()+1, COLUMN(), 4, TRUE, "Import-dataset")) / INDIRECT(ADDRESS(ROW(), COLUMN(), 4, TRUE, "Import-dataset")), "" )</f>
        <v>1.2973333333333332</v>
      </c>
      <c r="AG39" s="6" cm="1">
        <f t="array" aca="1" ref="AG39" ca="1">IFERROR( INDIRECT(ADDRESS(ROW()+1, COLUMN(), 4, TRUE, "Import-dataset")) / INDIRECT(ADDRESS(ROW(), COLUMN(), 4, TRUE, "Import-dataset")), "" )</f>
        <v>1</v>
      </c>
      <c r="AH39" s="6" cm="1">
        <f t="array" aca="1" ref="AH39" ca="1">IFERROR( INDIRECT(ADDRESS(ROW()+1, COLUMN(), 4, TRUE, "Import-dataset")) / INDIRECT(ADDRESS(ROW(), COLUMN(), 4, TRUE, "Import-dataset")), "" )</f>
        <v>1.051224580327333</v>
      </c>
      <c r="AI39" s="6" cm="1">
        <f t="array" aca="1" ref="AI39" ca="1">IFERROR( INDIRECT(ADDRESS(ROW()+1, COLUMN(), 4, TRUE, "Import-dataset")) / INDIRECT(ADDRESS(ROW(), COLUMN(), 4, TRUE, "Import-dataset")), "" )</f>
        <v>1.0007352941176471</v>
      </c>
      <c r="AJ39" s="6" cm="1">
        <f t="array" aca="1" ref="AJ39" ca="1">IFERROR( INDIRECT(ADDRESS(ROW()+1, COLUMN(), 4, TRUE, "Import-dataset")) / INDIRECT(ADDRESS(ROW(), COLUMN(), 4, TRUE, "Import-dataset")), "" )</f>
        <v>0.94805653710247351</v>
      </c>
      <c r="AK39" s="6" cm="1">
        <f t="array" aca="1" ref="AK39" ca="1">IFERROR( INDIRECT(ADDRESS(ROW()+1, COLUMN(), 4, TRUE, "Import-dataset")) / INDIRECT(ADDRESS(ROW(), COLUMN(), 4, TRUE, "Import-dataset")), "" )</f>
        <v>1.1019163763066202</v>
      </c>
      <c r="AL39" s="6" cm="1">
        <f t="array" aca="1" ref="AL39" ca="1">IFERROR( INDIRECT(ADDRESS(ROW()+1, COLUMN(), 4, TRUE, "Import-dataset")) / INDIRECT(ADDRESS(ROW(), COLUMN(), 4, TRUE, "Import-dataset")), "" )</f>
        <v>1.000764705882353</v>
      </c>
      <c r="AM39" s="6" cm="1">
        <f t="array" aca="1" ref="AM39" ca="1">IFERROR( INDIRECT(ADDRESS(ROW()+1, COLUMN(), 4, TRUE, "Import-dataset")) / INDIRECT(ADDRESS(ROW(), COLUMN(), 4, TRUE, "Import-dataset")), "" )</f>
        <v>1.0770123839009287</v>
      </c>
      <c r="AN39" s="6" cm="1">
        <f t="array" aca="1" ref="AN39" ca="1">IFERROR( INDIRECT(ADDRESS(ROW()+1, COLUMN(), 4, TRUE, "Import-dataset")) / INDIRECT(ADDRESS(ROW(), COLUMN(), 4, TRUE, "Import-dataset")), "" )</f>
        <v>1.3044088739118225</v>
      </c>
      <c r="AO39" s="6" cm="1">
        <f t="array" aca="1" ref="AO39" ca="1">IFERROR( INDIRECT(ADDRESS(ROW()+1, COLUMN(), 4, TRUE, "Import-dataset")) / INDIRECT(ADDRESS(ROW(), COLUMN(), 4, TRUE, "Import-dataset")), "" )</f>
        <v>1.0839442815249267</v>
      </c>
      <c r="AP39" s="6" cm="1">
        <f t="array" aca="1" ref="AP39" ca="1">IFERROR( INDIRECT(ADDRESS(ROW()+1, COLUMN(), 4, TRUE, "Import-dataset")) / INDIRECT(ADDRESS(ROW(), COLUMN(), 4, TRUE, "Import-dataset")), "" )</f>
        <v>1.0506844247132816</v>
      </c>
      <c r="AQ39" s="6" cm="1">
        <f t="array" aca="1" ref="AQ39" ca="1">IFERROR( INDIRECT(ADDRESS(ROW()+1, COLUMN(), 4, TRUE, "Import-dataset")) / INDIRECT(ADDRESS(ROW(), COLUMN(), 4, TRUE, "Import-dataset")), "" )</f>
        <v>1.0733963402372813</v>
      </c>
      <c r="AR39" s="6" cm="1">
        <f t="array" aca="1" ref="AR39" ca="1">IFERROR( INDIRECT(ADDRESS(ROW()+1, COLUMN(), 4, TRUE, "Import-dataset")) / INDIRECT(ADDRESS(ROW(), COLUMN(), 4, TRUE, "Import-dataset")), "" )</f>
        <v>1.073277559055118</v>
      </c>
      <c r="AS39" s="6" cm="1">
        <f t="array" aca="1" ref="AS39" ca="1">IFERROR( INDIRECT(ADDRESS(ROW()+1, COLUMN(), 4, TRUE, "Import-dataset")) / INDIRECT(ADDRESS(ROW(), COLUMN(), 4, TRUE, "Import-dataset")), "" )</f>
        <v>0.85227272727272729</v>
      </c>
      <c r="AT39" s="6" cm="1">
        <f t="array" aca="1" ref="AT39" ca="1">IFERROR( INDIRECT(ADDRESS(ROW()+1, COLUMN(), 4, TRUE, "Import-dataset")) / INDIRECT(ADDRESS(ROW(), COLUMN(), 4, TRUE, "Import-dataset")), "" )</f>
        <v>1.0701483908267488</v>
      </c>
      <c r="AU39" s="6" cm="1">
        <f t="array" aca="1" ref="AU39" ca="1">IFERROR( INDIRECT(ADDRESS(ROW()+1, COLUMN(), 4, TRUE, "Import-dataset")) / INDIRECT(ADDRESS(ROW(), COLUMN(), 4, TRUE, "Import-dataset")), "" )</f>
        <v>1.0248124639353722</v>
      </c>
      <c r="AV39" s="6" cm="1">
        <f t="array" aca="1" ref="AV39" ca="1">IFERROR( INDIRECT(ADDRESS(ROW()+1, COLUMN(), 4, TRUE, "Import-dataset")) / INDIRECT(ADDRESS(ROW(), COLUMN(), 4, TRUE, "Import-dataset")), "" )</f>
        <v>1.1000783903841129</v>
      </c>
      <c r="AW39" s="6" cm="1">
        <f t="array" aca="1" ref="AW39" ca="1">IFERROR( INDIRECT(ADDRESS(ROW()+1, COLUMN(), 4, TRUE, "Import-dataset")) / INDIRECT(ADDRESS(ROW(), COLUMN(), 4, TRUE, "Import-dataset")), "" )</f>
        <v>1.0631283610007014</v>
      </c>
      <c r="AX39" s="6" cm="1">
        <f t="array" aca="1" ref="AX39" ca="1">IFERROR( INDIRECT(ADDRESS(ROW()+1, COLUMN(), 4, TRUE, "Import-dataset")) / INDIRECT(ADDRESS(ROW(), COLUMN(), 4, TRUE, "Import-dataset")), "" )</f>
        <v>0.96981541802388704</v>
      </c>
      <c r="AY39" s="6" cm="1">
        <f t="array" aca="1" ref="AY39" ca="1">IFERROR( INDIRECT(ADDRESS(ROW()+1, COLUMN(), 4, TRUE, "Import-dataset")) / INDIRECT(ADDRESS(ROW(), COLUMN(), 4, TRUE, "Import-dataset")), "" )</f>
        <v>1.2543194268857987</v>
      </c>
      <c r="AZ39" s="6" cm="1">
        <f t="array" aca="1" ref="AZ39" ca="1">IFERROR( INDIRECT(ADDRESS(ROW()+1, COLUMN(), 4, TRUE, "Import-dataset")) / INDIRECT(ADDRESS(ROW(), COLUMN(), 4, TRUE, "Import-dataset")), "" )</f>
        <v>1.026353617632966</v>
      </c>
      <c r="BA39" s="6" cm="1">
        <f t="array" aca="1" ref="BA39" ca="1">IFERROR( INDIRECT(ADDRESS(ROW()+1, COLUMN(), 4, TRUE, "Import-dataset")) / INDIRECT(ADDRESS(ROW(), COLUMN(), 4, TRUE, "Import-dataset")), "" )</f>
        <v>1.0638583536124864</v>
      </c>
      <c r="BB39" s="6" cm="1">
        <f t="array" aca="1" ref="BB39" ca="1">IFERROR( INDIRECT(ADDRESS(ROW()+1, COLUMN(), 4, TRUE, "Import-dataset")) / INDIRECT(ADDRESS(ROW(), COLUMN(), 4, TRUE, "Import-dataset")), "" )</f>
        <v>1.0425023795102535</v>
      </c>
      <c r="BC39" s="6" cm="1">
        <f t="array" aca="1" ref="BC39" ca="1">IFERROR( INDIRECT(ADDRESS(ROW()+1, COLUMN(), 4, TRUE, "Import-dataset")) / INDIRECT(ADDRESS(ROW(), COLUMN(), 4, TRUE, "Import-dataset")), "" )</f>
        <v>1.0764115092290989</v>
      </c>
      <c r="BD39" s="6" cm="1">
        <f t="array" aca="1" ref="BD39" ca="1">IFERROR( INDIRECT(ADDRESS(ROW()+1, COLUMN(), 4, TRUE, "Import-dataset")) / INDIRECT(ADDRESS(ROW(), COLUMN(), 4, TRUE, "Import-dataset")), "" )</f>
        <v>0.83630806178702033</v>
      </c>
      <c r="BE39" s="6" cm="1">
        <f t="array" aca="1" ref="BE39" ca="1">IFERROR( INDIRECT(ADDRESS(ROW()+1, COLUMN(), 4, TRUE, "Import-dataset")) / INDIRECT(ADDRESS(ROW(), COLUMN(), 4, TRUE, "Import-dataset")), "" )</f>
        <v>0.94022203245089664</v>
      </c>
      <c r="BF39" s="6" cm="1">
        <f t="array" aca="1" ref="BF39" ca="1">IFERROR( INDIRECT(ADDRESS(ROW()+1, COLUMN(), 4, TRUE, "Import-dataset")) / INDIRECT(ADDRESS(ROW(), COLUMN(), 4, TRUE, "Import-dataset")), "" )</f>
        <v>1.1385478611164397</v>
      </c>
      <c r="BG39" s="6" cm="1">
        <f t="array" aca="1" ref="BG39" ca="1">IFERROR( INDIRECT(ADDRESS(ROW()+1, COLUMN(), 4, TRUE, "Import-dataset")) / INDIRECT(ADDRESS(ROW(), COLUMN(), 4, TRUE, "Import-dataset")), "" )</f>
        <v>1.1894501635942862</v>
      </c>
      <c r="BH39" s="6" cm="1">
        <f t="array" aca="1" ref="BH39" ca="1">IFERROR( INDIRECT(ADDRESS(ROW()+1, COLUMN(), 4, TRUE, "Import-dataset")) / INDIRECT(ADDRESS(ROW(), COLUMN(), 4, TRUE, "Import-dataset")), "" )</f>
        <v>0.99683231043357756</v>
      </c>
      <c r="BI39" s="6" cm="1">
        <f t="array" aca="1" ref="BI39" ca="1">IFERROR( INDIRECT(ADDRESS(ROW()+1, COLUMN(), 4, TRUE, "Import-dataset")) / INDIRECT(ADDRESS(ROW(), COLUMN(), 4, TRUE, "Import-dataset")), "" )</f>
        <v>1.1813331110092125</v>
      </c>
      <c r="BJ39" s="6" cm="1">
        <f t="array" aca="1" ref="BJ39" ca="1">IFERROR( INDIRECT(ADDRESS(ROW()+1, COLUMN(), 4, TRUE, "Import-dataset")) / INDIRECT(ADDRESS(ROW(), COLUMN(), 4, TRUE, "Import-dataset")), "" )</f>
        <v>0.98587139633196652</v>
      </c>
      <c r="BK39" s="6" cm="1">
        <f t="array" aca="1" ref="BK39" ca="1">IFERROR( INDIRECT(ADDRESS(ROW()+1, COLUMN(), 4, TRUE, "Import-dataset")) / INDIRECT(ADDRESS(ROW(), COLUMN(), 4, TRUE, "Import-dataset")), "" )</f>
        <v>1.2031693077564638</v>
      </c>
      <c r="BL39" s="6" cm="1">
        <f t="array" aca="1" ref="BL39" ca="1">IFERROR( INDIRECT(ADDRESS(ROW()+1, COLUMN(), 4, TRUE, "Import-dataset")) / INDIRECT(ADDRESS(ROW(), COLUMN(), 4, TRUE, "Import-dataset")), "" )</f>
        <v>1.0649215411684441</v>
      </c>
      <c r="BM39" s="6" cm="1">
        <f t="array" aca="1" ref="BM39" ca="1">IFERROR( INDIRECT(ADDRESS(ROW()+1, COLUMN(), 4, TRUE, "Import-dataset")) / INDIRECT(ADDRESS(ROW(), COLUMN(), 4, TRUE, "Import-dataset")), "" )</f>
        <v>1.0066326530612244</v>
      </c>
      <c r="BN39" s="6" cm="1">
        <f t="array" aca="1" ref="BN39" ca="1">IFERROR( INDIRECT(ADDRESS(ROW()+1, COLUMN(), 4, TRUE, "Import-dataset")) / INDIRECT(ADDRESS(ROW(), COLUMN(), 4, TRUE, "Import-dataset")), "" )</f>
        <v>1.1233133433283358</v>
      </c>
      <c r="BO39" s="6" cm="1">
        <f t="array" aca="1" ref="BO39" ca="1">IFERROR( INDIRECT(ADDRESS(ROW()+1, COLUMN(), 4, TRUE, "Import-dataset")) / INDIRECT(ADDRESS(ROW(), COLUMN(), 4, TRUE, "Import-dataset")), "" )</f>
        <v>0.98488216985326815</v>
      </c>
      <c r="BP39" s="6" cm="1">
        <f t="array" aca="1" ref="BP39" ca="1">IFERROR( INDIRECT(ADDRESS(ROW()+1, COLUMN(), 4, TRUE, "Import-dataset")) / INDIRECT(ADDRESS(ROW(), COLUMN(), 4, TRUE, "Import-dataset")), "" )</f>
        <v>1.0533497739416358</v>
      </c>
      <c r="BQ39" s="6" cm="1">
        <f t="array" aca="1" ref="BQ39" ca="1">IFERROR( INDIRECT(ADDRESS(ROW()+1, COLUMN(), 4, TRUE, "Import-dataset")) / INDIRECT(ADDRESS(ROW(), COLUMN(), 4, TRUE, "Import-dataset")), "" )</f>
        <v>1.0214830214830215</v>
      </c>
      <c r="BR39" s="6" cm="1">
        <f t="array" aca="1" ref="BR39" ca="1">IFERROR( INDIRECT(ADDRESS(ROW()+1, COLUMN(), 4, TRUE, "Import-dataset")) / INDIRECT(ADDRESS(ROW(), COLUMN(), 4, TRUE, "Import-dataset")), "" )</f>
        <v>1.0280719280719282</v>
      </c>
      <c r="BS39" s="6" cm="1">
        <f t="array" aca="1" ref="BS39" ca="1">IFERROR( INDIRECT(ADDRESS(ROW()+1, COLUMN(), 4, TRUE, "Import-dataset")) / INDIRECT(ADDRESS(ROW(), COLUMN(), 4, TRUE, "Import-dataset")), "" )</f>
        <v>1.0426758938869665</v>
      </c>
      <c r="BT39" s="6" cm="1">
        <f t="array" aca="1" ref="BT39" ca="1">IFERROR( INDIRECT(ADDRESS(ROW()+1, COLUMN(), 4, TRUE, "Import-dataset")) / INDIRECT(ADDRESS(ROW(), COLUMN(), 4, TRUE, "Import-dataset")), "" )</f>
        <v>1.1010057315886232</v>
      </c>
      <c r="BU39" s="6" cm="1">
        <f t="array" aca="1" ref="BU39" ca="1">IFERROR( INDIRECT(ADDRESS(ROW()+1, COLUMN(), 4, TRUE, "Import-dataset")) / INDIRECT(ADDRESS(ROW(), COLUMN(), 4, TRUE, "Import-dataset")), "" )</f>
        <v>1.0741948310139164</v>
      </c>
      <c r="BV39" s="6" cm="1">
        <f t="array" aca="1" ref="BV39" ca="1">IFERROR( INDIRECT(ADDRESS(ROW()+1, COLUMN(), 4, TRUE, "Import-dataset")) / INDIRECT(ADDRESS(ROW(), COLUMN(), 4, TRUE, "Import-dataset")), "" )</f>
        <v>0.16666666666666666</v>
      </c>
      <c r="BW39" s="6" cm="1">
        <f t="array" aca="1" ref="BW39" ca="1">IFERROR( INDIRECT(ADDRESS(ROW()+1, COLUMN(), 4, TRUE, "Import-dataset")) / INDIRECT(ADDRESS(ROW(), COLUMN(), 4, TRUE, "Import-dataset")), "" )</f>
        <v>0.86363636363636365</v>
      </c>
      <c r="BX39" s="6" cm="1">
        <f t="array" aca="1" ref="BX39" ca="1">IFERROR( INDIRECT(ADDRESS(ROW()+1, COLUMN(), 4, TRUE, "Import-dataset")) / INDIRECT(ADDRESS(ROW(), COLUMN(), 4, TRUE, "Import-dataset")), "" )</f>
        <v>0.94736842105263153</v>
      </c>
      <c r="BY39" s="6" cm="1">
        <f t="array" aca="1" ref="BY39" ca="1">IFERROR( INDIRECT(ADDRESS(ROW()+1, COLUMN(), 4, TRUE, "Import-dataset")) / INDIRECT(ADDRESS(ROW(), COLUMN(), 4, TRUE, "Import-dataset")), "" )</f>
        <v>1.1530647985989493</v>
      </c>
      <c r="BZ39" s="6" cm="1">
        <f t="array" aca="1" ref="BZ39" ca="1">IFERROR( INDIRECT(ADDRESS(ROW()+1, COLUMN(), 4, TRUE, "Import-dataset")) / INDIRECT(ADDRESS(ROW(), COLUMN(), 4, TRUE, "Import-dataset")), "" )</f>
        <v>0.90707173857544043</v>
      </c>
      <c r="CA39" s="6" cm="1">
        <f t="array" aca="1" ref="CA39" ca="1">IFERROR( INDIRECT(ADDRESS(ROW()+1, COLUMN(), 4, TRUE, "Import-dataset")) / INDIRECT(ADDRESS(ROW(), COLUMN(), 4, TRUE, "Import-dataset")), "" )</f>
        <v>1.0389277766636302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ECCD-6BC5-403B-8719-AB2B9083662B}">
  <dimension ref="A1:W75"/>
  <sheetViews>
    <sheetView topLeftCell="A67" workbookViewId="0">
      <selection activeCell="C76" sqref="C76"/>
    </sheetView>
  </sheetViews>
  <sheetFormatPr defaultRowHeight="15"/>
  <cols>
    <col min="1" max="3" width="9.140625" style="6"/>
    <col min="4" max="4" width="13.7109375" style="6" customWidth="1"/>
    <col min="5" max="6" width="9.140625" style="6"/>
    <col min="7" max="7" width="9.5703125" style="6" customWidth="1"/>
    <col min="8" max="8" width="9.28515625" style="6" customWidth="1"/>
    <col min="9" max="23" width="9.140625" style="6"/>
  </cols>
  <sheetData>
    <row r="1" spans="1:23">
      <c r="A1" s="5" t="s">
        <v>278</v>
      </c>
      <c r="B1" s="5" t="s">
        <v>276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4" t="s">
        <v>12</v>
      </c>
      <c r="O1" s="4" t="s">
        <v>15</v>
      </c>
      <c r="P1" s="4" t="s">
        <v>25</v>
      </c>
      <c r="Q1" s="4" t="s">
        <v>29</v>
      </c>
      <c r="R1" s="4" t="s">
        <v>33</v>
      </c>
      <c r="S1" s="4" t="s">
        <v>43</v>
      </c>
      <c r="T1" s="4" t="s">
        <v>53</v>
      </c>
      <c r="U1" s="4" t="s">
        <v>63</v>
      </c>
      <c r="V1" s="4" t="s">
        <v>72</v>
      </c>
      <c r="W1" s="4" t="s">
        <v>78</v>
      </c>
    </row>
    <row r="2" spans="1:23">
      <c r="A2" s="6" t="s">
        <v>160</v>
      </c>
      <c r="B2" s="6" t="s">
        <v>0</v>
      </c>
      <c r="C2" s="6">
        <v>0.18664149162143026</v>
      </c>
      <c r="D2" s="6">
        <v>4.0718259989883661E-2</v>
      </c>
      <c r="E2" s="6">
        <v>0.30639858371269602</v>
      </c>
      <c r="F2" s="6">
        <v>6.6894284269094592E-2</v>
      </c>
      <c r="G2" s="6">
        <v>8.3839150227617606E-2</v>
      </c>
      <c r="H2" s="6">
        <v>0.26188669701568035</v>
      </c>
      <c r="I2" s="6">
        <v>7.6378351036924627E-2</v>
      </c>
      <c r="J2" s="6">
        <v>0.10862417804754679</v>
      </c>
      <c r="K2" s="6">
        <v>8.5988872028325749E-3</v>
      </c>
      <c r="L2" s="6">
        <v>3.4522003034901369E-2</v>
      </c>
      <c r="M2" s="6">
        <v>1.1507334344967122E-2</v>
      </c>
      <c r="N2" s="6">
        <v>6.4432381401935334E-3</v>
      </c>
      <c r="O2" s="6">
        <v>0.31567146565966486</v>
      </c>
      <c r="P2" s="6">
        <v>0.15241916450318621</v>
      </c>
      <c r="Q2" s="6">
        <v>3.422232711824404E-3</v>
      </c>
      <c r="R2" s="6">
        <v>2.4569270710408309E-2</v>
      </c>
      <c r="S2" s="6">
        <v>0.1260325702147746</v>
      </c>
      <c r="T2" s="6">
        <v>6.4715600660844932E-2</v>
      </c>
      <c r="U2" s="6">
        <v>2.5418928487137126E-2</v>
      </c>
      <c r="V2" s="6">
        <v>9.4477224451262692E-2</v>
      </c>
      <c r="W2" s="6">
        <v>0.99997872657263809</v>
      </c>
    </row>
    <row r="3" spans="1:23">
      <c r="A3" s="6" t="s">
        <v>161</v>
      </c>
      <c r="B3" s="6" t="s">
        <v>0</v>
      </c>
      <c r="C3" s="6">
        <v>0.20190609909162466</v>
      </c>
      <c r="D3" s="6">
        <v>2.5708566009904121E-2</v>
      </c>
      <c r="E3" s="6">
        <v>0.27805289221367613</v>
      </c>
      <c r="F3" s="6">
        <v>7.1857549257191025E-2</v>
      </c>
      <c r="G3" s="6">
        <v>6.8064482140975657E-2</v>
      </c>
      <c r="H3" s="6">
        <v>0.33768833631861761</v>
      </c>
      <c r="I3" s="6">
        <v>5.4156569381519332E-2</v>
      </c>
      <c r="J3" s="6">
        <v>0.11884943630808134</v>
      </c>
      <c r="K3" s="6">
        <v>6.8485934042777372E-3</v>
      </c>
      <c r="L3" s="6">
        <v>2.8131914445263934E-2</v>
      </c>
      <c r="M3" s="6">
        <v>1.0220208618691391E-2</v>
      </c>
      <c r="N3" s="6">
        <v>4.8290680111472755E-3</v>
      </c>
      <c r="O3" s="6">
        <v>0.30048716148658711</v>
      </c>
      <c r="P3" s="6">
        <v>0.15384942668113261</v>
      </c>
      <c r="Q3" s="6">
        <v>2.3613504371689325E-3</v>
      </c>
      <c r="R3" s="6">
        <v>2.499627715021167E-2</v>
      </c>
      <c r="S3" s="6">
        <v>0.12895951666773034</v>
      </c>
      <c r="T3" s="6">
        <v>6.9904482311145155E-2</v>
      </c>
      <c r="U3" s="6">
        <v>2.6825791903333545E-2</v>
      </c>
      <c r="V3" s="6">
        <v>8.5859552832556849E-2</v>
      </c>
      <c r="W3" s="6">
        <v>0.99997872657263809</v>
      </c>
    </row>
    <row r="4" spans="1:23">
      <c r="A4" s="6" t="s">
        <v>162</v>
      </c>
      <c r="B4" s="6" t="s">
        <v>0</v>
      </c>
      <c r="C4" s="6">
        <v>0.19111434241810929</v>
      </c>
      <c r="D4" s="6">
        <v>1.6759202138597575E-2</v>
      </c>
      <c r="E4" s="6">
        <v>0.31770512029611353</v>
      </c>
      <c r="F4" s="6">
        <v>6.950442113921447E-2</v>
      </c>
      <c r="G4" s="6">
        <v>6.950442113921447E-2</v>
      </c>
      <c r="H4" s="6">
        <v>0.30989101377750361</v>
      </c>
      <c r="I4" s="6">
        <v>5.9736787990952084E-2</v>
      </c>
      <c r="J4" s="6">
        <v>0.11320172732880937</v>
      </c>
      <c r="K4" s="6">
        <v>8.4310096648159572E-3</v>
      </c>
      <c r="L4" s="6">
        <v>2.4470491466173146E-2</v>
      </c>
      <c r="M4" s="6">
        <v>1.0795805058605799E-2</v>
      </c>
      <c r="N4" s="6">
        <v>5.6002043583344794E-3</v>
      </c>
      <c r="O4" s="6">
        <v>0.26446719459236406</v>
      </c>
      <c r="P4" s="6">
        <v>0.18852056355740701</v>
      </c>
      <c r="Q4" s="6">
        <v>2.5741290208484801E-3</v>
      </c>
      <c r="R4" s="6">
        <v>2.5446542610677723E-2</v>
      </c>
      <c r="S4" s="6">
        <v>0.12294904796525909</v>
      </c>
      <c r="T4" s="6">
        <v>8.0918040517969775E-2</v>
      </c>
      <c r="U4" s="6">
        <v>2.5643041009215776E-2</v>
      </c>
      <c r="V4" s="6">
        <v>9.2786543789668108E-2</v>
      </c>
      <c r="W4" s="6">
        <v>0.99997872657263809</v>
      </c>
    </row>
    <row r="5" spans="1:23">
      <c r="A5" s="6" t="s">
        <v>163</v>
      </c>
      <c r="B5" s="6" t="s">
        <v>0</v>
      </c>
      <c r="C5" s="6">
        <v>0.17334003462333167</v>
      </c>
      <c r="D5" s="6">
        <v>1.95446735395189E-2</v>
      </c>
      <c r="E5" s="6">
        <v>0.34783075601374569</v>
      </c>
      <c r="F5" s="6">
        <v>8.5158934707903783E-2</v>
      </c>
      <c r="G5" s="6">
        <v>7.9359965635738827E-2</v>
      </c>
      <c r="H5" s="6">
        <v>0.25891323024054985</v>
      </c>
      <c r="I5" s="6">
        <v>6.9909793814432991E-2</v>
      </c>
      <c r="J5" s="6">
        <v>8.2152061855670103E-2</v>
      </c>
      <c r="K5" s="6">
        <v>9.8797250859106525E-3</v>
      </c>
      <c r="L5" s="6">
        <v>3.2646048109965638E-2</v>
      </c>
      <c r="M5" s="6">
        <v>1.4497422680412372E-2</v>
      </c>
      <c r="N5" s="6">
        <v>6.1800785540105357E-3</v>
      </c>
      <c r="O5" s="6">
        <v>0.25459317585301838</v>
      </c>
      <c r="P5" s="6">
        <v>0.20250926081048379</v>
      </c>
      <c r="Q5" s="6">
        <v>2.5315984438115447E-3</v>
      </c>
      <c r="R5" s="6">
        <v>2.8554941270639043E-2</v>
      </c>
      <c r="S5" s="6">
        <v>0.12062321996984419</v>
      </c>
      <c r="T5" s="6">
        <v>9.0597717838461683E-2</v>
      </c>
      <c r="U5" s="6">
        <v>2.6563168965581429E-2</v>
      </c>
      <c r="V5" s="6">
        <v>9.4413730198618789E-2</v>
      </c>
      <c r="W5" s="6">
        <v>0.99997872657263809</v>
      </c>
    </row>
    <row r="6" spans="1:23">
      <c r="A6" s="6" t="s">
        <v>164</v>
      </c>
      <c r="B6" s="6" t="s">
        <v>0</v>
      </c>
      <c r="C6" s="6">
        <v>0.18130428079551877</v>
      </c>
      <c r="D6" s="6">
        <v>2.1352985638699924E-2</v>
      </c>
      <c r="E6" s="6">
        <v>0.34665532879818595</v>
      </c>
      <c r="F6" s="6">
        <v>9.0419501133786842E-2</v>
      </c>
      <c r="G6" s="6">
        <v>8.626228269085412E-2</v>
      </c>
      <c r="H6" s="6">
        <v>0.23138699924414211</v>
      </c>
      <c r="I6" s="6">
        <v>7.7947845804988661E-2</v>
      </c>
      <c r="J6" s="6">
        <v>8.390022675736962E-2</v>
      </c>
      <c r="K6" s="6">
        <v>1.0582010582010581E-2</v>
      </c>
      <c r="L6" s="6">
        <v>3.826530612244898E-2</v>
      </c>
      <c r="M6" s="6">
        <v>1.3321995464852607E-2</v>
      </c>
      <c r="N6" s="6">
        <v>6.4751528855542424E-3</v>
      </c>
      <c r="O6" s="6">
        <v>0.23116981002792195</v>
      </c>
      <c r="P6" s="6">
        <v>0.19893108587286087</v>
      </c>
      <c r="Q6" s="6">
        <v>2.6894153519365503E-3</v>
      </c>
      <c r="R6" s="6">
        <v>3.1142401973379925E-2</v>
      </c>
      <c r="S6" s="6">
        <v>0.12124638128029874</v>
      </c>
      <c r="T6" s="6">
        <v>9.7983794987752032E-2</v>
      </c>
      <c r="U6" s="6">
        <v>3.0457200609829215E-2</v>
      </c>
      <c r="V6" s="6">
        <v>9.8651866317213968E-2</v>
      </c>
      <c r="W6" s="6">
        <v>0.99997872657263809</v>
      </c>
    </row>
    <row r="7" spans="1:23">
      <c r="A7" s="6" t="s">
        <v>165</v>
      </c>
      <c r="B7" s="6" t="s">
        <v>0</v>
      </c>
      <c r="C7" s="6">
        <v>0.19828177050957141</v>
      </c>
      <c r="D7" s="6">
        <v>2.3231511254019292E-2</v>
      </c>
      <c r="E7" s="6">
        <v>0.31816720257234726</v>
      </c>
      <c r="F7" s="6">
        <v>9.3971061093247585E-2</v>
      </c>
      <c r="G7" s="6">
        <v>8.5048231511254013E-2</v>
      </c>
      <c r="H7" s="6">
        <v>0.24935691318327974</v>
      </c>
      <c r="I7" s="6">
        <v>7.3311897106109331E-2</v>
      </c>
      <c r="J7" s="6">
        <v>9.7266881028938906E-2</v>
      </c>
      <c r="K7" s="6">
        <v>1.1736334405144695E-2</v>
      </c>
      <c r="L7" s="6">
        <v>3.4565916398713828E-2</v>
      </c>
      <c r="M7" s="6">
        <v>1.2942122186495177E-2</v>
      </c>
      <c r="N7" s="6">
        <v>7.8260730964790637E-3</v>
      </c>
      <c r="O7" s="6">
        <v>0.20327069287046334</v>
      </c>
      <c r="P7" s="6">
        <v>0.19090199078722964</v>
      </c>
      <c r="Q7" s="6">
        <v>3.3790784041824065E-3</v>
      </c>
      <c r="R7" s="6">
        <v>3.4826822231785654E-2</v>
      </c>
      <c r="S7" s="6">
        <v>0.12069047960598671</v>
      </c>
      <c r="T7" s="6">
        <v>0.11187618546677505</v>
      </c>
      <c r="U7" s="6">
        <v>3.184622005451155E-2</v>
      </c>
      <c r="V7" s="6">
        <v>9.7084747923938855E-2</v>
      </c>
      <c r="W7" s="6">
        <v>0.99997872657263809</v>
      </c>
    </row>
    <row r="8" spans="1:23">
      <c r="A8" s="6" t="s">
        <v>166</v>
      </c>
      <c r="B8" s="6" t="s">
        <v>0</v>
      </c>
      <c r="C8" s="6">
        <v>0.20679274411424162</v>
      </c>
      <c r="D8" s="6">
        <v>2.6801045166106756E-2</v>
      </c>
      <c r="E8" s="6">
        <v>0.28361328854050016</v>
      </c>
      <c r="F8" s="6">
        <v>0.10623366927958193</v>
      </c>
      <c r="G8" s="6">
        <v>8.1522956326987681E-2</v>
      </c>
      <c r="H8" s="6">
        <v>0.24934677118327733</v>
      </c>
      <c r="I8" s="6">
        <v>6.9130272489734981E-2</v>
      </c>
      <c r="J8" s="6">
        <v>0.12482269503546099</v>
      </c>
      <c r="K8" s="6">
        <v>1.2915266890630833E-2</v>
      </c>
      <c r="L8" s="6">
        <v>3.0085852930197835E-2</v>
      </c>
      <c r="M8" s="6">
        <v>1.5453527435610303E-2</v>
      </c>
      <c r="N8" s="6">
        <v>8.2130451563103054E-3</v>
      </c>
      <c r="O8" s="6">
        <v>0.20183712852180624</v>
      </c>
      <c r="P8" s="6">
        <v>0.1648012350443844</v>
      </c>
      <c r="Q8" s="6">
        <v>3.4890003859513702E-3</v>
      </c>
      <c r="R8" s="6">
        <v>3.8101119258973366E-2</v>
      </c>
      <c r="S8" s="6">
        <v>0.1279351601698186</v>
      </c>
      <c r="T8" s="6">
        <v>0.11736009262832883</v>
      </c>
      <c r="U8" s="6">
        <v>3.4473176379776149E-2</v>
      </c>
      <c r="V8" s="6">
        <v>9.7059050559629489E-2</v>
      </c>
      <c r="W8" s="6">
        <v>0.99997872657263809</v>
      </c>
    </row>
    <row r="9" spans="1:23">
      <c r="A9" s="6" t="s">
        <v>167</v>
      </c>
      <c r="B9" s="6" t="s">
        <v>0</v>
      </c>
      <c r="C9" s="6">
        <v>0.1824054695130459</v>
      </c>
      <c r="D9" s="6">
        <v>4.4060276906601394E-2</v>
      </c>
      <c r="E9" s="6">
        <v>0.27071062495219156</v>
      </c>
      <c r="F9" s="6">
        <v>0.11435783676279354</v>
      </c>
      <c r="G9" s="6">
        <v>8.8732502103572253E-2</v>
      </c>
      <c r="H9" s="6">
        <v>0.20569111910043603</v>
      </c>
      <c r="I9" s="6">
        <v>7.0450546928784524E-2</v>
      </c>
      <c r="J9" s="6">
        <v>0.14357836762793544</v>
      </c>
      <c r="K9" s="6">
        <v>1.3845330069609118E-2</v>
      </c>
      <c r="L9" s="6">
        <v>3.1515336954027383E-2</v>
      </c>
      <c r="M9" s="6">
        <v>1.7058058594048804E-2</v>
      </c>
      <c r="N9" s="6">
        <v>8.1065996930375327E-3</v>
      </c>
      <c r="O9" s="6">
        <v>0.20431142737547092</v>
      </c>
      <c r="P9" s="6">
        <v>0.16709920468815403</v>
      </c>
      <c r="Q9" s="6">
        <v>3.571926887121529E-3</v>
      </c>
      <c r="R9" s="6">
        <v>4.0588809822798937E-2</v>
      </c>
      <c r="S9" s="6">
        <v>0.13658434491419003</v>
      </c>
      <c r="T9" s="6">
        <v>0.12784986744802568</v>
      </c>
      <c r="U9" s="6">
        <v>3.4812334310032091E-2</v>
      </c>
      <c r="V9" s="6">
        <v>9.4670015348123346E-2</v>
      </c>
      <c r="W9" s="6">
        <v>0.99997872657263809</v>
      </c>
    </row>
    <row r="10" spans="1:23">
      <c r="A10" s="6" t="s">
        <v>168</v>
      </c>
      <c r="B10" s="6" t="s">
        <v>0</v>
      </c>
      <c r="C10" s="6">
        <v>0.20530773427554494</v>
      </c>
      <c r="D10" s="6">
        <v>4.1695665928503635E-2</v>
      </c>
      <c r="E10" s="6">
        <v>0.18298006959822841</v>
      </c>
      <c r="F10" s="6">
        <v>0.11135716545397026</v>
      </c>
      <c r="G10" s="6">
        <v>6.6434672571970901E-2</v>
      </c>
      <c r="H10" s="6">
        <v>0.36450490351154696</v>
      </c>
      <c r="I10" s="6">
        <v>6.8585890540968045E-2</v>
      </c>
      <c r="J10" s="6">
        <v>0.10433407149636191</v>
      </c>
      <c r="K10" s="6">
        <v>1.2401138880101234E-2</v>
      </c>
      <c r="L10" s="6">
        <v>3.163555836760519E-2</v>
      </c>
      <c r="M10" s="6">
        <v>1.6007592534008224E-2</v>
      </c>
      <c r="N10" s="6">
        <v>9.586656621028292E-3</v>
      </c>
      <c r="O10" s="6">
        <v>0.19512353537190513</v>
      </c>
      <c r="P10" s="6">
        <v>0.1688966251851082</v>
      </c>
      <c r="Q10" s="6">
        <v>3.0656517107895353E-3</v>
      </c>
      <c r="R10" s="6">
        <v>3.8970148865968668E-2</v>
      </c>
      <c r="S10" s="6">
        <v>0.12244420773687356</v>
      </c>
      <c r="T10" s="6">
        <v>0.12936790418539398</v>
      </c>
      <c r="U10" s="6">
        <v>3.6528019537034634E-2</v>
      </c>
      <c r="V10" s="6">
        <v>9.0774466758463013E-2</v>
      </c>
      <c r="W10" s="6">
        <v>0.99997872657263809</v>
      </c>
    </row>
    <row r="11" spans="1:23">
      <c r="A11" s="6" t="s">
        <v>169</v>
      </c>
      <c r="B11" s="6" t="s">
        <v>0</v>
      </c>
      <c r="C11" s="6">
        <v>0.202865903998113</v>
      </c>
      <c r="D11" s="6">
        <v>4.3195163071914421E-2</v>
      </c>
      <c r="E11" s="6">
        <v>0.20010464507877448</v>
      </c>
      <c r="F11" s="6">
        <v>0.10662170804023022</v>
      </c>
      <c r="G11" s="6">
        <v>6.9937794314284055E-2</v>
      </c>
      <c r="H11" s="6">
        <v>0.35125864775303761</v>
      </c>
      <c r="I11" s="6">
        <v>6.720539503517238E-2</v>
      </c>
      <c r="J11" s="6">
        <v>0.10016859484913668</v>
      </c>
      <c r="K11" s="6">
        <v>1.1220277890820302E-2</v>
      </c>
      <c r="L11" s="6">
        <v>3.2439974420091854E-2</v>
      </c>
      <c r="M11" s="6">
        <v>1.7615254927039126E-2</v>
      </c>
      <c r="N11" s="6">
        <v>1.0520108503361245E-2</v>
      </c>
      <c r="O11" s="6">
        <v>0.20219365491213587</v>
      </c>
      <c r="P11" s="6">
        <v>0.17653025120886898</v>
      </c>
      <c r="Q11" s="6">
        <v>3.1843377756810946E-3</v>
      </c>
      <c r="R11" s="6">
        <v>3.7929001061445929E-2</v>
      </c>
      <c r="S11" s="6">
        <v>0.11695954711640523</v>
      </c>
      <c r="T11" s="6">
        <v>0.13354169123717419</v>
      </c>
      <c r="U11" s="6">
        <v>3.6018398396037266E-2</v>
      </c>
      <c r="V11" s="6">
        <v>8.0280693478004483E-2</v>
      </c>
      <c r="W11" s="6">
        <v>0.99997872657263809</v>
      </c>
    </row>
    <row r="12" spans="1:23">
      <c r="A12" s="6" t="s">
        <v>170</v>
      </c>
      <c r="B12" s="6" t="s">
        <v>0</v>
      </c>
      <c r="C12" s="6">
        <v>0.17031701259734569</v>
      </c>
      <c r="D12" s="6">
        <v>3.7410926365795724E-2</v>
      </c>
      <c r="E12" s="6">
        <v>0.25804961731327525</v>
      </c>
      <c r="F12" s="6">
        <v>0.14133016627078385</v>
      </c>
      <c r="G12" s="6">
        <v>7.7724993401953019E-2</v>
      </c>
      <c r="H12" s="6">
        <v>0.33102401689100025</v>
      </c>
      <c r="I12" s="6">
        <v>7.4887833201372392E-2</v>
      </c>
      <c r="J12" s="6">
        <v>1.1876484560570071E-2</v>
      </c>
      <c r="K12" s="6">
        <v>1.1612562681446292E-2</v>
      </c>
      <c r="L12" s="6">
        <v>3.5959356030614939E-2</v>
      </c>
      <c r="M12" s="6">
        <v>1.9860121404064398E-2</v>
      </c>
      <c r="N12" s="6">
        <v>1.2990661557306124E-2</v>
      </c>
      <c r="O12" s="6">
        <v>0.20125411576971916</v>
      </c>
      <c r="P12" s="6">
        <v>0.16942924247361973</v>
      </c>
      <c r="Q12" s="6">
        <v>4.3264746536010876E-3</v>
      </c>
      <c r="R12" s="6">
        <v>3.8061739355186711E-2</v>
      </c>
      <c r="S12" s="6">
        <v>0.11712946834930944</v>
      </c>
      <c r="T12" s="6">
        <v>0.11972535314147011</v>
      </c>
      <c r="U12" s="6">
        <v>3.7556047512558012E-2</v>
      </c>
      <c r="V12" s="6">
        <v>0.12917617180037533</v>
      </c>
      <c r="W12" s="6">
        <v>0.99997872657263809</v>
      </c>
    </row>
    <row r="13" spans="1:23">
      <c r="A13" s="6" t="s">
        <v>171</v>
      </c>
      <c r="B13" s="6" t="s">
        <v>0</v>
      </c>
      <c r="C13" s="6">
        <v>0.18270746780523173</v>
      </c>
      <c r="D13" s="6">
        <v>4.396573444192492E-2</v>
      </c>
      <c r="E13" s="6">
        <v>0.26221970269589318</v>
      </c>
      <c r="F13" s="6">
        <v>0.1391408415217939</v>
      </c>
      <c r="G13" s="6">
        <v>8.7364575459813548E-2</v>
      </c>
      <c r="H13" s="6">
        <v>0.30750818846056943</v>
      </c>
      <c r="I13" s="6">
        <v>7.5081884605694135E-2</v>
      </c>
      <c r="J13" s="6">
        <v>1.0330057949105569E-2</v>
      </c>
      <c r="K13" s="6">
        <v>1.3416477702191988E-2</v>
      </c>
      <c r="L13" s="6">
        <v>3.9430587049634667E-2</v>
      </c>
      <c r="M13" s="6">
        <v>2.1667926429831192E-2</v>
      </c>
      <c r="N13" s="6">
        <v>1.6134786461510134E-2</v>
      </c>
      <c r="O13" s="6">
        <v>0.19181061765619786</v>
      </c>
      <c r="P13" s="6">
        <v>0.16645759727480924</v>
      </c>
      <c r="Q13" s="6">
        <v>3.7287238327598309E-3</v>
      </c>
      <c r="R13" s="6">
        <v>4.4353400158816017E-2</v>
      </c>
      <c r="S13" s="6">
        <v>0.12288676878459714</v>
      </c>
      <c r="T13" s="6">
        <v>0.12644286651398848</v>
      </c>
      <c r="U13" s="6">
        <v>4.1706466573832188E-2</v>
      </c>
      <c r="V13" s="6">
        <v>0.10375979653136616</v>
      </c>
      <c r="W13" s="6">
        <v>0.99997872657263809</v>
      </c>
    </row>
    <row r="14" spans="1:23">
      <c r="A14" s="6" t="s">
        <v>172</v>
      </c>
      <c r="B14" s="6" t="s">
        <v>0</v>
      </c>
      <c r="C14" s="6">
        <v>0.17185446966607765</v>
      </c>
      <c r="D14" s="6">
        <v>4.2077511204851044E-2</v>
      </c>
      <c r="E14" s="6">
        <v>0.26564724492486158</v>
      </c>
      <c r="F14" s="6">
        <v>0.14363300817295016</v>
      </c>
      <c r="G14" s="6">
        <v>8.9111521223306095E-2</v>
      </c>
      <c r="H14" s="6">
        <v>0.28505141049301347</v>
      </c>
      <c r="I14" s="6">
        <v>7.6983917743211172E-2</v>
      </c>
      <c r="J14" s="6">
        <v>1.1020300553651463E-2</v>
      </c>
      <c r="K14" s="6">
        <v>1.3551278671236488E-2</v>
      </c>
      <c r="L14" s="6">
        <v>5.1515950435011865E-2</v>
      </c>
      <c r="M14" s="6">
        <v>2.1882414974953864E-2</v>
      </c>
      <c r="N14" s="6">
        <v>1.6039146391192062E-2</v>
      </c>
      <c r="O14" s="6">
        <v>0.19242444837116579</v>
      </c>
      <c r="P14" s="6">
        <v>0.20878981468895835</v>
      </c>
      <c r="Q14" s="6">
        <v>2.7638077114765982E-3</v>
      </c>
      <c r="R14" s="6">
        <v>4.2743872049295459E-2</v>
      </c>
      <c r="S14" s="6">
        <v>0.12298491232839473</v>
      </c>
      <c r="T14" s="6">
        <v>0.11315300620724027</v>
      </c>
      <c r="U14" s="6">
        <v>3.7778079833265373E-2</v>
      </c>
      <c r="V14" s="6">
        <v>9.1486566082189302E-2</v>
      </c>
      <c r="W14" s="6">
        <v>0.99997872657263809</v>
      </c>
    </row>
    <row r="15" spans="1:23">
      <c r="A15" s="6" t="s">
        <v>173</v>
      </c>
      <c r="B15" s="6" t="s">
        <v>0</v>
      </c>
      <c r="C15" s="6">
        <v>0.17947294970252425</v>
      </c>
      <c r="D15" s="6">
        <v>4.6837342549224684E-2</v>
      </c>
      <c r="E15" s="6">
        <v>0.28961848028739029</v>
      </c>
      <c r="F15" s="6">
        <v>0.13864762857532628</v>
      </c>
      <c r="G15" s="6">
        <v>7.7804556409440229E-2</v>
      </c>
      <c r="H15" s="6">
        <v>0.28561684325405851</v>
      </c>
      <c r="I15" s="6">
        <v>7.430312400527489E-2</v>
      </c>
      <c r="J15" s="6">
        <v>1.0185985175753717E-2</v>
      </c>
      <c r="K15" s="6">
        <v>1.1732072211359192E-2</v>
      </c>
      <c r="L15" s="6">
        <v>4.5336728661725251E-2</v>
      </c>
      <c r="M15" s="6">
        <v>1.978081942612887E-2</v>
      </c>
      <c r="N15" s="6">
        <v>1.7832222049930221E-2</v>
      </c>
      <c r="O15" s="6">
        <v>0.19399988574319968</v>
      </c>
      <c r="P15" s="6">
        <v>0.20752299418106437</v>
      </c>
      <c r="Q15" s="6">
        <v>2.5136496070382189E-3</v>
      </c>
      <c r="R15" s="6">
        <v>4.4241865323877222E-2</v>
      </c>
      <c r="S15" s="6">
        <v>0.11359574311806808</v>
      </c>
      <c r="T15" s="6">
        <v>0.11296733071630853</v>
      </c>
      <c r="U15" s="6">
        <v>3.7255878104316457E-2</v>
      </c>
      <c r="V15" s="6">
        <v>9.0556675453558694E-2</v>
      </c>
      <c r="W15" s="6">
        <v>0.99997872657263809</v>
      </c>
    </row>
    <row r="16" spans="1:23">
      <c r="A16" s="6" t="s">
        <v>174</v>
      </c>
      <c r="B16" s="6" t="s">
        <v>0</v>
      </c>
      <c r="C16" s="6">
        <v>0.17698270521857054</v>
      </c>
      <c r="D16" s="6">
        <v>5.5245482924983443E-2</v>
      </c>
      <c r="E16" s="6">
        <v>0.28152492668621704</v>
      </c>
      <c r="F16" s="6">
        <v>0.13655283322296849</v>
      </c>
      <c r="G16" s="6">
        <v>7.6955822533345944E-2</v>
      </c>
      <c r="H16" s="6">
        <v>0.28185602119004827</v>
      </c>
      <c r="I16" s="6">
        <v>7.7759909185507514E-2</v>
      </c>
      <c r="J16" s="6">
        <v>1.0878819411597768E-2</v>
      </c>
      <c r="K16" s="6">
        <v>1.3291079368082491E-2</v>
      </c>
      <c r="L16" s="6">
        <v>4.5359947024879388E-2</v>
      </c>
      <c r="M16" s="6">
        <v>2.0764355311701826E-2</v>
      </c>
      <c r="N16" s="6">
        <v>2.1907281220177804E-2</v>
      </c>
      <c r="O16" s="6">
        <v>0.18453347620084046</v>
      </c>
      <c r="P16" s="6">
        <v>0.20675886085486112</v>
      </c>
      <c r="Q16" s="6">
        <v>2.6452811866932309E-3</v>
      </c>
      <c r="R16" s="6">
        <v>4.2508664133000723E-2</v>
      </c>
      <c r="S16" s="6">
        <v>0.11267558472433827</v>
      </c>
      <c r="T16" s="6">
        <v>0.11884511711229051</v>
      </c>
      <c r="U16" s="6">
        <v>3.7092534614676285E-2</v>
      </c>
      <c r="V16" s="6">
        <v>9.6042123591555187E-2</v>
      </c>
      <c r="W16" s="6">
        <v>0.99997872657263809</v>
      </c>
    </row>
    <row r="17" spans="1:23">
      <c r="A17" s="6" t="s">
        <v>175</v>
      </c>
      <c r="B17" s="6" t="s">
        <v>0</v>
      </c>
      <c r="C17" s="6">
        <v>0.1517747971395754</v>
      </c>
      <c r="D17" s="6">
        <v>5.9139456820262434E-2</v>
      </c>
      <c r="E17" s="6">
        <v>0.32401586817210865</v>
      </c>
      <c r="F17" s="6">
        <v>0.12639609398840404</v>
      </c>
      <c r="G17" s="6">
        <v>8.2453463533719865E-2</v>
      </c>
      <c r="H17" s="6">
        <v>0.22282575526396095</v>
      </c>
      <c r="I17" s="6">
        <v>7.5129691791272504E-2</v>
      </c>
      <c r="J17" s="6">
        <v>1.0863594751296918E-2</v>
      </c>
      <c r="K17" s="6">
        <v>1.7149832163564235E-2</v>
      </c>
      <c r="L17" s="6">
        <v>5.2975282270369239E-2</v>
      </c>
      <c r="M17" s="6">
        <v>2.923405553860238E-2</v>
      </c>
      <c r="N17" s="6">
        <v>2.4324724887917301E-2</v>
      </c>
      <c r="O17" s="6">
        <v>0.18713179443476971</v>
      </c>
      <c r="P17" s="6">
        <v>0.19774723035310682</v>
      </c>
      <c r="Q17" s="6">
        <v>3.0197487865426657E-3</v>
      </c>
      <c r="R17" s="6">
        <v>4.8102930823668899E-2</v>
      </c>
      <c r="S17" s="6">
        <v>0.10532994923857868</v>
      </c>
      <c r="T17" s="6">
        <v>0.1153340249731372</v>
      </c>
      <c r="U17" s="6">
        <v>3.9673570713994591E-2</v>
      </c>
      <c r="V17" s="6">
        <v>0.12752417651635853</v>
      </c>
      <c r="W17" s="6">
        <v>0.99997872657263809</v>
      </c>
    </row>
    <row r="18" spans="1:23">
      <c r="A18" s="6" t="s">
        <v>176</v>
      </c>
      <c r="B18" s="6" t="s">
        <v>0</v>
      </c>
      <c r="C18" s="6">
        <v>0.173537228397001</v>
      </c>
      <c r="D18" s="6">
        <v>4.0561698796359721E-2</v>
      </c>
      <c r="E18" s="6">
        <v>0.32057931304432918</v>
      </c>
      <c r="F18" s="6">
        <v>0.11630296506507486</v>
      </c>
      <c r="G18" s="6">
        <v>6.0230942362266365E-2</v>
      </c>
      <c r="H18" s="6">
        <v>0.30296506507486054</v>
      </c>
      <c r="I18" s="6">
        <v>6.2873079557686659E-2</v>
      </c>
      <c r="J18" s="6">
        <v>9.7856933163714653E-3</v>
      </c>
      <c r="K18" s="6">
        <v>1.3993541442411194E-2</v>
      </c>
      <c r="L18" s="6">
        <v>4.9760250513748897E-2</v>
      </c>
      <c r="M18" s="6">
        <v>2.2800665427145515E-2</v>
      </c>
      <c r="N18" s="6">
        <v>2.4997240454093891E-2</v>
      </c>
      <c r="O18" s="6">
        <v>0.19580039567642837</v>
      </c>
      <c r="P18" s="6">
        <v>0.20240632403012576</v>
      </c>
      <c r="Q18" s="6">
        <v>3.0991823253207441E-3</v>
      </c>
      <c r="R18" s="6">
        <v>4.6895298582867041E-2</v>
      </c>
      <c r="S18" s="6">
        <v>0.10200130760021398</v>
      </c>
      <c r="T18" s="6">
        <v>0.10165318027052041</v>
      </c>
      <c r="U18" s="6">
        <v>3.7393969755376871E-2</v>
      </c>
      <c r="V18" s="6">
        <v>0.11222436381853226</v>
      </c>
      <c r="W18" s="6">
        <v>0.99997872657263809</v>
      </c>
    </row>
    <row r="19" spans="1:23">
      <c r="A19" s="6" t="s">
        <v>177</v>
      </c>
      <c r="B19" s="6" t="s">
        <v>0</v>
      </c>
      <c r="C19" s="6">
        <v>0.13473540408398044</v>
      </c>
      <c r="D19" s="6">
        <v>4.3598911361331982E-2</v>
      </c>
      <c r="E19" s="6">
        <v>0.36608143444153901</v>
      </c>
      <c r="F19" s="6">
        <v>0.13015635839692619</v>
      </c>
      <c r="G19" s="6">
        <v>6.5211590799935965E-2</v>
      </c>
      <c r="H19" s="6">
        <v>0.23512460643577565</v>
      </c>
      <c r="I19" s="6">
        <v>6.8787021719408717E-2</v>
      </c>
      <c r="J19" s="6">
        <v>1.1313303804898873E-2</v>
      </c>
      <c r="K19" s="6">
        <v>1.3074336944340679E-2</v>
      </c>
      <c r="L19" s="6">
        <v>4.301190031485138E-2</v>
      </c>
      <c r="M19" s="6">
        <v>2.3587171140402371E-2</v>
      </c>
      <c r="N19" s="6">
        <v>2.1304285303422491E-2</v>
      </c>
      <c r="O19" s="6">
        <v>0.21662352602818521</v>
      </c>
      <c r="P19" s="6">
        <v>0.25575208513085995</v>
      </c>
      <c r="Q19" s="6">
        <v>2.1067011791774518E-3</v>
      </c>
      <c r="R19" s="6">
        <v>4.6455277538107562E-2</v>
      </c>
      <c r="S19" s="6">
        <v>9.3018406672418757E-2</v>
      </c>
      <c r="T19" s="6">
        <v>9.451394880644233E-2</v>
      </c>
      <c r="U19" s="6">
        <v>3.1924072476272651E-2</v>
      </c>
      <c r="V19" s="6">
        <v>0.10354472246189243</v>
      </c>
      <c r="W19" s="6">
        <v>0.99997872657263809</v>
      </c>
    </row>
    <row r="20" spans="1:23">
      <c r="A20" s="6" t="s">
        <v>178</v>
      </c>
      <c r="B20" s="6" t="s">
        <v>0</v>
      </c>
      <c r="C20" s="6">
        <v>0.12253821304037178</v>
      </c>
      <c r="D20" s="6">
        <v>4.3905113126681952E-2</v>
      </c>
      <c r="E20" s="6">
        <v>0.35303498455098176</v>
      </c>
      <c r="F20" s="6">
        <v>0.12080135552676169</v>
      </c>
      <c r="G20" s="6">
        <v>6.0899033190471442E-2</v>
      </c>
      <c r="H20" s="6">
        <v>0.25879597328814913</v>
      </c>
      <c r="I20" s="6">
        <v>7.2411043556264335E-2</v>
      </c>
      <c r="J20" s="6">
        <v>1.3854280873118708E-2</v>
      </c>
      <c r="K20" s="6">
        <v>1.0814312767866043E-2</v>
      </c>
      <c r="L20" s="6">
        <v>4.355626432771853E-2</v>
      </c>
      <c r="M20" s="6">
        <v>2.1877803249277385E-2</v>
      </c>
      <c r="N20" s="6">
        <v>1.8375235873541246E-2</v>
      </c>
      <c r="O20" s="6">
        <v>0.23933607323224612</v>
      </c>
      <c r="P20" s="6">
        <v>0.2402215531929186</v>
      </c>
      <c r="Q20" s="6">
        <v>1.7587464046460218E-3</v>
      </c>
      <c r="R20" s="6">
        <v>4.2173273161407732E-2</v>
      </c>
      <c r="S20" s="6">
        <v>0.10556753158720757</v>
      </c>
      <c r="T20" s="6">
        <v>7.9375645026350666E-2</v>
      </c>
      <c r="U20" s="6">
        <v>2.9330760352482093E-2</v>
      </c>
      <c r="V20" s="6">
        <v>0.12135960867892497</v>
      </c>
      <c r="W20" s="6">
        <v>0.99997872657263809</v>
      </c>
    </row>
    <row r="21" spans="1:23">
      <c r="A21" s="6" t="s">
        <v>179</v>
      </c>
      <c r="B21" s="6" t="s">
        <v>0</v>
      </c>
      <c r="C21" s="6">
        <v>0.1035062297340634</v>
      </c>
      <c r="D21" s="6">
        <v>5.3244592346089852E-2</v>
      </c>
      <c r="E21" s="6">
        <v>0.38005622812553791</v>
      </c>
      <c r="F21" s="6">
        <v>0.13970967927018188</v>
      </c>
      <c r="G21" s="6">
        <v>6.3686958517413503E-2</v>
      </c>
      <c r="H21" s="6">
        <v>0.19289689597796775</v>
      </c>
      <c r="I21" s="6">
        <v>7.3727695220609332E-2</v>
      </c>
      <c r="J21" s="6">
        <v>1.2794767341786677E-2</v>
      </c>
      <c r="K21" s="6">
        <v>1.468816340581789E-2</v>
      </c>
      <c r="L21" s="6">
        <v>4.3662860749325835E-2</v>
      </c>
      <c r="M21" s="6">
        <v>2.5474783406965403E-2</v>
      </c>
      <c r="N21" s="6">
        <v>1.9283075790148825E-2</v>
      </c>
      <c r="O21" s="6">
        <v>0.2497832361360208</v>
      </c>
      <c r="P21" s="6">
        <v>0.22726354922618269</v>
      </c>
      <c r="Q21" s="6">
        <v>2.1557611677930468E-3</v>
      </c>
      <c r="R21" s="6">
        <v>4.6927891867494922E-2</v>
      </c>
      <c r="S21" s="6">
        <v>0.11034171486940719</v>
      </c>
      <c r="T21" s="6">
        <v>8.1770455976150042E-2</v>
      </c>
      <c r="U21" s="6">
        <v>3.006782036511349E-2</v>
      </c>
      <c r="V21" s="6">
        <v>0.12891808107562386</v>
      </c>
      <c r="W21" s="6">
        <v>0.99997872657263809</v>
      </c>
    </row>
    <row r="22" spans="1:23">
      <c r="A22" s="6" t="s">
        <v>180</v>
      </c>
      <c r="B22" s="6" t="s">
        <v>0</v>
      </c>
      <c r="C22" s="6">
        <v>9.8106062309695471E-2</v>
      </c>
      <c r="D22" s="6">
        <v>5.1299683674872781E-2</v>
      </c>
      <c r="E22" s="6">
        <v>0.32994086095447667</v>
      </c>
      <c r="F22" s="6">
        <v>0.12171640764681611</v>
      </c>
      <c r="G22" s="6">
        <v>5.0703708797506075E-2</v>
      </c>
      <c r="H22" s="6">
        <v>0.27955806170632191</v>
      </c>
      <c r="I22" s="6">
        <v>6.4502819419612153E-2</v>
      </c>
      <c r="J22" s="6">
        <v>1.0956768899280246E-2</v>
      </c>
      <c r="K22" s="6">
        <v>1.2332095539357263E-2</v>
      </c>
      <c r="L22" s="6">
        <v>5.1299683674872781E-2</v>
      </c>
      <c r="M22" s="6">
        <v>2.7827442350891671E-2</v>
      </c>
      <c r="N22" s="6">
        <v>1.2480828996901156E-2</v>
      </c>
      <c r="O22" s="6">
        <v>0.25303025532852691</v>
      </c>
      <c r="P22" s="6">
        <v>0.31980156606293936</v>
      </c>
      <c r="Q22" s="6">
        <v>2.57262493197386E-3</v>
      </c>
      <c r="R22" s="6">
        <v>3.8076648031627094E-2</v>
      </c>
      <c r="S22" s="6">
        <v>8.103318776114167E-2</v>
      </c>
      <c r="T22" s="6">
        <v>6.8754750585811888E-2</v>
      </c>
      <c r="U22" s="6">
        <v>2.4134100323377154E-2</v>
      </c>
      <c r="V22" s="6">
        <v>0.10200547807197054</v>
      </c>
      <c r="W22" s="6">
        <v>0.99997872657263809</v>
      </c>
    </row>
    <row r="23" spans="1:23">
      <c r="A23" s="6" t="s">
        <v>181</v>
      </c>
      <c r="B23" s="6" t="s">
        <v>0</v>
      </c>
      <c r="C23" s="6">
        <v>0.11001444880848206</v>
      </c>
      <c r="D23" s="6">
        <v>5.322789493155753E-2</v>
      </c>
      <c r="E23" s="6">
        <v>0.30683499815020349</v>
      </c>
      <c r="F23" s="6">
        <v>9.8825379208287087E-2</v>
      </c>
      <c r="G23" s="6">
        <v>4.7817240103588607E-2</v>
      </c>
      <c r="H23" s="6">
        <v>0.29980577136514985</v>
      </c>
      <c r="I23" s="6">
        <v>7.8107658157602664E-2</v>
      </c>
      <c r="J23" s="6">
        <v>1.2578616352201259E-2</v>
      </c>
      <c r="K23" s="6">
        <v>1.4058453570107288E-2</v>
      </c>
      <c r="L23" s="6">
        <v>5.8407325194228636E-2</v>
      </c>
      <c r="M23" s="6">
        <v>3.029041805401406E-2</v>
      </c>
      <c r="N23" s="6">
        <v>1.317690632695008E-2</v>
      </c>
      <c r="O23" s="6">
        <v>0.26112660005291111</v>
      </c>
      <c r="P23" s="6">
        <v>0.29424184456338143</v>
      </c>
      <c r="Q23" s="6">
        <v>2.2639858360976005E-3</v>
      </c>
      <c r="R23" s="6">
        <v>4.1168928956633224E-2</v>
      </c>
      <c r="S23" s="6">
        <v>6.9807077881112761E-2</v>
      </c>
      <c r="T23" s="6">
        <v>6.0552717800525041E-2</v>
      </c>
      <c r="U23" s="6">
        <v>2.5784000488410428E-2</v>
      </c>
      <c r="V23" s="6">
        <v>0.12186348928549624</v>
      </c>
      <c r="W23" s="6">
        <v>0.99997872657263809</v>
      </c>
    </row>
    <row r="24" spans="1:23">
      <c r="A24" s="6" t="s">
        <v>182</v>
      </c>
      <c r="B24" s="6" t="s">
        <v>0</v>
      </c>
      <c r="C24" s="6">
        <v>9.031205790354889E-2</v>
      </c>
      <c r="D24" s="6">
        <v>5.4850299401197608E-2</v>
      </c>
      <c r="E24" s="6">
        <v>0.32138922155688621</v>
      </c>
      <c r="F24" s="6">
        <v>0.10347305389221557</v>
      </c>
      <c r="G24" s="6">
        <v>4.8814371257485029E-2</v>
      </c>
      <c r="H24" s="6">
        <v>0.28081437125748504</v>
      </c>
      <c r="I24" s="6">
        <v>7.4491017964071857E-2</v>
      </c>
      <c r="J24" s="6">
        <v>1.61437125748503E-2</v>
      </c>
      <c r="K24" s="6">
        <v>1.3652694610778443E-2</v>
      </c>
      <c r="L24" s="6">
        <v>4.8383233532934132E-2</v>
      </c>
      <c r="M24" s="6">
        <v>3.8227544910179642E-2</v>
      </c>
      <c r="N24" s="6">
        <v>1.046538290149388E-2</v>
      </c>
      <c r="O24" s="6">
        <v>0.32838113202649444</v>
      </c>
      <c r="P24" s="6">
        <v>0.28808573047853492</v>
      </c>
      <c r="Q24" s="6">
        <v>2.0376996058716896E-3</v>
      </c>
      <c r="R24" s="6">
        <v>3.4961041433225322E-2</v>
      </c>
      <c r="S24" s="6">
        <v>6.5998105069156321E-2</v>
      </c>
      <c r="T24" s="6">
        <v>5.2902315882375844E-2</v>
      </c>
      <c r="U24" s="6">
        <v>2.1073534565182593E-2</v>
      </c>
      <c r="V24" s="6">
        <v>0.10579165278637034</v>
      </c>
      <c r="W24" s="6">
        <v>0.99997872657263809</v>
      </c>
    </row>
    <row r="25" spans="1:23">
      <c r="A25" s="6" t="s">
        <v>183</v>
      </c>
      <c r="B25" s="6" t="s">
        <v>0</v>
      </c>
      <c r="C25" s="6">
        <v>9.2427502034795966E-2</v>
      </c>
      <c r="D25" s="6">
        <v>4.4319497271374235E-2</v>
      </c>
      <c r="E25" s="6">
        <v>0.29477426823218122</v>
      </c>
      <c r="F25" s="6">
        <v>8.9796593352075404E-2</v>
      </c>
      <c r="G25" s="6">
        <v>4.3947411939804865E-2</v>
      </c>
      <c r="H25" s="6">
        <v>0.35100049611377543</v>
      </c>
      <c r="I25" s="6">
        <v>6.9125186042665779E-2</v>
      </c>
      <c r="J25" s="6">
        <v>1.3643128824210352E-2</v>
      </c>
      <c r="K25" s="6">
        <v>1.215478749793286E-2</v>
      </c>
      <c r="L25" s="6">
        <v>4.4484868529849515E-2</v>
      </c>
      <c r="M25" s="6">
        <v>3.6795105010749132E-2</v>
      </c>
      <c r="N25" s="6">
        <v>8.4448809118942893E-3</v>
      </c>
      <c r="O25" s="6">
        <v>0.36600725266243023</v>
      </c>
      <c r="P25" s="6">
        <v>0.28045411296270112</v>
      </c>
      <c r="Q25" s="6">
        <v>2.2965490624653703E-3</v>
      </c>
      <c r="R25" s="6">
        <v>3.0164656071716527E-2</v>
      </c>
      <c r="S25" s="6">
        <v>6.1066806268317939E-2</v>
      </c>
      <c r="T25" s="6">
        <v>4.8093787853892095E-2</v>
      </c>
      <c r="U25" s="6">
        <v>1.9801526192505074E-2</v>
      </c>
      <c r="V25" s="6">
        <v>9.1273495683939818E-2</v>
      </c>
      <c r="W25" s="6">
        <v>0.99997872657263809</v>
      </c>
    </row>
    <row r="26" spans="1:23">
      <c r="A26" s="6" t="s">
        <v>184</v>
      </c>
      <c r="B26" s="6" t="s">
        <v>0</v>
      </c>
      <c r="C26" s="6">
        <v>0.10197417547598578</v>
      </c>
      <c r="D26" s="6">
        <v>4.1521532615579483E-2</v>
      </c>
      <c r="E26" s="6">
        <v>0.28503008233058896</v>
      </c>
      <c r="F26" s="6">
        <v>8.5892970234325516E-2</v>
      </c>
      <c r="G26" s="6">
        <v>3.7721659278024067E-2</v>
      </c>
      <c r="H26" s="6">
        <v>0.35770265991133626</v>
      </c>
      <c r="I26" s="6">
        <v>8.2409753008233055E-2</v>
      </c>
      <c r="J26" s="6">
        <v>1.1676694110196327E-2</v>
      </c>
      <c r="K26" s="6">
        <v>1.0014249525015832E-2</v>
      </c>
      <c r="L26" s="6">
        <v>5.1535782140595315E-2</v>
      </c>
      <c r="M26" s="6">
        <v>3.6177960734642176E-2</v>
      </c>
      <c r="N26" s="6">
        <v>8.6862106406080351E-3</v>
      </c>
      <c r="O26" s="6">
        <v>0.34806598613919731</v>
      </c>
      <c r="P26" s="6">
        <v>0.28393252848649236</v>
      </c>
      <c r="Q26" s="6">
        <v>2.0504623631175099E-3</v>
      </c>
      <c r="R26" s="6">
        <v>3.3990046377583766E-2</v>
      </c>
      <c r="S26" s="6">
        <v>5.579840887349697E-2</v>
      </c>
      <c r="T26" s="6">
        <v>5.3695474048331172E-2</v>
      </c>
      <c r="U26" s="6">
        <v>1.986688140012674E-2</v>
      </c>
      <c r="V26" s="6">
        <v>9.191964447888791E-2</v>
      </c>
      <c r="W26" s="6">
        <v>0.99997872657263809</v>
      </c>
    </row>
    <row r="27" spans="1:23">
      <c r="A27" s="6" t="s">
        <v>185</v>
      </c>
      <c r="B27" s="6" t="s">
        <v>0</v>
      </c>
      <c r="C27" s="6">
        <v>0.10350132463982775</v>
      </c>
      <c r="D27" s="6">
        <v>3.8210452550437063E-2</v>
      </c>
      <c r="E27" s="6">
        <v>0.31907203186663224</v>
      </c>
      <c r="F27" s="6">
        <v>8.5014568657101761E-2</v>
      </c>
      <c r="G27" s="6">
        <v>3.7767860435953232E-2</v>
      </c>
      <c r="H27" s="6">
        <v>0.33485781728322206</v>
      </c>
      <c r="I27" s="6">
        <v>8.1879541179507992E-2</v>
      </c>
      <c r="J27" s="6">
        <v>1.0585328071404861E-2</v>
      </c>
      <c r="K27" s="6">
        <v>9.441965108988308E-3</v>
      </c>
      <c r="L27" s="6">
        <v>4.2931435104931213E-2</v>
      </c>
      <c r="M27" s="6">
        <v>4.0312765094235238E-2</v>
      </c>
      <c r="N27" s="6">
        <v>8.024187083425588E-3</v>
      </c>
      <c r="O27" s="6">
        <v>0.38845540124752825</v>
      </c>
      <c r="P27" s="6">
        <v>0.25772452072469632</v>
      </c>
      <c r="Q27" s="6">
        <v>2.4584093633330533E-3</v>
      </c>
      <c r="R27" s="6">
        <v>2.9737591522305103E-2</v>
      </c>
      <c r="S27" s="6">
        <v>5.5260766993182116E-2</v>
      </c>
      <c r="T27" s="6">
        <v>5.1973980561769446E-2</v>
      </c>
      <c r="U27" s="6">
        <v>1.9228273234640669E-2</v>
      </c>
      <c r="V27" s="6">
        <v>8.3631727223448027E-2</v>
      </c>
      <c r="W27" s="6">
        <v>0.99997872657263809</v>
      </c>
    </row>
    <row r="28" spans="1:23">
      <c r="A28" s="6" t="s">
        <v>186</v>
      </c>
      <c r="B28" s="6" t="s">
        <v>0</v>
      </c>
      <c r="C28" s="6">
        <v>0.11696242897380069</v>
      </c>
      <c r="D28" s="6">
        <v>5.1988554158762822E-2</v>
      </c>
      <c r="E28" s="6">
        <v>0.37211844516606113</v>
      </c>
      <c r="F28" s="6">
        <v>8.230717294151689E-2</v>
      </c>
      <c r="G28" s="6">
        <v>3.8902999710638847E-2</v>
      </c>
      <c r="H28" s="6">
        <v>0.28855737388676334</v>
      </c>
      <c r="I28" s="6">
        <v>7.5973378773751724E-2</v>
      </c>
      <c r="J28" s="6">
        <v>7.8449024209883284E-3</v>
      </c>
      <c r="K28" s="6">
        <v>9.516766871362891E-3</v>
      </c>
      <c r="L28" s="6">
        <v>3.7359740217985403E-2</v>
      </c>
      <c r="M28" s="6">
        <v>3.5527119570459439E-2</v>
      </c>
      <c r="N28" s="6">
        <v>8.0888076623684291E-3</v>
      </c>
      <c r="O28" s="6">
        <v>0.36640681701093925</v>
      </c>
      <c r="P28" s="6">
        <v>0.26515570296664825</v>
      </c>
      <c r="Q28" s="6">
        <v>2.4367956137678953E-3</v>
      </c>
      <c r="R28" s="6">
        <v>2.7609495981919578E-2</v>
      </c>
      <c r="S28" s="6">
        <v>5.7783644137588699E-2</v>
      </c>
      <c r="T28" s="6">
        <v>5.5313004140296253E-2</v>
      </c>
      <c r="U28" s="6">
        <v>2.0265264757091339E-2</v>
      </c>
      <c r="V28" s="6">
        <v>7.9989320216754478E-2</v>
      </c>
      <c r="W28" s="6">
        <v>0.99997872657263809</v>
      </c>
    </row>
    <row r="29" spans="1:23">
      <c r="A29" s="6" t="s">
        <v>187</v>
      </c>
      <c r="B29" s="6" t="s">
        <v>0</v>
      </c>
      <c r="C29" s="6">
        <v>0.14282108704274216</v>
      </c>
      <c r="D29" s="6">
        <v>5.3211781206171108E-2</v>
      </c>
      <c r="E29" s="6">
        <v>0.36852734922861152</v>
      </c>
      <c r="F29" s="6">
        <v>6.6984572230014028E-2</v>
      </c>
      <c r="G29" s="6">
        <v>3.9158485273492284E-2</v>
      </c>
      <c r="H29" s="6">
        <v>0.26196353436185132</v>
      </c>
      <c r="I29" s="6">
        <v>0.10922861150070126</v>
      </c>
      <c r="J29" s="6">
        <v>7.8821879382889194E-3</v>
      </c>
      <c r="K29" s="6">
        <v>9.2005610098176722E-3</v>
      </c>
      <c r="L29" s="6">
        <v>3.388499298737728E-2</v>
      </c>
      <c r="M29" s="6">
        <v>4.9901823281907433E-2</v>
      </c>
      <c r="N29" s="6">
        <v>1.010364043539399E-2</v>
      </c>
      <c r="O29" s="6">
        <v>0.32666167226867188</v>
      </c>
      <c r="P29" s="6">
        <v>0.24937803720158805</v>
      </c>
      <c r="Q29" s="6">
        <v>2.6240620480503822E-3</v>
      </c>
      <c r="R29" s="6">
        <v>2.9381482534964126E-2</v>
      </c>
      <c r="S29" s="6">
        <v>5.8947250343531786E-2</v>
      </c>
      <c r="T29" s="6">
        <v>6.4251461262033627E-2</v>
      </c>
      <c r="U29" s="6">
        <v>2.5247082483684746E-2</v>
      </c>
      <c r="V29" s="6">
        <v>9.0592236782539373E-2</v>
      </c>
      <c r="W29" s="6">
        <v>0.99997872657263809</v>
      </c>
    </row>
    <row r="30" spans="1:23">
      <c r="A30" s="6" t="s">
        <v>188</v>
      </c>
      <c r="B30" s="6" t="s">
        <v>0</v>
      </c>
      <c r="C30" s="6">
        <v>0.12620855886005672</v>
      </c>
      <c r="D30" s="6">
        <v>5.7447656417645078E-2</v>
      </c>
      <c r="E30" s="6">
        <v>0.33990374298764597</v>
      </c>
      <c r="F30" s="6">
        <v>6.7686459642561536E-2</v>
      </c>
      <c r="G30" s="6">
        <v>4.2273382177125167E-2</v>
      </c>
      <c r="H30" s="6">
        <v>0.23236565402654732</v>
      </c>
      <c r="I30" s="6">
        <v>0.12731062812298827</v>
      </c>
      <c r="J30" s="6">
        <v>9.7789767327794985E-3</v>
      </c>
      <c r="K30" s="6">
        <v>1.1127801109714602E-2</v>
      </c>
      <c r="L30" s="6">
        <v>3.5989086784586614E-2</v>
      </c>
      <c r="M30" s="6">
        <v>7.5963336501026948E-2</v>
      </c>
      <c r="N30" s="6">
        <v>1.036487934723313E-2</v>
      </c>
      <c r="O30" s="6">
        <v>0.32352429111421488</v>
      </c>
      <c r="P30" s="6">
        <v>0.26193470009943165</v>
      </c>
      <c r="Q30" s="6">
        <v>2.6115317504226813E-3</v>
      </c>
      <c r="R30" s="6">
        <v>3.2371386897461593E-2</v>
      </c>
      <c r="S30" s="6">
        <v>5.1866955031357728E-2</v>
      </c>
      <c r="T30" s="6">
        <v>5.9531317101857474E-2</v>
      </c>
      <c r="U30" s="6">
        <v>2.5372481806328805E-2</v>
      </c>
      <c r="V30" s="6">
        <v>0.10621002905570881</v>
      </c>
      <c r="W30" s="6">
        <v>0.99997872657263809</v>
      </c>
    </row>
    <row r="31" spans="1:23">
      <c r="A31" s="6" t="s">
        <v>189</v>
      </c>
      <c r="B31" s="6" t="s">
        <v>0</v>
      </c>
      <c r="C31" s="6">
        <v>0.12144663396762397</v>
      </c>
      <c r="D31" s="6">
        <v>4.4212482238496012E-2</v>
      </c>
      <c r="E31" s="6">
        <v>0.32336867417204068</v>
      </c>
      <c r="F31" s="6">
        <v>6.4078041315990819E-2</v>
      </c>
      <c r="G31" s="6">
        <v>3.891135643239698E-2</v>
      </c>
      <c r="H31" s="6">
        <v>0.25510984807082743</v>
      </c>
      <c r="I31" s="6">
        <v>0.13933216744999455</v>
      </c>
      <c r="J31" s="6">
        <v>9.0173789485189643E-3</v>
      </c>
      <c r="K31" s="6">
        <v>1.0083069187889386E-2</v>
      </c>
      <c r="L31" s="6">
        <v>3.3610230626297956E-2</v>
      </c>
      <c r="M31" s="6">
        <v>8.2276751557547267E-2</v>
      </c>
      <c r="N31" s="6">
        <v>1.0058606065030829E-2</v>
      </c>
      <c r="O31" s="6">
        <v>0.33010878294517049</v>
      </c>
      <c r="P31" s="6">
        <v>0.30248495025453481</v>
      </c>
      <c r="Q31" s="6">
        <v>2.256632175592532E-3</v>
      </c>
      <c r="R31" s="6">
        <v>2.8682458667126844E-2</v>
      </c>
      <c r="S31" s="6">
        <v>4.8945688173256251E-2</v>
      </c>
      <c r="T31" s="6">
        <v>4.8577326156358062E-2</v>
      </c>
      <c r="U31" s="6">
        <v>2.2755480629467632E-2</v>
      </c>
      <c r="V31" s="6">
        <v>8.4700033849482631E-2</v>
      </c>
      <c r="W31" s="6">
        <v>0.99997872657263809</v>
      </c>
    </row>
    <row r="32" spans="1:23">
      <c r="A32" s="6" t="s">
        <v>190</v>
      </c>
      <c r="B32" s="6" t="s">
        <v>0</v>
      </c>
      <c r="C32" s="6">
        <v>0.10234899815736402</v>
      </c>
      <c r="D32" s="6">
        <v>5.1742224490374529E-2</v>
      </c>
      <c r="E32" s="6">
        <v>0.38572765161180572</v>
      </c>
      <c r="F32" s="6">
        <v>7.0341073403079019E-2</v>
      </c>
      <c r="G32" s="6">
        <v>4.1648946726772704E-2</v>
      </c>
      <c r="H32" s="6">
        <v>0.20770604746108701</v>
      </c>
      <c r="I32" s="6">
        <v>0.10113124096283066</v>
      </c>
      <c r="J32" s="6">
        <v>8.5055711491026625E-3</v>
      </c>
      <c r="K32" s="6">
        <v>1.1142298205324487E-2</v>
      </c>
      <c r="L32" s="6">
        <v>3.8530237305435061E-2</v>
      </c>
      <c r="M32" s="6">
        <v>8.352470868418814E-2</v>
      </c>
      <c r="N32" s="6">
        <v>9.7993412939076947E-3</v>
      </c>
      <c r="O32" s="6">
        <v>0.31014030149587218</v>
      </c>
      <c r="P32" s="6">
        <v>0.35479883348084096</v>
      </c>
      <c r="Q32" s="6">
        <v>1.9238860757657095E-3</v>
      </c>
      <c r="R32" s="6">
        <v>3.0497801894868188E-2</v>
      </c>
      <c r="S32" s="6">
        <v>4.942036765666033E-2</v>
      </c>
      <c r="T32" s="6">
        <v>4.4548264004758933E-2</v>
      </c>
      <c r="U32" s="6">
        <v>2.1148237888658359E-2</v>
      </c>
      <c r="V32" s="6">
        <v>7.5373968051303628E-2</v>
      </c>
      <c r="W32" s="6">
        <v>0.99997872657263809</v>
      </c>
    </row>
    <row r="33" spans="1:23">
      <c r="A33" s="6" t="s">
        <v>191</v>
      </c>
      <c r="B33" s="6" t="s">
        <v>0</v>
      </c>
      <c r="C33" s="6">
        <v>9.6540600695931345E-2</v>
      </c>
      <c r="D33" s="6">
        <v>5.6468963319078858E-2</v>
      </c>
      <c r="E33" s="6">
        <v>0.43724932933145633</v>
      </c>
      <c r="F33" s="6">
        <v>6.6084092538978456E-2</v>
      </c>
      <c r="G33" s="6">
        <v>4.0611968445377032E-2</v>
      </c>
      <c r="H33" s="6">
        <v>0.15647161943212304</v>
      </c>
      <c r="I33" s="6">
        <v>0.1092193683763181</v>
      </c>
      <c r="J33" s="6">
        <v>7.1183829583787083E-3</v>
      </c>
      <c r="K33" s="6">
        <v>1.1288480437727429E-2</v>
      </c>
      <c r="L33" s="6">
        <v>3.6494993226911736E-2</v>
      </c>
      <c r="M33" s="6">
        <v>7.9072485324975433E-2</v>
      </c>
      <c r="N33" s="6">
        <v>9.185062862036868E-3</v>
      </c>
      <c r="O33" s="6">
        <v>0.34979909277631477</v>
      </c>
      <c r="P33" s="6">
        <v>0.32383116100527976</v>
      </c>
      <c r="Q33" s="6">
        <v>1.6590551847397695E-3</v>
      </c>
      <c r="R33" s="6">
        <v>3.0696367258917744E-2</v>
      </c>
      <c r="S33" s="6">
        <v>4.5045784281798347E-2</v>
      </c>
      <c r="T33" s="6">
        <v>4.3571353476194993E-2</v>
      </c>
      <c r="U33" s="6">
        <v>2.1047179221551818E-2</v>
      </c>
      <c r="V33" s="6">
        <v>7.8621779009746623E-2</v>
      </c>
      <c r="W33" s="6">
        <v>0.99997872657263809</v>
      </c>
    </row>
    <row r="34" spans="1:23">
      <c r="A34" s="6" t="s">
        <v>192</v>
      </c>
      <c r="B34" s="6" t="s">
        <v>0</v>
      </c>
      <c r="C34" s="6">
        <v>9.8222359453915886E-2</v>
      </c>
      <c r="D34" s="6">
        <v>5.4704165263276074E-2</v>
      </c>
      <c r="E34" s="6">
        <v>0.41273717300999213</v>
      </c>
      <c r="F34" s="6">
        <v>7.1404513304142811E-2</v>
      </c>
      <c r="G34" s="6">
        <v>3.449534074323566E-2</v>
      </c>
      <c r="H34" s="6">
        <v>0.18075670820702819</v>
      </c>
      <c r="I34" s="6">
        <v>0.11583585943639833</v>
      </c>
      <c r="J34" s="6">
        <v>7.9431907488492198E-3</v>
      </c>
      <c r="K34" s="6">
        <v>1.2546311889525093E-2</v>
      </c>
      <c r="L34" s="6">
        <v>3.6768833501740206E-2</v>
      </c>
      <c r="M34" s="6">
        <v>7.272370046031211E-2</v>
      </c>
      <c r="N34" s="6">
        <v>9.050859045896649E-3</v>
      </c>
      <c r="O34" s="6">
        <v>0.41895855847908076</v>
      </c>
      <c r="P34" s="6">
        <v>0.24486943384574666</v>
      </c>
      <c r="Q34" s="6">
        <v>2.0979907809708653E-3</v>
      </c>
      <c r="R34" s="6">
        <v>3.0579387309499127E-2</v>
      </c>
      <c r="S34" s="6">
        <v>4.0548289627489471E-2</v>
      </c>
      <c r="T34" s="6">
        <v>4.0465583026399944E-2</v>
      </c>
      <c r="U34" s="6">
        <v>2.0334796321210383E-2</v>
      </c>
      <c r="V34" s="6">
        <v>9.4858957676275335E-2</v>
      </c>
      <c r="W34" s="6">
        <v>0.99997872657263809</v>
      </c>
    </row>
    <row r="35" spans="1:23">
      <c r="A35" s="6" t="s">
        <v>193</v>
      </c>
      <c r="B35" s="6" t="s">
        <v>0</v>
      </c>
      <c r="C35" s="6">
        <v>9.5030643781320395E-2</v>
      </c>
      <c r="D35" s="6">
        <v>3.780431786862655E-2</v>
      </c>
      <c r="E35" s="6">
        <v>0.33994028479559024</v>
      </c>
      <c r="F35" s="6">
        <v>6.768488745980708E-2</v>
      </c>
      <c r="G35" s="6">
        <v>2.7721635277905374E-2</v>
      </c>
      <c r="H35" s="6">
        <v>0.32395498392282956</v>
      </c>
      <c r="I35" s="6">
        <v>0.10362884703720716</v>
      </c>
      <c r="J35" s="6">
        <v>7.3036288470372072E-3</v>
      </c>
      <c r="K35" s="6">
        <v>1.0932475884244373E-2</v>
      </c>
      <c r="L35" s="6">
        <v>3.2705558107487369E-2</v>
      </c>
      <c r="M35" s="6">
        <v>4.8346348185576482E-2</v>
      </c>
      <c r="N35" s="6">
        <v>5.506713694539994E-3</v>
      </c>
      <c r="O35" s="6">
        <v>0.43254657680152259</v>
      </c>
      <c r="P35" s="6">
        <v>0.27587042307625148</v>
      </c>
      <c r="Q35" s="6">
        <v>2.3681269752579841E-3</v>
      </c>
      <c r="R35" s="6">
        <v>2.1939550557873968E-2</v>
      </c>
      <c r="S35" s="6">
        <v>3.6456059785930049E-2</v>
      </c>
      <c r="T35" s="6">
        <v>3.2145413909308376E-2</v>
      </c>
      <c r="U35" s="6">
        <v>1.7539417855459132E-2</v>
      </c>
      <c r="V35" s="6">
        <v>8.061016919557891E-2</v>
      </c>
      <c r="W35" s="6">
        <v>0.99997872657263809</v>
      </c>
    </row>
    <row r="36" spans="1:23">
      <c r="A36" s="6" t="s">
        <v>194</v>
      </c>
      <c r="B36" s="6" t="s">
        <v>0</v>
      </c>
      <c r="C36" s="6">
        <v>8.9451306273311271E-2</v>
      </c>
      <c r="D36" s="6">
        <v>2.8575731335416587E-2</v>
      </c>
      <c r="E36" s="6">
        <v>0.31248823462972025</v>
      </c>
      <c r="F36" s="6">
        <v>6.3721245435036336E-2</v>
      </c>
      <c r="G36" s="6">
        <v>2.2683633899326081E-2</v>
      </c>
      <c r="H36" s="6">
        <v>0.3891419750762396</v>
      </c>
      <c r="I36" s="6">
        <v>9.4631226233952037E-2</v>
      </c>
      <c r="J36" s="6">
        <v>6.042694175671097E-3</v>
      </c>
      <c r="K36" s="6">
        <v>9.7323142953955055E-3</v>
      </c>
      <c r="L36" s="6">
        <v>3.2359474417378867E-2</v>
      </c>
      <c r="M36" s="6">
        <v>4.0661119686758784E-2</v>
      </c>
      <c r="N36" s="6">
        <v>4.3309506369292681E-3</v>
      </c>
      <c r="O36" s="6">
        <v>0.31706869406346561</v>
      </c>
      <c r="P36" s="6">
        <v>0.42321739789346063</v>
      </c>
      <c r="Q36" s="6">
        <v>2.8322935347259055E-3</v>
      </c>
      <c r="R36" s="6">
        <v>2.1174846135064367E-2</v>
      </c>
      <c r="S36" s="6">
        <v>3.2719557475183757E-2</v>
      </c>
      <c r="T36" s="6">
        <v>2.7811034494371615E-2</v>
      </c>
      <c r="U36" s="6">
        <v>1.5284618558089802E-2</v>
      </c>
      <c r="V36" s="6">
        <v>6.610088151347529E-2</v>
      </c>
      <c r="W36" s="6">
        <v>0.99997872657263809</v>
      </c>
    </row>
    <row r="37" spans="1:23">
      <c r="A37" s="6" t="s">
        <v>195</v>
      </c>
      <c r="B37" s="6" t="s">
        <v>0</v>
      </c>
      <c r="C37" s="6">
        <v>9.800706379794602E-2</v>
      </c>
      <c r="D37" s="6">
        <v>2.2575754808307001E-2</v>
      </c>
      <c r="E37" s="6">
        <v>0.32508356317010356</v>
      </c>
      <c r="F37" s="6">
        <v>5.4795521379385925E-2</v>
      </c>
      <c r="G37" s="6">
        <v>2.4584923925551151E-2</v>
      </c>
      <c r="H37" s="6">
        <v>0.37677400500465763</v>
      </c>
      <c r="I37" s="6">
        <v>0.10760013881532082</v>
      </c>
      <c r="J37" s="6">
        <v>5.4247566165592067E-3</v>
      </c>
      <c r="K37" s="6">
        <v>9.2969734607024779E-3</v>
      </c>
      <c r="L37" s="6">
        <v>3.1726606878664451E-2</v>
      </c>
      <c r="M37" s="6">
        <v>4.2265612157299674E-2</v>
      </c>
      <c r="N37" s="6">
        <v>4.561215703614065E-3</v>
      </c>
      <c r="O37" s="6">
        <v>0.36332374427834158</v>
      </c>
      <c r="P37" s="6">
        <v>0.35005540409184727</v>
      </c>
      <c r="Q37" s="6">
        <v>2.8802967296369824E-3</v>
      </c>
      <c r="R37" s="6">
        <v>2.0557692755221322E-2</v>
      </c>
      <c r="S37" s="6">
        <v>3.4651276442251751E-2</v>
      </c>
      <c r="T37" s="6">
        <v>3.3303319054174281E-2</v>
      </c>
      <c r="U37" s="6">
        <v>1.8826650531753975E-2</v>
      </c>
      <c r="V37" s="6">
        <v>7.3836916847319217E-2</v>
      </c>
      <c r="W37" s="6">
        <v>0.99997872657263809</v>
      </c>
    </row>
    <row r="38" spans="1:23">
      <c r="A38" s="6" t="s">
        <v>275</v>
      </c>
      <c r="B38" s="6" t="s">
        <v>0</v>
      </c>
      <c r="C38" s="6">
        <v>0.10180030394491144</v>
      </c>
      <c r="D38" s="6">
        <v>2.1131302401456806E-2</v>
      </c>
      <c r="E38" s="6">
        <v>0.40553511134716796</v>
      </c>
      <c r="F38" s="6">
        <v>6.5195948252968622E-2</v>
      </c>
      <c r="G38" s="6">
        <v>2.3274782806631512E-2</v>
      </c>
      <c r="H38" s="6">
        <v>0.26089760613073332</v>
      </c>
      <c r="I38" s="6">
        <v>0.13519101635115141</v>
      </c>
      <c r="J38" s="6">
        <v>5.6716870897985504E-3</v>
      </c>
      <c r="K38" s="6">
        <v>1.0413900375583292E-2</v>
      </c>
      <c r="L38" s="6">
        <v>2.9932850259873287E-2</v>
      </c>
      <c r="M38" s="6">
        <v>4.2812701544064649E-2</v>
      </c>
      <c r="N38" s="6">
        <v>6.1542085942644402E-3</v>
      </c>
      <c r="O38" s="6">
        <v>0.34673085427058048</v>
      </c>
      <c r="P38" s="6">
        <v>0.33103926373496928</v>
      </c>
      <c r="Q38" s="6">
        <v>2.7034490216411096E-3</v>
      </c>
      <c r="R38" s="6">
        <v>2.3730489304962566E-2</v>
      </c>
      <c r="S38" s="6">
        <v>3.9700148882799692E-2</v>
      </c>
      <c r="T38" s="6">
        <v>3.9680838532645112E-2</v>
      </c>
      <c r="U38" s="6">
        <v>2.1241385170037288E-2</v>
      </c>
      <c r="V38" s="6">
        <v>8.7215196473157647E-2</v>
      </c>
      <c r="W38" s="6">
        <v>0.99997872657263809</v>
      </c>
    </row>
    <row r="39" spans="1:23">
      <c r="A39" s="6" t="s">
        <v>160</v>
      </c>
      <c r="B39" s="6" t="s">
        <v>196</v>
      </c>
      <c r="C39" s="6">
        <v>3.9795365065893394E-2</v>
      </c>
      <c r="D39" s="6">
        <v>9.1232227488151657E-2</v>
      </c>
      <c r="E39" s="6">
        <v>1.481042654028436E-2</v>
      </c>
      <c r="F39" s="6">
        <v>5.3317535545023699E-2</v>
      </c>
      <c r="G39" s="6">
        <v>0.24052132701421802</v>
      </c>
      <c r="H39" s="6">
        <v>4.0876777251184833E-2</v>
      </c>
      <c r="I39" s="6">
        <v>0.18483412322274881</v>
      </c>
      <c r="J39" s="6">
        <v>2.1919431279620854E-2</v>
      </c>
      <c r="K39" s="6">
        <v>0.2126777251184834</v>
      </c>
      <c r="L39" s="6">
        <v>3.5545023696682464E-2</v>
      </c>
      <c r="M39" s="6">
        <v>0.10485781990521327</v>
      </c>
      <c r="N39" s="6">
        <v>8.6521913383784798E-3</v>
      </c>
      <c r="O39" s="6">
        <v>3.5716811655704082E-2</v>
      </c>
      <c r="P39" s="6">
        <v>4.0148996864464721E-2</v>
      </c>
      <c r="Q39" s="6">
        <v>2.6168753094278239E-3</v>
      </c>
      <c r="R39" s="6">
        <v>0.10934295211825447</v>
      </c>
      <c r="S39" s="6">
        <v>0.17136996958766532</v>
      </c>
      <c r="T39" s="6">
        <v>0.42164698116321286</v>
      </c>
      <c r="U39" s="6">
        <v>0.14043897493929322</v>
      </c>
      <c r="V39" s="6">
        <v>3.0365183770657989E-2</v>
      </c>
      <c r="W39" s="6">
        <v>0.99997872657263809</v>
      </c>
    </row>
    <row r="40" spans="1:23">
      <c r="A40" s="6" t="s">
        <v>161</v>
      </c>
      <c r="B40" s="6" t="s">
        <v>196</v>
      </c>
      <c r="C40" s="6">
        <v>3.7291936512846291E-2</v>
      </c>
      <c r="D40" s="6">
        <v>7.8278900984966301E-2</v>
      </c>
      <c r="E40" s="6">
        <v>1.5552099533437015E-2</v>
      </c>
      <c r="F40" s="6">
        <v>4.9766718506998445E-2</v>
      </c>
      <c r="G40" s="6">
        <v>0.2286158631415241</v>
      </c>
      <c r="H40" s="6">
        <v>4.4582685329186106E-2</v>
      </c>
      <c r="I40" s="6">
        <v>0.21669258683255574</v>
      </c>
      <c r="J40" s="6">
        <v>2.5401762571280455E-2</v>
      </c>
      <c r="K40" s="6">
        <v>0.18506998444790046</v>
      </c>
      <c r="L40" s="6">
        <v>3.4733022291342668E-2</v>
      </c>
      <c r="M40" s="6">
        <v>0.12078797304302748</v>
      </c>
      <c r="N40" s="6">
        <v>7.5589150733659403E-3</v>
      </c>
      <c r="O40" s="6">
        <v>3.1008950838053627E-2</v>
      </c>
      <c r="P40" s="6">
        <v>5.1114504997390148E-2</v>
      </c>
      <c r="Q40" s="6">
        <v>2.3392038973843446E-3</v>
      </c>
      <c r="R40" s="6">
        <v>0.10031511589692037</v>
      </c>
      <c r="S40" s="6">
        <v>0.16587082181452625</v>
      </c>
      <c r="T40" s="6">
        <v>0.45339957855665319</v>
      </c>
      <c r="U40" s="6">
        <v>0.13173004427088367</v>
      </c>
      <c r="V40" s="6">
        <v>1.9293599087517158E-2</v>
      </c>
      <c r="W40" s="6">
        <v>0.99997872657263809</v>
      </c>
    </row>
    <row r="41" spans="1:23">
      <c r="A41" s="6" t="s">
        <v>162</v>
      </c>
      <c r="B41" s="6" t="s">
        <v>196</v>
      </c>
      <c r="C41" s="6">
        <v>3.8427561837455833E-2</v>
      </c>
      <c r="D41" s="6">
        <v>6.3218390804597707E-2</v>
      </c>
      <c r="E41" s="6">
        <v>1.4629049111807733E-2</v>
      </c>
      <c r="F41" s="6">
        <v>6.0083594566353184E-2</v>
      </c>
      <c r="G41" s="6">
        <v>0.22884012539184953</v>
      </c>
      <c r="H41" s="6">
        <v>5.2769070010449323E-2</v>
      </c>
      <c r="I41" s="6">
        <v>0.20271682340647859</v>
      </c>
      <c r="J41" s="6">
        <v>3.1870428422152562E-2</v>
      </c>
      <c r="K41" s="6">
        <v>0.16509926854754442</v>
      </c>
      <c r="L41" s="6">
        <v>3.6050156739811913E-2</v>
      </c>
      <c r="M41" s="6">
        <v>0.14524555903866249</v>
      </c>
      <c r="N41" s="6">
        <v>8.0910697076774819E-3</v>
      </c>
      <c r="O41" s="6">
        <v>2.8168165756504979E-2</v>
      </c>
      <c r="P41" s="6">
        <v>5.6436716993254095E-2</v>
      </c>
      <c r="Q41" s="6">
        <v>2.5096370061034371E-3</v>
      </c>
      <c r="R41" s="6">
        <v>0.10299550273048506</v>
      </c>
      <c r="S41" s="6">
        <v>0.15322839704465147</v>
      </c>
      <c r="T41" s="6">
        <v>0.44934548666880825</v>
      </c>
      <c r="U41" s="6">
        <v>0.13891342756183744</v>
      </c>
      <c r="V41" s="6">
        <v>2.1884034693221973E-2</v>
      </c>
      <c r="W41" s="6">
        <v>0.99997872657263809</v>
      </c>
    </row>
    <row r="42" spans="1:23">
      <c r="A42" s="6" t="s">
        <v>163</v>
      </c>
      <c r="B42" s="6" t="s">
        <v>196</v>
      </c>
      <c r="C42" s="6">
        <v>4.0285075798755815E-2</v>
      </c>
      <c r="D42" s="6">
        <v>3.0984507746126936E-2</v>
      </c>
      <c r="E42" s="6">
        <v>1.999000499750125E-2</v>
      </c>
      <c r="F42" s="6">
        <v>6.6466766616691653E-2</v>
      </c>
      <c r="G42" s="6">
        <v>0.22638680659670166</v>
      </c>
      <c r="H42" s="6">
        <v>5.3973013493253376E-2</v>
      </c>
      <c r="I42" s="6">
        <v>0.21639180409795103</v>
      </c>
      <c r="J42" s="6">
        <v>2.8485757121439279E-2</v>
      </c>
      <c r="K42" s="6">
        <v>0.15492253873063469</v>
      </c>
      <c r="L42" s="6">
        <v>4.2478760619690158E-2</v>
      </c>
      <c r="M42" s="6">
        <v>0.16391804097951024</v>
      </c>
      <c r="N42" s="6">
        <v>7.7912665337923539E-3</v>
      </c>
      <c r="O42" s="6">
        <v>2.4118701052928269E-2</v>
      </c>
      <c r="P42" s="6">
        <v>5.9451188822451734E-2</v>
      </c>
      <c r="Q42" s="6">
        <v>2.7984135612329126E-3</v>
      </c>
      <c r="R42" s="6">
        <v>0.10575587364860783</v>
      </c>
      <c r="S42" s="6">
        <v>0.15260413520967969</v>
      </c>
      <c r="T42" s="6">
        <v>0.44059914235670711</v>
      </c>
      <c r="U42" s="6">
        <v>0.14664492359727005</v>
      </c>
      <c r="V42" s="6">
        <v>2.0072074248555494E-2</v>
      </c>
      <c r="W42" s="6">
        <v>0.99997872657263809</v>
      </c>
    </row>
    <row r="43" spans="1:23">
      <c r="A43" s="6" t="s">
        <v>164</v>
      </c>
      <c r="B43" s="6" t="s">
        <v>196</v>
      </c>
      <c r="C43" s="6">
        <v>3.8625063053974201E-2</v>
      </c>
      <c r="D43" s="6">
        <v>2.751865671641791E-2</v>
      </c>
      <c r="E43" s="6">
        <v>1.8190298507462687E-2</v>
      </c>
      <c r="F43" s="6">
        <v>7.0895522388059698E-2</v>
      </c>
      <c r="G43" s="6">
        <v>0.22527985074626866</v>
      </c>
      <c r="H43" s="6">
        <v>6.1100746268656719E-2</v>
      </c>
      <c r="I43" s="6">
        <v>0.22154850746268656</v>
      </c>
      <c r="J43" s="6">
        <v>3.4048507462686568E-2</v>
      </c>
      <c r="K43" s="6">
        <v>0.15298507462686567</v>
      </c>
      <c r="L43" s="6">
        <v>3.2649253731343281E-2</v>
      </c>
      <c r="M43" s="6">
        <v>0.15764925373134328</v>
      </c>
      <c r="N43" s="6">
        <v>7.4583843770267347E-3</v>
      </c>
      <c r="O43" s="6">
        <v>2.5653959789579881E-2</v>
      </c>
      <c r="P43" s="6">
        <v>5.8442026374576635E-2</v>
      </c>
      <c r="Q43" s="6">
        <v>3.1707141312963898E-3</v>
      </c>
      <c r="R43" s="6">
        <v>0.11210996613100814</v>
      </c>
      <c r="S43" s="6">
        <v>0.15201412409022122</v>
      </c>
      <c r="T43" s="6">
        <v>0.42761403761619948</v>
      </c>
      <c r="U43" s="6">
        <v>0.15334726525906175</v>
      </c>
      <c r="V43" s="6">
        <v>2.1600490019456655E-2</v>
      </c>
      <c r="W43" s="6">
        <v>0.99997872657263809</v>
      </c>
    </row>
    <row r="44" spans="1:23">
      <c r="A44" s="6" t="s">
        <v>165</v>
      </c>
      <c r="B44" s="6" t="s">
        <v>196</v>
      </c>
      <c r="C44" s="6">
        <v>3.8235341249619408E-2</v>
      </c>
      <c r="D44" s="6">
        <v>2.7242246437552388E-2</v>
      </c>
      <c r="E44" s="6">
        <v>1.6345347862531435E-2</v>
      </c>
      <c r="F44" s="6">
        <v>6.6638725901089685E-2</v>
      </c>
      <c r="G44" s="6">
        <v>0.22548197820620286</v>
      </c>
      <c r="H44" s="6">
        <v>5.8256496227996647E-2</v>
      </c>
      <c r="I44" s="6">
        <v>0.20997485331098073</v>
      </c>
      <c r="J44" s="6">
        <v>3.0595138306789605E-2</v>
      </c>
      <c r="K44" s="6">
        <v>0.15004191114836546</v>
      </c>
      <c r="L44" s="6">
        <v>3.6462699077954734E-2</v>
      </c>
      <c r="M44" s="6">
        <v>0.1768650461022632</v>
      </c>
      <c r="N44" s="6">
        <v>7.2752912520231399E-3</v>
      </c>
      <c r="O44" s="6">
        <v>2.4790474816915854E-2</v>
      </c>
      <c r="P44" s="6">
        <v>6.1247055430027404E-2</v>
      </c>
      <c r="Q44" s="6">
        <v>3.1729243786356425E-3</v>
      </c>
      <c r="R44" s="6">
        <v>0.1096101148983222</v>
      </c>
      <c r="S44" s="6">
        <v>0.14643526753521466</v>
      </c>
      <c r="T44" s="6">
        <v>0.44050766790058171</v>
      </c>
      <c r="U44" s="6">
        <v>0.15090620643238306</v>
      </c>
      <c r="V44" s="6">
        <v>1.7755556623880262E-2</v>
      </c>
      <c r="W44" s="6">
        <v>0.99997872657263809</v>
      </c>
    </row>
    <row r="45" spans="1:23">
      <c r="A45" s="6" t="s">
        <v>166</v>
      </c>
      <c r="B45" s="6" t="s">
        <v>196</v>
      </c>
      <c r="C45" s="6">
        <v>3.7886018884271427E-2</v>
      </c>
      <c r="D45" s="6">
        <v>3.1395348837209305E-2</v>
      </c>
      <c r="E45" s="6">
        <v>1.627906976744186E-2</v>
      </c>
      <c r="F45" s="6">
        <v>6.2403100775193801E-2</v>
      </c>
      <c r="G45" s="6">
        <v>0.2255813953488372</v>
      </c>
      <c r="H45" s="6">
        <v>5.7364341085271317E-2</v>
      </c>
      <c r="I45" s="6">
        <v>0.19534883720930232</v>
      </c>
      <c r="J45" s="6">
        <v>2.9069767441860465E-2</v>
      </c>
      <c r="K45" s="6">
        <v>0.16937984496124031</v>
      </c>
      <c r="L45" s="6">
        <v>4.1472868217054266E-2</v>
      </c>
      <c r="M45" s="6">
        <v>0.17286821705426356</v>
      </c>
      <c r="N45" s="6">
        <v>7.3422517217580285E-3</v>
      </c>
      <c r="O45" s="6">
        <v>2.4229430681801493E-2</v>
      </c>
      <c r="P45" s="6">
        <v>4.7930219239636411E-2</v>
      </c>
      <c r="Q45" s="6">
        <v>3.0984302265818883E-3</v>
      </c>
      <c r="R45" s="6">
        <v>0.10800452282706061</v>
      </c>
      <c r="S45" s="6">
        <v>0.14709467099370035</v>
      </c>
      <c r="T45" s="6">
        <v>0.46151925872626615</v>
      </c>
      <c r="U45" s="6">
        <v>0.15022247022716928</v>
      </c>
      <c r="V45" s="6">
        <v>1.2687410975197874E-2</v>
      </c>
      <c r="W45" s="6">
        <v>0.99997872657263809</v>
      </c>
    </row>
    <row r="46" spans="1:23">
      <c r="A46" s="6" t="s">
        <v>167</v>
      </c>
      <c r="B46" s="6" t="s">
        <v>196</v>
      </c>
      <c r="C46" s="6">
        <v>3.8002297693270855E-2</v>
      </c>
      <c r="D46" s="6">
        <v>3.6005434782608696E-2</v>
      </c>
      <c r="E46" s="6">
        <v>1.7323369565217392E-2</v>
      </c>
      <c r="F46" s="6">
        <v>6.2839673913043473E-2</v>
      </c>
      <c r="G46" s="6">
        <v>0.203125</v>
      </c>
      <c r="H46" s="6">
        <v>7.4048913043478257E-2</v>
      </c>
      <c r="I46" s="6">
        <v>0.1953125</v>
      </c>
      <c r="J46" s="6">
        <v>2.9891304347826088E-2</v>
      </c>
      <c r="K46" s="6">
        <v>0.17832880434782608</v>
      </c>
      <c r="L46" s="6">
        <v>3.5326086956521736E-2</v>
      </c>
      <c r="M46" s="6">
        <v>0.1688179347826087</v>
      </c>
      <c r="N46" s="6">
        <v>6.4929197485445794E-3</v>
      </c>
      <c r="O46" s="6">
        <v>2.2602589422865922E-2</v>
      </c>
      <c r="P46" s="6">
        <v>5.0174908673146681E-2</v>
      </c>
      <c r="Q46" s="6">
        <v>3.2400056796912315E-3</v>
      </c>
      <c r="R46" s="6">
        <v>0.11098633001587732</v>
      </c>
      <c r="S46" s="6">
        <v>0.14649730860085969</v>
      </c>
      <c r="T46" s="6">
        <v>0.46978791516606644</v>
      </c>
      <c r="U46" s="6">
        <v>0.14151467038428275</v>
      </c>
      <c r="V46" s="6">
        <v>1.0688146226232428E-2</v>
      </c>
      <c r="W46" s="6">
        <v>0.99997872657263809</v>
      </c>
    </row>
    <row r="47" spans="1:23">
      <c r="A47" s="6" t="s">
        <v>168</v>
      </c>
      <c r="B47" s="6" t="s">
        <v>196</v>
      </c>
      <c r="C47" s="6">
        <v>3.7214640989669687E-2</v>
      </c>
      <c r="D47" s="6">
        <v>3.1528444139821796E-2</v>
      </c>
      <c r="E47" s="6">
        <v>1.9191226867717615E-2</v>
      </c>
      <c r="F47" s="6">
        <v>6.8882796435915009E-2</v>
      </c>
      <c r="G47" s="6">
        <v>0.20733379026730636</v>
      </c>
      <c r="H47" s="6">
        <v>5.6545579163810832E-2</v>
      </c>
      <c r="I47" s="6">
        <v>0.20459218642906099</v>
      </c>
      <c r="J47" s="6">
        <v>2.9814941740918439E-2</v>
      </c>
      <c r="K47" s="6">
        <v>0.16586703221384511</v>
      </c>
      <c r="L47" s="6">
        <v>3.5983550376970527E-2</v>
      </c>
      <c r="M47" s="6">
        <v>0.18060315284441397</v>
      </c>
      <c r="N47" s="6">
        <v>6.5170258895549038E-3</v>
      </c>
      <c r="O47" s="6">
        <v>1.9283254686902181E-2</v>
      </c>
      <c r="P47" s="6">
        <v>6.2492029077923734E-2</v>
      </c>
      <c r="Q47" s="6">
        <v>3.4051779109807423E-3</v>
      </c>
      <c r="R47" s="6">
        <v>0.11575054202270119</v>
      </c>
      <c r="S47" s="6">
        <v>0.13532712664200994</v>
      </c>
      <c r="T47" s="6">
        <v>0.46944267312842752</v>
      </c>
      <c r="U47" s="6">
        <v>0.14097691620966712</v>
      </c>
      <c r="V47" s="6">
        <v>9.5906134421629898E-3</v>
      </c>
      <c r="W47" s="6">
        <v>0.99997872657263809</v>
      </c>
    </row>
    <row r="48" spans="1:23">
      <c r="A48" s="6" t="s">
        <v>169</v>
      </c>
      <c r="B48" s="6" t="s">
        <v>196</v>
      </c>
      <c r="C48" s="6">
        <v>3.8228242627667226E-2</v>
      </c>
      <c r="D48" s="6">
        <v>3.7629350893697081E-2</v>
      </c>
      <c r="E48" s="6">
        <v>2.1636876763875823E-2</v>
      </c>
      <c r="F48" s="6">
        <v>6.0520539354029478E-2</v>
      </c>
      <c r="G48" s="6">
        <v>0.19786767011602382</v>
      </c>
      <c r="H48" s="6">
        <v>6.3969896519285044E-2</v>
      </c>
      <c r="I48" s="6">
        <v>0.185010975227344</v>
      </c>
      <c r="J48" s="6">
        <v>2.8222013170272814E-2</v>
      </c>
      <c r="K48" s="6">
        <v>0.18250235183443086</v>
      </c>
      <c r="L48" s="6">
        <v>4.2019441831295079E-2</v>
      </c>
      <c r="M48" s="6">
        <v>0.18156161806208843</v>
      </c>
      <c r="N48" s="6">
        <v>6.5092304003836008E-3</v>
      </c>
      <c r="O48" s="6">
        <v>1.8676576360584993E-2</v>
      </c>
      <c r="P48" s="6">
        <v>6.0249340685686888E-2</v>
      </c>
      <c r="Q48" s="6">
        <v>3.236633900743227E-3</v>
      </c>
      <c r="R48" s="6">
        <v>0.11264684727883002</v>
      </c>
      <c r="S48" s="6">
        <v>0.13820426756173579</v>
      </c>
      <c r="T48" s="6">
        <v>0.46389355070726446</v>
      </c>
      <c r="U48" s="6">
        <v>0.14729081754974827</v>
      </c>
      <c r="V48" s="6">
        <v>1.1004555262526972E-2</v>
      </c>
      <c r="W48" s="6">
        <v>0.99997872657263809</v>
      </c>
    </row>
    <row r="49" spans="1:23">
      <c r="A49" s="6" t="s">
        <v>170</v>
      </c>
      <c r="B49" s="6" t="s">
        <v>196</v>
      </c>
      <c r="C49" s="6">
        <v>3.7851466834757631E-2</v>
      </c>
      <c r="D49" s="6">
        <v>3.276003276003276E-2</v>
      </c>
      <c r="E49" s="6">
        <v>1.6107016107016106E-2</v>
      </c>
      <c r="F49" s="6">
        <v>6.524706524706525E-2</v>
      </c>
      <c r="G49" s="6">
        <v>0.19901719901719903</v>
      </c>
      <c r="H49" s="6">
        <v>6.2790062790062787E-2</v>
      </c>
      <c r="I49" s="6">
        <v>0.18181818181818182</v>
      </c>
      <c r="J49" s="6">
        <v>2.8392028392028392E-2</v>
      </c>
      <c r="K49" s="6">
        <v>0.1850941850941851</v>
      </c>
      <c r="L49" s="6">
        <v>4.2315042315042316E-2</v>
      </c>
      <c r="M49" s="6">
        <v>0.18645918645918647</v>
      </c>
      <c r="N49" s="6">
        <v>6.0864083990369213E-3</v>
      </c>
      <c r="O49" s="6">
        <v>1.678154030566377E-2</v>
      </c>
      <c r="P49" s="6">
        <v>4.4681884409907724E-2</v>
      </c>
      <c r="Q49" s="6">
        <v>2.7900344104243953E-3</v>
      </c>
      <c r="R49" s="6">
        <v>0.11401940623934362</v>
      </c>
      <c r="S49" s="6">
        <v>0.13454165934713194</v>
      </c>
      <c r="T49" s="6">
        <v>0.45809264980934766</v>
      </c>
      <c r="U49" s="6">
        <v>0.1504035216434336</v>
      </c>
      <c r="V49" s="6">
        <v>3.481342936562884E-2</v>
      </c>
      <c r="W49" s="6">
        <v>0.99997872657263809</v>
      </c>
    </row>
    <row r="50" spans="1:23">
      <c r="A50" s="6" t="s">
        <v>171</v>
      </c>
      <c r="B50" s="6" t="s">
        <v>196</v>
      </c>
      <c r="C50" s="6">
        <v>3.7836027463380516E-2</v>
      </c>
      <c r="D50" s="6">
        <v>3.2543608435303309E-2</v>
      </c>
      <c r="E50" s="6">
        <v>2.5514189013277792E-2</v>
      </c>
      <c r="F50" s="6">
        <v>7.1335589690184845E-2</v>
      </c>
      <c r="G50" s="6">
        <v>0.20281176776881021</v>
      </c>
      <c r="H50" s="6">
        <v>6.5868263473053898E-2</v>
      </c>
      <c r="I50" s="6">
        <v>0.19317885967196044</v>
      </c>
      <c r="J50" s="6">
        <v>2.7596979953137205E-2</v>
      </c>
      <c r="K50" s="6">
        <v>0.16401978651392868</v>
      </c>
      <c r="L50" s="6">
        <v>3.7490236917469409E-2</v>
      </c>
      <c r="M50" s="6">
        <v>0.18042176516532152</v>
      </c>
      <c r="N50" s="6">
        <v>6.6195809568840684E-3</v>
      </c>
      <c r="O50" s="6">
        <v>1.5997320645803167E-2</v>
      </c>
      <c r="P50" s="6">
        <v>5.8206999812839229E-2</v>
      </c>
      <c r="Q50" s="6">
        <v>2.8271127003359044E-3</v>
      </c>
      <c r="R50" s="6">
        <v>0.11592147128067221</v>
      </c>
      <c r="S50" s="6">
        <v>0.12732842775101708</v>
      </c>
      <c r="T50" s="6">
        <v>0.47087679895978013</v>
      </c>
      <c r="U50" s="6">
        <v>0.14299082912221597</v>
      </c>
      <c r="V50" s="6">
        <v>2.135602903947122E-2</v>
      </c>
      <c r="W50" s="6">
        <v>0.99997872657263809</v>
      </c>
    </row>
    <row r="51" spans="1:23">
      <c r="A51" s="6" t="s">
        <v>172</v>
      </c>
      <c r="B51" s="6" t="s">
        <v>196</v>
      </c>
      <c r="C51" s="6">
        <v>3.4902611283068555E-2</v>
      </c>
      <c r="D51" s="6">
        <v>2.3762861342479177E-2</v>
      </c>
      <c r="E51" s="6">
        <v>3.9686428221460068E-2</v>
      </c>
      <c r="F51" s="6">
        <v>6.7858892699657031E-2</v>
      </c>
      <c r="G51" s="6">
        <v>0.1967172954434101</v>
      </c>
      <c r="H51" s="6">
        <v>7.2513473787359131E-2</v>
      </c>
      <c r="I51" s="6">
        <v>0.18226359627633512</v>
      </c>
      <c r="J51" s="6">
        <v>2.8907398334149927E-2</v>
      </c>
      <c r="K51" s="6">
        <v>0.1474767270945615</v>
      </c>
      <c r="L51" s="6">
        <v>3.7236648701616852E-2</v>
      </c>
      <c r="M51" s="6">
        <v>0.20259676629103382</v>
      </c>
      <c r="N51" s="6">
        <v>6.8146450741317097E-3</v>
      </c>
      <c r="O51" s="6">
        <v>1.746840638199634E-2</v>
      </c>
      <c r="P51" s="6">
        <v>8.114301349248422E-2</v>
      </c>
      <c r="Q51" s="6">
        <v>2.4197547753817741E-3</v>
      </c>
      <c r="R51" s="6">
        <v>0.11382252851548472</v>
      </c>
      <c r="S51" s="6">
        <v>0.12115019580347829</v>
      </c>
      <c r="T51" s="6">
        <v>0.46578996870564493</v>
      </c>
      <c r="U51" s="6">
        <v>0.14071344289207724</v>
      </c>
      <c r="V51" s="6">
        <v>1.5809634557176325E-2</v>
      </c>
      <c r="W51" s="6">
        <v>0.99997872657263809</v>
      </c>
    </row>
    <row r="52" spans="1:23">
      <c r="A52" s="6" t="s">
        <v>173</v>
      </c>
      <c r="B52" s="6" t="s">
        <v>196</v>
      </c>
      <c r="C52" s="6">
        <v>3.7886959106543799E-2</v>
      </c>
      <c r="D52" s="6">
        <v>1.5243219009190765E-2</v>
      </c>
      <c r="E52" s="6">
        <v>3.9228872450123291E-2</v>
      </c>
      <c r="F52" s="6">
        <v>7.3526115220802504E-2</v>
      </c>
      <c r="G52" s="6">
        <v>0.20286931181349474</v>
      </c>
      <c r="H52" s="6">
        <v>6.7025330643353503E-2</v>
      </c>
      <c r="I52" s="6">
        <v>0.1788836583725622</v>
      </c>
      <c r="J52" s="6">
        <v>2.8693118134947321E-2</v>
      </c>
      <c r="K52" s="6">
        <v>0.13539565119928268</v>
      </c>
      <c r="L52" s="6">
        <v>5.2902936561309122E-2</v>
      </c>
      <c r="M52" s="6">
        <v>0.20578345662407532</v>
      </c>
      <c r="N52" s="6">
        <v>7.9408892097328973E-3</v>
      </c>
      <c r="O52" s="6">
        <v>1.481166928531997E-2</v>
      </c>
      <c r="P52" s="6">
        <v>8.4436706441887124E-2</v>
      </c>
      <c r="Q52" s="6">
        <v>2.4204849462822202E-3</v>
      </c>
      <c r="R52" s="6">
        <v>0.12386088581256104</v>
      </c>
      <c r="S52" s="6">
        <v>0.12048069981740202</v>
      </c>
      <c r="T52" s="6">
        <v>0.4434837997367192</v>
      </c>
      <c r="U52" s="6">
        <v>0.14473650685804068</v>
      </c>
      <c r="V52" s="6">
        <v>1.9915919996602829E-2</v>
      </c>
      <c r="W52" s="6">
        <v>0.99997872657263809</v>
      </c>
    </row>
    <row r="53" spans="1:23">
      <c r="A53" s="6" t="s">
        <v>174</v>
      </c>
      <c r="B53" s="6" t="s">
        <v>196</v>
      </c>
      <c r="C53" s="6">
        <v>3.7386911056280107E-2</v>
      </c>
      <c r="D53" s="6">
        <v>1.7808506180599204E-2</v>
      </c>
      <c r="E53" s="6">
        <v>4.5883092394720298E-2</v>
      </c>
      <c r="F53" s="6">
        <v>6.2015503875968991E-2</v>
      </c>
      <c r="G53" s="6">
        <v>0.1923318667504714</v>
      </c>
      <c r="H53" s="6">
        <v>6.3272574900481882E-2</v>
      </c>
      <c r="I53" s="6">
        <v>0.18206578671694951</v>
      </c>
      <c r="J53" s="6">
        <v>3.1636287450240941E-2</v>
      </c>
      <c r="K53" s="6">
        <v>0.13953488372093023</v>
      </c>
      <c r="L53" s="6">
        <v>6.3272574900481882E-2</v>
      </c>
      <c r="M53" s="6">
        <v>0.20259794678399329</v>
      </c>
      <c r="N53" s="6">
        <v>7.582344417028943E-3</v>
      </c>
      <c r="O53" s="6">
        <v>1.476520581208632E-2</v>
      </c>
      <c r="P53" s="6">
        <v>7.2886069008733789E-2</v>
      </c>
      <c r="Q53" s="6">
        <v>2.6553871460462931E-3</v>
      </c>
      <c r="R53" s="6">
        <v>0.11548975835193671</v>
      </c>
      <c r="S53" s="6">
        <v>0.12221047272157599</v>
      </c>
      <c r="T53" s="6">
        <v>0.45789370618415381</v>
      </c>
      <c r="U53" s="6">
        <v>0.14403321192182666</v>
      </c>
      <c r="V53" s="6">
        <v>2.508910037990052E-2</v>
      </c>
      <c r="W53" s="6">
        <v>0.99997872657263809</v>
      </c>
    </row>
    <row r="54" spans="1:23">
      <c r="A54" s="6" t="s">
        <v>175</v>
      </c>
      <c r="B54" s="6" t="s">
        <v>196</v>
      </c>
      <c r="C54" s="6">
        <v>3.9781819300837025E-2</v>
      </c>
      <c r="D54" s="6">
        <v>1.5857667762521756E-2</v>
      </c>
      <c r="E54" s="6">
        <v>4.5252368980854767E-2</v>
      </c>
      <c r="F54" s="6">
        <v>6.1690195320054146E-2</v>
      </c>
      <c r="G54" s="6">
        <v>0.18352349642235544</v>
      </c>
      <c r="H54" s="6">
        <v>7.9094952620382908E-2</v>
      </c>
      <c r="I54" s="6">
        <v>0.18507058596016243</v>
      </c>
      <c r="J54" s="6">
        <v>3.7130148907368016E-2</v>
      </c>
      <c r="K54" s="6">
        <v>0.12956874879133629</v>
      </c>
      <c r="L54" s="6">
        <v>5.9949719590021273E-2</v>
      </c>
      <c r="M54" s="6">
        <v>0.20286211564494294</v>
      </c>
      <c r="N54" s="6">
        <v>7.385524372230428E-3</v>
      </c>
      <c r="O54" s="6">
        <v>1.4917220580994584E-2</v>
      </c>
      <c r="P54" s="6">
        <v>7.7171036435253568E-2</v>
      </c>
      <c r="Q54" s="6">
        <v>2.7311053668143772E-3</v>
      </c>
      <c r="R54" s="6">
        <v>0.11490645002461841</v>
      </c>
      <c r="S54" s="6">
        <v>0.12162266125061547</v>
      </c>
      <c r="T54" s="6">
        <v>0.455186792220581</v>
      </c>
      <c r="U54" s="6">
        <v>0.14115583456425407</v>
      </c>
      <c r="V54" s="6">
        <v>2.5149249138355489E-2</v>
      </c>
      <c r="W54" s="6">
        <v>0.99997872657263809</v>
      </c>
    </row>
    <row r="55" spans="1:23">
      <c r="A55" s="6" t="s">
        <v>176</v>
      </c>
      <c r="B55" s="6" t="s">
        <v>196</v>
      </c>
      <c r="C55" s="6">
        <v>3.7317606745629998E-2</v>
      </c>
      <c r="D55" s="6">
        <v>1.2521343198634035E-2</v>
      </c>
      <c r="E55" s="6">
        <v>5.4069436539556058E-2</v>
      </c>
      <c r="F55" s="6">
        <v>6.7159931701764375E-2</v>
      </c>
      <c r="G55" s="6">
        <v>0.1745399354961108</v>
      </c>
      <c r="H55" s="6">
        <v>7.2282299373932837E-2</v>
      </c>
      <c r="I55" s="6">
        <v>0.20129007778410168</v>
      </c>
      <c r="J55" s="6">
        <v>3.3010813887307915E-2</v>
      </c>
      <c r="K55" s="6">
        <v>0.12730032251944604</v>
      </c>
      <c r="L55" s="6">
        <v>5.0654524758110414E-2</v>
      </c>
      <c r="M55" s="6">
        <v>0.20698159741984443</v>
      </c>
      <c r="N55" s="6">
        <v>6.7328863621882234E-3</v>
      </c>
      <c r="O55" s="6">
        <v>1.3394974760525888E-2</v>
      </c>
      <c r="P55" s="6">
        <v>9.107450069735995E-2</v>
      </c>
      <c r="Q55" s="6">
        <v>2.6903226263212672E-3</v>
      </c>
      <c r="R55" s="6">
        <v>0.11581838906313055</v>
      </c>
      <c r="S55" s="6">
        <v>0.11840251474367597</v>
      </c>
      <c r="T55" s="6">
        <v>0.45474240160852974</v>
      </c>
      <c r="U55" s="6">
        <v>0.14065431478190688</v>
      </c>
      <c r="V55" s="6">
        <v>1.9165008814346501E-2</v>
      </c>
      <c r="W55" s="6">
        <v>0.99997872657263809</v>
      </c>
    </row>
    <row r="56" spans="1:23">
      <c r="A56" s="6" t="s">
        <v>177</v>
      </c>
      <c r="B56" s="6" t="s">
        <v>196</v>
      </c>
      <c r="C56" s="6">
        <v>3.7098681335629644E-2</v>
      </c>
      <c r="D56" s="6">
        <v>1.6282695305733588E-2</v>
      </c>
      <c r="E56" s="6">
        <v>6.3052139269010918E-2</v>
      </c>
      <c r="F56" s="6">
        <v>6.8248744153819499E-2</v>
      </c>
      <c r="G56" s="6">
        <v>0.17096830071020266</v>
      </c>
      <c r="H56" s="6">
        <v>7.3618569201455056E-2</v>
      </c>
      <c r="I56" s="6">
        <v>0.19504590334314914</v>
      </c>
      <c r="J56" s="6">
        <v>3.1526069634505459E-2</v>
      </c>
      <c r="K56" s="6">
        <v>0.12818292049194527</v>
      </c>
      <c r="L56" s="6">
        <v>4.9540966568508572E-2</v>
      </c>
      <c r="M56" s="6">
        <v>0.20301403083318897</v>
      </c>
      <c r="N56" s="6">
        <v>6.6190268102717014E-3</v>
      </c>
      <c r="O56" s="6">
        <v>1.2544019741408117E-2</v>
      </c>
      <c r="P56" s="6">
        <v>0.11064699380510501</v>
      </c>
      <c r="Q56" s="6">
        <v>2.3648561807572679E-3</v>
      </c>
      <c r="R56" s="6">
        <v>0.1162571009947819</v>
      </c>
      <c r="S56" s="6">
        <v>0.11658483921548467</v>
      </c>
      <c r="T56" s="6">
        <v>0.44210600724879828</v>
      </c>
      <c r="U56" s="6">
        <v>0.13669254299154307</v>
      </c>
      <c r="V56" s="6">
        <v>1.9060226717733851E-2</v>
      </c>
      <c r="W56" s="6">
        <v>0.99997872657263809</v>
      </c>
    </row>
    <row r="57" spans="1:23">
      <c r="A57" s="6" t="s">
        <v>178</v>
      </c>
      <c r="B57" s="6" t="s">
        <v>196</v>
      </c>
      <c r="C57" s="6">
        <v>3.6302280396768583E-2</v>
      </c>
      <c r="D57" s="6">
        <v>1.9405320813771519E-2</v>
      </c>
      <c r="E57" s="6">
        <v>5.978090766823161E-2</v>
      </c>
      <c r="F57" s="6">
        <v>6.8857589984350542E-2</v>
      </c>
      <c r="G57" s="6">
        <v>0.17715179968701095</v>
      </c>
      <c r="H57" s="6">
        <v>7.7934272300469482E-2</v>
      </c>
      <c r="I57" s="6">
        <v>0.19389671361502347</v>
      </c>
      <c r="J57" s="6">
        <v>2.9264475743348981E-2</v>
      </c>
      <c r="K57" s="6">
        <v>0.12456964006259781</v>
      </c>
      <c r="L57" s="6">
        <v>5.5868544600938964E-2</v>
      </c>
      <c r="M57" s="6">
        <v>0.19405320813771518</v>
      </c>
      <c r="N57" s="6">
        <v>7.2547749713104048E-3</v>
      </c>
      <c r="O57" s="6">
        <v>1.2583654315937781E-2</v>
      </c>
      <c r="P57" s="6">
        <v>0.13169944666007657</v>
      </c>
      <c r="Q57" s="6">
        <v>2.7212507527468155E-3</v>
      </c>
      <c r="R57" s="6">
        <v>0.1078160684459897</v>
      </c>
      <c r="S57" s="6">
        <v>0.11050323255047664</v>
      </c>
      <c r="T57" s="6">
        <v>0.42516844485348421</v>
      </c>
      <c r="U57" s="6">
        <v>0.13190396654963585</v>
      </c>
      <c r="V57" s="6">
        <v>3.4052561611616732E-2</v>
      </c>
      <c r="W57" s="6">
        <v>0.99997872657263809</v>
      </c>
    </row>
    <row r="58" spans="1:23">
      <c r="A58" s="6" t="s">
        <v>179</v>
      </c>
      <c r="B58" s="6" t="s">
        <v>196</v>
      </c>
      <c r="C58" s="6">
        <v>3.8304239932689339E-2</v>
      </c>
      <c r="D58" s="6">
        <v>1.5014597525371889E-2</v>
      </c>
      <c r="E58" s="6">
        <v>6.6036424301404148E-2</v>
      </c>
      <c r="F58" s="6">
        <v>6.7148616710690945E-2</v>
      </c>
      <c r="G58" s="6">
        <v>0.160294730988461</v>
      </c>
      <c r="H58" s="6">
        <v>7.8965661059363271E-2</v>
      </c>
      <c r="I58" s="6">
        <v>0.19532879188099542</v>
      </c>
      <c r="J58" s="6">
        <v>3.1280411511191437E-2</v>
      </c>
      <c r="K58" s="6">
        <v>0.12609481440289169</v>
      </c>
      <c r="L58" s="6">
        <v>7.0624217989712218E-2</v>
      </c>
      <c r="M58" s="6">
        <v>0.18921173362991797</v>
      </c>
      <c r="N58" s="6">
        <v>7.599075543437743E-3</v>
      </c>
      <c r="O58" s="6">
        <v>1.3163920633061037E-2</v>
      </c>
      <c r="P58" s="6">
        <v>0.13015879778045222</v>
      </c>
      <c r="Q58" s="6">
        <v>2.8543128880747235E-3</v>
      </c>
      <c r="R58" s="6">
        <v>0.10880470322601259</v>
      </c>
      <c r="S58" s="6">
        <v>0.11317670113853003</v>
      </c>
      <c r="T58" s="6">
        <v>0.4204839551404258</v>
      </c>
      <c r="U58" s="6">
        <v>0.13041973310044414</v>
      </c>
      <c r="V58" s="6">
        <v>3.5039885827484477E-2</v>
      </c>
      <c r="W58" s="6">
        <v>0.99997872657263809</v>
      </c>
    </row>
    <row r="59" spans="1:23">
      <c r="A59" s="6" t="s">
        <v>180</v>
      </c>
      <c r="B59" s="6" t="s">
        <v>196</v>
      </c>
      <c r="C59" s="6">
        <v>3.6672803880607584E-2</v>
      </c>
      <c r="D59" s="6">
        <v>1.6775283610909967E-2</v>
      </c>
      <c r="E59" s="6">
        <v>5.9256577359401402E-2</v>
      </c>
      <c r="F59" s="6">
        <v>8.1945450156891142E-2</v>
      </c>
      <c r="G59" s="6">
        <v>0.14663287472845765</v>
      </c>
      <c r="H59" s="6">
        <v>9.2203717113202993E-2</v>
      </c>
      <c r="I59" s="6">
        <v>0.19973449191407192</v>
      </c>
      <c r="J59" s="6">
        <v>2.8602461984069516E-2</v>
      </c>
      <c r="K59" s="6">
        <v>0.13118513154718803</v>
      </c>
      <c r="L59" s="6">
        <v>6.8307989379676567E-2</v>
      </c>
      <c r="M59" s="6">
        <v>0.17487328023171614</v>
      </c>
      <c r="N59" s="6">
        <v>7.3381014764720464E-3</v>
      </c>
      <c r="O59" s="6">
        <v>1.2728817760152958E-2</v>
      </c>
      <c r="P59" s="6">
        <v>0.1570875969266721</v>
      </c>
      <c r="Q59" s="6">
        <v>2.6688028892114862E-3</v>
      </c>
      <c r="R59" s="6">
        <v>0.10556155507559395</v>
      </c>
      <c r="S59" s="6">
        <v>0.11110275112417237</v>
      </c>
      <c r="T59" s="6">
        <v>0.38958768544418088</v>
      </c>
      <c r="U59" s="6">
        <v>0.12330046383174592</v>
      </c>
      <c r="V59" s="6">
        <v>5.3929292213999933E-2</v>
      </c>
      <c r="W59" s="6">
        <v>0.99997872657263809</v>
      </c>
    </row>
    <row r="60" spans="1:23">
      <c r="A60" s="6" t="s">
        <v>181</v>
      </c>
      <c r="B60" s="6" t="s">
        <v>196</v>
      </c>
      <c r="C60" s="6">
        <v>4.3068546698310763E-2</v>
      </c>
      <c r="D60" s="6">
        <v>1.1692521416994674E-2</v>
      </c>
      <c r="E60" s="6">
        <v>6.6450567260940036E-2</v>
      </c>
      <c r="F60" s="6">
        <v>6.2746006019912023E-2</v>
      </c>
      <c r="G60" s="6">
        <v>0.14667747163695299</v>
      </c>
      <c r="H60" s="6">
        <v>9.6434359805510531E-2</v>
      </c>
      <c r="I60" s="6">
        <v>0.18650150497800416</v>
      </c>
      <c r="J60" s="6">
        <v>3.2993748552905766E-2</v>
      </c>
      <c r="K60" s="6">
        <v>0.13996295438758971</v>
      </c>
      <c r="L60" s="6">
        <v>6.8881685575364671E-2</v>
      </c>
      <c r="M60" s="6">
        <v>0.18789071544338967</v>
      </c>
      <c r="N60" s="6">
        <v>8.7154225085259562E-3</v>
      </c>
      <c r="O60" s="6">
        <v>9.9818511796733213E-3</v>
      </c>
      <c r="P60" s="6">
        <v>0.12669771245088848</v>
      </c>
      <c r="Q60" s="6">
        <v>2.797112143754612E-3</v>
      </c>
      <c r="R60" s="6">
        <v>0.10933667058893919</v>
      </c>
      <c r="S60" s="6">
        <v>0.10815998883149518</v>
      </c>
      <c r="T60" s="6">
        <v>0.38115015655850504</v>
      </c>
      <c r="U60" s="6">
        <v>0.13656488701860753</v>
      </c>
      <c r="V60" s="6">
        <v>7.3517680141999567E-2</v>
      </c>
      <c r="W60" s="6">
        <v>0.99997872657263809</v>
      </c>
    </row>
    <row r="61" spans="1:23">
      <c r="A61" s="6" t="s">
        <v>182</v>
      </c>
      <c r="B61" s="6" t="s">
        <v>196</v>
      </c>
      <c r="C61" s="6">
        <v>4.1077927384334703E-2</v>
      </c>
      <c r="D61" s="6">
        <v>1.31852879944483E-2</v>
      </c>
      <c r="E61" s="6">
        <v>6.6389081656257232E-2</v>
      </c>
      <c r="F61" s="6">
        <v>7.7492482072634747E-2</v>
      </c>
      <c r="G61" s="6">
        <v>0.14700439509599814</v>
      </c>
      <c r="H61" s="6">
        <v>8.9058524173027995E-2</v>
      </c>
      <c r="I61" s="6">
        <v>0.18008327550312284</v>
      </c>
      <c r="J61" s="6">
        <v>3.5392088827203329E-2</v>
      </c>
      <c r="K61" s="6">
        <v>0.13705759888965996</v>
      </c>
      <c r="L61" s="6">
        <v>6.4885496183206104E-2</v>
      </c>
      <c r="M61" s="6">
        <v>0.18945176960444135</v>
      </c>
      <c r="N61" s="6">
        <v>8.1101112705365876E-3</v>
      </c>
      <c r="O61" s="6">
        <v>1.1070040574311804E-2</v>
      </c>
      <c r="P61" s="6">
        <v>0.13703569969307955</v>
      </c>
      <c r="Q61" s="6">
        <v>2.5038246277520691E-3</v>
      </c>
      <c r="R61" s="6">
        <v>0.10849589980900616</v>
      </c>
      <c r="S61" s="6">
        <v>0.10869544560476629</v>
      </c>
      <c r="T61" s="6">
        <v>0.39070116591757809</v>
      </c>
      <c r="U61" s="6">
        <v>0.12960974543657769</v>
      </c>
      <c r="V61" s="6">
        <v>6.2700139682057038E-2</v>
      </c>
      <c r="W61" s="6">
        <v>0.99997872657263809</v>
      </c>
    </row>
    <row r="62" spans="1:23">
      <c r="A62" s="6" t="s">
        <v>183</v>
      </c>
      <c r="B62" s="6" t="s">
        <v>196</v>
      </c>
      <c r="C62" s="6">
        <v>4.0767216987368772E-2</v>
      </c>
      <c r="D62" s="6">
        <v>1.2E-2</v>
      </c>
      <c r="E62" s="6">
        <v>5.9675675675675673E-2</v>
      </c>
      <c r="F62" s="6">
        <v>7.2432432432432428E-2</v>
      </c>
      <c r="G62" s="6">
        <v>0.14108108108108108</v>
      </c>
      <c r="H62" s="6">
        <v>8.6918918918918925E-2</v>
      </c>
      <c r="I62" s="6">
        <v>0.19913513513513514</v>
      </c>
      <c r="J62" s="6">
        <v>4.0864864864864868E-2</v>
      </c>
      <c r="K62" s="6">
        <v>0.14648648648648649</v>
      </c>
      <c r="L62" s="6">
        <v>5.9351351351351354E-2</v>
      </c>
      <c r="M62" s="6">
        <v>0.18194594594594596</v>
      </c>
      <c r="N62" s="6">
        <v>7.9947817962256161E-3</v>
      </c>
      <c r="O62" s="6">
        <v>1.2194906962599934E-2</v>
      </c>
      <c r="P62" s="6">
        <v>0.16871898386058934</v>
      </c>
      <c r="Q62" s="6">
        <v>2.3975530855274178E-3</v>
      </c>
      <c r="R62" s="6">
        <v>0.10726846424384526</v>
      </c>
      <c r="S62" s="6">
        <v>0.10953379932833256</v>
      </c>
      <c r="T62" s="6">
        <v>0.3691526589040009</v>
      </c>
      <c r="U62" s="6">
        <v>0.12381775070736631</v>
      </c>
      <c r="V62" s="6">
        <v>5.8145069590741214E-2</v>
      </c>
      <c r="W62" s="6">
        <v>0.99997872657263809</v>
      </c>
    </row>
    <row r="63" spans="1:23">
      <c r="A63" s="6" t="s">
        <v>184</v>
      </c>
      <c r="B63" s="6" t="s">
        <v>196</v>
      </c>
      <c r="C63" s="6">
        <v>3.9684935188439352E-2</v>
      </c>
      <c r="D63" s="6">
        <v>1.0418837257762034E-2</v>
      </c>
      <c r="E63" s="6">
        <v>6.4492602625546985E-2</v>
      </c>
      <c r="F63" s="6">
        <v>6.6055428214211301E-2</v>
      </c>
      <c r="G63" s="6">
        <v>0.14753073556991039</v>
      </c>
      <c r="H63" s="6">
        <v>8.8455928318399671E-2</v>
      </c>
      <c r="I63" s="6">
        <v>0.18795582413002709</v>
      </c>
      <c r="J63" s="6">
        <v>3.7091060637632838E-2</v>
      </c>
      <c r="K63" s="6">
        <v>0.14075849135236507</v>
      </c>
      <c r="L63" s="6">
        <v>6.6159616586788914E-2</v>
      </c>
      <c r="M63" s="6">
        <v>0.19045634507188997</v>
      </c>
      <c r="N63" s="6">
        <v>8.2487440821980111E-3</v>
      </c>
      <c r="O63" s="6">
        <v>1.0411196791465962E-2</v>
      </c>
      <c r="P63" s="6">
        <v>0.168919393851688</v>
      </c>
      <c r="Q63" s="6">
        <v>2.2534163031568502E-3</v>
      </c>
      <c r="R63" s="6">
        <v>0.10124247999834611</v>
      </c>
      <c r="S63" s="6">
        <v>0.10741146554753882</v>
      </c>
      <c r="T63" s="6">
        <v>0.39563788220214591</v>
      </c>
      <c r="U63" s="6">
        <v>0.1203324305885758</v>
      </c>
      <c r="V63" s="6">
        <v>4.5841516611192658E-2</v>
      </c>
      <c r="W63" s="6">
        <v>0.99997872657263809</v>
      </c>
    </row>
    <row r="64" spans="1:23">
      <c r="A64" s="6" t="s">
        <v>185</v>
      </c>
      <c r="B64" s="6" t="s">
        <v>196</v>
      </c>
      <c r="C64" s="6">
        <v>4.413253451938396E-2</v>
      </c>
      <c r="D64" s="6">
        <v>9.1191125317288714E-3</v>
      </c>
      <c r="E64" s="6">
        <v>5.894519131334023E-2</v>
      </c>
      <c r="F64" s="6">
        <v>6.9944533233054426E-2</v>
      </c>
      <c r="G64" s="6">
        <v>0.1507943969164238</v>
      </c>
      <c r="H64" s="6">
        <v>9.5891698787252039E-2</v>
      </c>
      <c r="I64" s="6">
        <v>0.18238225063457741</v>
      </c>
      <c r="J64" s="6">
        <v>3.5630346902322085E-2</v>
      </c>
      <c r="K64" s="6">
        <v>0.13443640124095141</v>
      </c>
      <c r="L64" s="6">
        <v>6.9286452947259561E-2</v>
      </c>
      <c r="M64" s="6">
        <v>0.19356961549309015</v>
      </c>
      <c r="N64" s="6">
        <v>1.0057089750398301E-2</v>
      </c>
      <c r="O64" s="6">
        <v>9.7459174190122153E-3</v>
      </c>
      <c r="P64" s="6">
        <v>0.17492448884758363</v>
      </c>
      <c r="Q64" s="6">
        <v>2.2279938927243759E-3</v>
      </c>
      <c r="R64" s="6">
        <v>9.9579295007966015E-2</v>
      </c>
      <c r="S64" s="6">
        <v>0.11045787971322359</v>
      </c>
      <c r="T64" s="6">
        <v>0.38032312134891133</v>
      </c>
      <c r="U64" s="6">
        <v>0.12954311603823684</v>
      </c>
      <c r="V64" s="6">
        <v>3.902515932023367E-2</v>
      </c>
      <c r="W64" s="6">
        <v>0.99997872657263809</v>
      </c>
    </row>
    <row r="65" spans="1:23">
      <c r="A65" s="6" t="s">
        <v>186</v>
      </c>
      <c r="B65" s="6" t="s">
        <v>196</v>
      </c>
      <c r="C65" s="6">
        <v>4.8030287445901147E-2</v>
      </c>
      <c r="D65" s="6">
        <v>8.8954781319495919E-3</v>
      </c>
      <c r="E65" s="6">
        <v>5.9879746314142161E-2</v>
      </c>
      <c r="F65" s="6">
        <v>7.3799522279878099E-2</v>
      </c>
      <c r="G65" s="6">
        <v>0.14866979655712051</v>
      </c>
      <c r="H65" s="6">
        <v>9.3155423770694343E-2</v>
      </c>
      <c r="I65" s="6">
        <v>0.18614611646487109</v>
      </c>
      <c r="J65" s="6">
        <v>3.6982126678197842E-2</v>
      </c>
      <c r="K65" s="6">
        <v>0.13919775965735937</v>
      </c>
      <c r="L65" s="6">
        <v>6.6304258298327978E-2</v>
      </c>
      <c r="M65" s="6">
        <v>0.18655794415616506</v>
      </c>
      <c r="N65" s="6">
        <v>1.0807902586459264E-2</v>
      </c>
      <c r="O65" s="6">
        <v>1.1539770074927406E-2</v>
      </c>
      <c r="P65" s="6">
        <v>0.15747810331595313</v>
      </c>
      <c r="Q65" s="6">
        <v>2.3973605297929407E-3</v>
      </c>
      <c r="R65" s="6">
        <v>9.9530022391189105E-2</v>
      </c>
      <c r="S65" s="6">
        <v>0.11396165805568523</v>
      </c>
      <c r="T65" s="6">
        <v>0.37566560381045822</v>
      </c>
      <c r="U65" s="6">
        <v>0.13767020864157481</v>
      </c>
      <c r="V65" s="6">
        <v>4.2907215026624153E-2</v>
      </c>
      <c r="W65" s="6">
        <v>0.99997872657263809</v>
      </c>
    </row>
    <row r="66" spans="1:23">
      <c r="A66" s="6" t="s">
        <v>187</v>
      </c>
      <c r="B66" s="6" t="s">
        <v>196</v>
      </c>
      <c r="C66" s="6">
        <v>5.0633906707504291E-2</v>
      </c>
      <c r="D66" s="6">
        <v>7.3208607557494641E-3</v>
      </c>
      <c r="E66" s="6">
        <v>5.9897951637950156E-2</v>
      </c>
      <c r="F66" s="6">
        <v>7.0620424462027653E-2</v>
      </c>
      <c r="G66" s="6">
        <v>0.1310360127190712</v>
      </c>
      <c r="H66" s="6">
        <v>9.3988020409672413E-2</v>
      </c>
      <c r="I66" s="6">
        <v>0.18745840420025142</v>
      </c>
      <c r="J66" s="6">
        <v>3.7935369370701764E-2</v>
      </c>
      <c r="K66" s="6">
        <v>0.15166752939436515</v>
      </c>
      <c r="L66" s="6">
        <v>6.3373511794720103E-2</v>
      </c>
      <c r="M66" s="6">
        <v>0.19640612290172299</v>
      </c>
      <c r="N66" s="6">
        <v>1.2000419359428473E-2</v>
      </c>
      <c r="O66" s="6">
        <v>1.2045350726764867E-2</v>
      </c>
      <c r="P66" s="6">
        <v>0.10802623991852445</v>
      </c>
      <c r="Q66" s="6">
        <v>2.4525038004448206E-3</v>
      </c>
      <c r="R66" s="6">
        <v>0.10181447838426803</v>
      </c>
      <c r="S66" s="6">
        <v>0.12176774976223818</v>
      </c>
      <c r="T66" s="6">
        <v>0.39731684851389504</v>
      </c>
      <c r="U66" s="6">
        <v>0.15117532968390784</v>
      </c>
      <c r="V66" s="6">
        <v>4.2774661704246764E-2</v>
      </c>
      <c r="W66" s="6">
        <v>0.99997872657263809</v>
      </c>
    </row>
    <row r="67" spans="1:23">
      <c r="A67" s="6" t="s">
        <v>188</v>
      </c>
      <c r="B67" s="6" t="s">
        <v>196</v>
      </c>
      <c r="C67" s="6">
        <v>5.4952918280288587E-2</v>
      </c>
      <c r="D67" s="6">
        <v>8.6570794877298424E-3</v>
      </c>
      <c r="E67" s="6">
        <v>5.5805966945696499E-2</v>
      </c>
      <c r="F67" s="6">
        <v>7.6912069829004795E-2</v>
      </c>
      <c r="G67" s="6">
        <v>0.13250339844029477</v>
      </c>
      <c r="H67" s="6">
        <v>9.0505831008084708E-2</v>
      </c>
      <c r="I67" s="6">
        <v>0.18609143593045718</v>
      </c>
      <c r="J67" s="6">
        <v>3.4556771839450523E-2</v>
      </c>
      <c r="K67" s="6">
        <v>0.14130357015096229</v>
      </c>
      <c r="L67" s="6">
        <v>6.5750876439865491E-2</v>
      </c>
      <c r="M67" s="6">
        <v>0.20805609215139156</v>
      </c>
      <c r="N67" s="6">
        <v>1.2860484774617154E-2</v>
      </c>
      <c r="O67" s="6">
        <v>1.2604926379523875E-2</v>
      </c>
      <c r="P67" s="6">
        <v>9.2803082427411587E-2</v>
      </c>
      <c r="Q67" s="6">
        <v>2.7521673317737719E-3</v>
      </c>
      <c r="R67" s="6">
        <v>0.10892685132398908</v>
      </c>
      <c r="S67" s="6">
        <v>0.11096345514950166</v>
      </c>
      <c r="T67" s="6">
        <v>0.40626707818121055</v>
      </c>
      <c r="U67" s="6">
        <v>0.15870176335292616</v>
      </c>
      <c r="V67" s="6">
        <v>3.9167272798757591E-2</v>
      </c>
      <c r="W67" s="6">
        <v>0.99997872657263809</v>
      </c>
    </row>
    <row r="68" spans="1:23">
      <c r="A68" s="6" t="s">
        <v>189</v>
      </c>
      <c r="B68" s="6" t="s">
        <v>196</v>
      </c>
      <c r="C68" s="6">
        <v>4.9616533294483699E-2</v>
      </c>
      <c r="D68" s="6">
        <v>1.0836129753914989E-2</v>
      </c>
      <c r="E68" s="6">
        <v>5.823545861297539E-2</v>
      </c>
      <c r="F68" s="6">
        <v>9.2351789709172266E-2</v>
      </c>
      <c r="G68" s="6">
        <v>0.1363255033557047</v>
      </c>
      <c r="H68" s="6">
        <v>9.1512863534675609E-2</v>
      </c>
      <c r="I68" s="6">
        <v>0.18763982102908278</v>
      </c>
      <c r="J68" s="6">
        <v>3.2158836689038031E-2</v>
      </c>
      <c r="K68" s="6">
        <v>0.14380592841163312</v>
      </c>
      <c r="L68" s="6">
        <v>6.5645973154362422E-2</v>
      </c>
      <c r="M68" s="6">
        <v>0.18127796420581654</v>
      </c>
      <c r="N68" s="6">
        <v>1.1394736568259154E-2</v>
      </c>
      <c r="O68" s="6">
        <v>1.2293134367704853E-2</v>
      </c>
      <c r="P68" s="6">
        <v>0.10338512128370292</v>
      </c>
      <c r="Q68" s="6">
        <v>2.4350395954088055E-3</v>
      </c>
      <c r="R68" s="6">
        <v>9.7311397164670424E-2</v>
      </c>
      <c r="S68" s="6">
        <v>9.9555657304598477E-2</v>
      </c>
      <c r="T68" s="6">
        <v>0.40907624587656222</v>
      </c>
      <c r="U68" s="6">
        <v>0.14072933251471603</v>
      </c>
      <c r="V68" s="6">
        <v>7.4220145616755287E-2</v>
      </c>
      <c r="W68" s="6">
        <v>0.99997872657263809</v>
      </c>
    </row>
    <row r="69" spans="1:23">
      <c r="A69" s="6" t="s">
        <v>190</v>
      </c>
      <c r="B69" s="6" t="s">
        <v>196</v>
      </c>
      <c r="C69" s="6">
        <v>4.9768130241736555E-2</v>
      </c>
      <c r="D69" s="6">
        <v>1.1102299762093577E-2</v>
      </c>
      <c r="E69" s="6">
        <v>5.4321966693100715E-2</v>
      </c>
      <c r="F69" s="6">
        <v>9.3840867036743325E-2</v>
      </c>
      <c r="G69" s="6">
        <v>0.13302934179222839</v>
      </c>
      <c r="H69" s="6">
        <v>9.7739888977002379E-2</v>
      </c>
      <c r="I69" s="6">
        <v>0.17492730637060533</v>
      </c>
      <c r="J69" s="6">
        <v>3.191911181601903E-2</v>
      </c>
      <c r="K69" s="6">
        <v>0.13421887390959555</v>
      </c>
      <c r="L69" s="6">
        <v>7.2693629394660328E-2</v>
      </c>
      <c r="M69" s="6">
        <v>0.19627279936558287</v>
      </c>
      <c r="N69" s="6">
        <v>1.1646110837033383E-2</v>
      </c>
      <c r="O69" s="6">
        <v>1.3106396974181879E-2</v>
      </c>
      <c r="P69" s="6">
        <v>0.13324124321657621</v>
      </c>
      <c r="Q69" s="6">
        <v>2.4864331524420327E-3</v>
      </c>
      <c r="R69" s="6">
        <v>9.8131886202927149E-2</v>
      </c>
      <c r="S69" s="6">
        <v>0.10670284492682125</v>
      </c>
      <c r="T69" s="6">
        <v>0.39928959052787372</v>
      </c>
      <c r="U69" s="6">
        <v>0.14569643150797565</v>
      </c>
      <c r="V69" s="6">
        <v>3.9927643479690841E-2</v>
      </c>
      <c r="W69" s="6">
        <v>0.99997872657263809</v>
      </c>
    </row>
    <row r="70" spans="1:23">
      <c r="A70" s="6" t="s">
        <v>191</v>
      </c>
      <c r="B70" s="6" t="s">
        <v>196</v>
      </c>
      <c r="C70" s="6">
        <v>5.507415078572845E-2</v>
      </c>
      <c r="D70" s="6">
        <v>8.5606328964458606E-3</v>
      </c>
      <c r="E70" s="6">
        <v>6.0750974140984765E-2</v>
      </c>
      <c r="F70" s="6">
        <v>8.7200377848624389E-2</v>
      </c>
      <c r="G70" s="6">
        <v>0.12008501594048884</v>
      </c>
      <c r="H70" s="6">
        <v>0.11311843192820877</v>
      </c>
      <c r="I70" s="6">
        <v>0.16566300625811783</v>
      </c>
      <c r="J70" s="6">
        <v>2.8633841067422363E-2</v>
      </c>
      <c r="K70" s="6">
        <v>0.12581178415397332</v>
      </c>
      <c r="L70" s="6">
        <v>7.3090093281379151E-2</v>
      </c>
      <c r="M70" s="6">
        <v>0.2171448813319164</v>
      </c>
      <c r="N70" s="6">
        <v>1.2349251663962491E-2</v>
      </c>
      <c r="O70" s="6">
        <v>1.0203252164695706E-2</v>
      </c>
      <c r="P70" s="6">
        <v>0.12613924935538728</v>
      </c>
      <c r="Q70" s="6">
        <v>2.3573479348006333E-3</v>
      </c>
      <c r="R70" s="6">
        <v>0.10087498252311014</v>
      </c>
      <c r="S70" s="6">
        <v>0.10497839368685966</v>
      </c>
      <c r="T70" s="6">
        <v>0.4008662034342495</v>
      </c>
      <c r="U70" s="6">
        <v>0.15057112850310031</v>
      </c>
      <c r="V70" s="6">
        <v>3.6582788433713001E-2</v>
      </c>
      <c r="W70" s="6">
        <v>0.99997872657263809</v>
      </c>
    </row>
    <row r="71" spans="1:23">
      <c r="A71" s="6" t="s">
        <v>192</v>
      </c>
      <c r="B71" s="6" t="s">
        <v>196</v>
      </c>
      <c r="C71" s="6">
        <v>5.9968733289509982E-2</v>
      </c>
      <c r="D71" s="6">
        <v>8.9169080479354797E-3</v>
      </c>
      <c r="E71" s="6">
        <v>5.1400011359118529E-2</v>
      </c>
      <c r="F71" s="6">
        <v>9.0248196739932979E-2</v>
      </c>
      <c r="G71" s="6">
        <v>0.10688930538990174</v>
      </c>
      <c r="H71" s="6">
        <v>0.11858919747827569</v>
      </c>
      <c r="I71" s="6">
        <v>0.17646390640086329</v>
      </c>
      <c r="J71" s="6">
        <v>2.7773044811722609E-2</v>
      </c>
      <c r="K71" s="6">
        <v>0.12540466859771682</v>
      </c>
      <c r="L71" s="6">
        <v>7.6958028057022773E-2</v>
      </c>
      <c r="M71" s="6">
        <v>0.21718634633952405</v>
      </c>
      <c r="N71" s="6">
        <v>1.1835710125577737E-2</v>
      </c>
      <c r="O71" s="6">
        <v>1.1093210900433579E-2</v>
      </c>
      <c r="P71" s="6">
        <v>7.8704917865280666E-2</v>
      </c>
      <c r="Q71" s="6">
        <v>2.6089651672496533E-3</v>
      </c>
      <c r="R71" s="6">
        <v>0.11338780598290889</v>
      </c>
      <c r="S71" s="6">
        <v>0.11716160938410029</v>
      </c>
      <c r="T71" s="6">
        <v>0.40785005602803787</v>
      </c>
      <c r="U71" s="6">
        <v>0.15680357489535188</v>
      </c>
      <c r="V71" s="6">
        <v>4.0578604442052704E-2</v>
      </c>
      <c r="W71" s="6">
        <v>0.99997872657263809</v>
      </c>
    </row>
    <row r="72" spans="1:23">
      <c r="A72" s="6" t="s">
        <v>193</v>
      </c>
      <c r="B72" s="6" t="s">
        <v>196</v>
      </c>
      <c r="C72" s="6">
        <v>4.9692036555896726E-2</v>
      </c>
      <c r="D72" s="6">
        <v>9.5063985374771488E-3</v>
      </c>
      <c r="E72" s="6">
        <v>5.8866544789762339E-2</v>
      </c>
      <c r="F72" s="6">
        <v>8.762949421084705E-2</v>
      </c>
      <c r="G72" s="6">
        <v>0.11419865935405241</v>
      </c>
      <c r="H72" s="6">
        <v>0.10524070688604509</v>
      </c>
      <c r="I72" s="6">
        <v>0.17288238878732481</v>
      </c>
      <c r="J72" s="6">
        <v>2.9920780012187689E-2</v>
      </c>
      <c r="K72" s="6">
        <v>0.13187081048141377</v>
      </c>
      <c r="L72" s="6">
        <v>7.4344911639244365E-2</v>
      </c>
      <c r="M72" s="6">
        <v>0.2154174283973187</v>
      </c>
      <c r="N72" s="6">
        <v>1.0444109328536734E-2</v>
      </c>
      <c r="O72" s="6">
        <v>1.2860577650998989E-2</v>
      </c>
      <c r="P72" s="6">
        <v>0.10462883894450602</v>
      </c>
      <c r="Q72" s="6">
        <v>2.516397463616708E-3</v>
      </c>
      <c r="R72" s="6">
        <v>0.11210535559633472</v>
      </c>
      <c r="S72" s="6">
        <v>0.11197211674146211</v>
      </c>
      <c r="T72" s="6">
        <v>0.4100274350914806</v>
      </c>
      <c r="U72" s="6">
        <v>0.15180447803678604</v>
      </c>
      <c r="V72" s="6">
        <v>3.3948654590381364E-2</v>
      </c>
      <c r="W72" s="6">
        <v>0.99997872657263809</v>
      </c>
    </row>
    <row r="73" spans="1:23">
      <c r="A73" s="6" t="s">
        <v>194</v>
      </c>
      <c r="B73" s="6" t="s">
        <v>196</v>
      </c>
      <c r="C73" s="6">
        <v>4.6805530908724656E-2</v>
      </c>
      <c r="D73" s="6">
        <v>8.5562045291525772E-3</v>
      </c>
      <c r="E73" s="6">
        <v>5.4821190695768011E-2</v>
      </c>
      <c r="F73" s="6">
        <v>9.2683676606209658E-2</v>
      </c>
      <c r="G73" s="6">
        <v>0.12547392150835127</v>
      </c>
      <c r="H73" s="6">
        <v>0.10303309765344811</v>
      </c>
      <c r="I73" s="6">
        <v>0.162055538477303</v>
      </c>
      <c r="J73" s="6">
        <v>2.8947638077671891E-2</v>
      </c>
      <c r="K73" s="6">
        <v>0.13146838815452402</v>
      </c>
      <c r="L73" s="6">
        <v>8.5049697714929803E-2</v>
      </c>
      <c r="M73" s="6">
        <v>0.20816682037093964</v>
      </c>
      <c r="N73" s="6">
        <v>9.2325696279634151E-3</v>
      </c>
      <c r="O73" s="6">
        <v>1.1158219864652928E-2</v>
      </c>
      <c r="P73" s="6">
        <v>0.15780739660721052</v>
      </c>
      <c r="Q73" s="6">
        <v>2.6234886163615523E-3</v>
      </c>
      <c r="R73" s="6">
        <v>0.12324401321816203</v>
      </c>
      <c r="S73" s="6">
        <v>0.10556544093313701</v>
      </c>
      <c r="T73" s="6">
        <v>0.37625718821492465</v>
      </c>
      <c r="U73" s="6">
        <v>0.13783147323034423</v>
      </c>
      <c r="V73" s="6">
        <v>2.9477076848552285E-2</v>
      </c>
      <c r="W73" s="6">
        <v>0.99997872657263809</v>
      </c>
    </row>
    <row r="74" spans="1:23">
      <c r="A74" s="6" t="s">
        <v>195</v>
      </c>
      <c r="B74" s="6" t="s">
        <v>196</v>
      </c>
      <c r="C74" s="6">
        <v>4.7560943197001951E-2</v>
      </c>
      <c r="D74" s="6">
        <v>1.0770168664905507E-2</v>
      </c>
      <c r="E74" s="6">
        <v>5.2580776264986792E-2</v>
      </c>
      <c r="F74" s="6">
        <v>0.10333265596423491</v>
      </c>
      <c r="G74" s="6">
        <v>0.11328998171103434</v>
      </c>
      <c r="H74" s="6">
        <v>0.10851452956716115</v>
      </c>
      <c r="I74" s="6">
        <v>0.17100182889656573</v>
      </c>
      <c r="J74" s="6">
        <v>3.1040438935175777E-2</v>
      </c>
      <c r="K74" s="6">
        <v>0.13117252590936801</v>
      </c>
      <c r="L74" s="6">
        <v>7.3054257264783581E-2</v>
      </c>
      <c r="M74" s="6">
        <v>0.20498882340987604</v>
      </c>
      <c r="N74" s="6">
        <v>8.5002742413662295E-3</v>
      </c>
      <c r="O74" s="6">
        <v>9.4981745431525436E-3</v>
      </c>
      <c r="P74" s="6">
        <v>0.14654637095312767</v>
      </c>
      <c r="Q74" s="6">
        <v>2.3872288091159278E-3</v>
      </c>
      <c r="R74" s="6">
        <v>0.10348926834336469</v>
      </c>
      <c r="S74" s="6">
        <v>9.8195322674566113E-2</v>
      </c>
      <c r="T74" s="6">
        <v>0.41886442328369605</v>
      </c>
      <c r="U74" s="6">
        <v>0.13457881600216492</v>
      </c>
      <c r="V74" s="6">
        <v>3.0384010399425905E-2</v>
      </c>
      <c r="W74" s="6">
        <v>0.99997872657263809</v>
      </c>
    </row>
    <row r="75" spans="1:23">
      <c r="A75" s="6" t="s">
        <v>275</v>
      </c>
      <c r="B75" s="6" t="s">
        <v>196</v>
      </c>
      <c r="C75" s="6">
        <v>5.1883808549234849E-2</v>
      </c>
      <c r="D75" s="6">
        <v>9.0098166659195837E-3</v>
      </c>
      <c r="E75" s="6">
        <v>5.6120848088215519E-2</v>
      </c>
      <c r="F75" s="6">
        <v>8.6736294768927344E-2</v>
      </c>
      <c r="G75" s="6">
        <v>0.10829709982518267</v>
      </c>
      <c r="H75" s="6">
        <v>0.11327267022278005</v>
      </c>
      <c r="I75" s="6">
        <v>0.17540006275494197</v>
      </c>
      <c r="J75" s="6">
        <v>3.0839571473396388E-2</v>
      </c>
      <c r="K75" s="6">
        <v>0.14568111524496841</v>
      </c>
      <c r="L75" s="6">
        <v>7.38267067102963E-2</v>
      </c>
      <c r="M75" s="6">
        <v>0.20086063920390873</v>
      </c>
      <c r="N75" s="6">
        <v>7.7887343597376618E-3</v>
      </c>
      <c r="O75" s="6">
        <v>9.5795153262942471E-3</v>
      </c>
      <c r="P75" s="6">
        <v>0.13201311688915762</v>
      </c>
      <c r="Q75" s="6">
        <v>2.9233917856644493E-3</v>
      </c>
      <c r="R75" s="6">
        <v>0.10471417275222103</v>
      </c>
      <c r="S75" s="6">
        <v>0.1014419275315131</v>
      </c>
      <c r="T75" s="6">
        <v>0.42030559560909808</v>
      </c>
      <c r="U75" s="6">
        <v>0.13794595097446394</v>
      </c>
      <c r="V75" s="6">
        <v>3.1415414670449789E-2</v>
      </c>
      <c r="W75" s="6">
        <v>0.99997872657263809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5A53-D2F6-42AD-AFB8-B240A330E7CD}">
  <dimension ref="A1:V75"/>
  <sheetViews>
    <sheetView workbookViewId="0">
      <selection activeCell="P12" sqref="P12"/>
    </sheetView>
  </sheetViews>
  <sheetFormatPr defaultRowHeight="15"/>
  <cols>
    <col min="1" max="2" width="9.140625" style="6"/>
    <col min="3" max="3" width="13.7109375" style="6" customWidth="1"/>
    <col min="4" max="5" width="9.140625" style="6"/>
    <col min="6" max="6" width="9.5703125" style="6" customWidth="1"/>
    <col min="7" max="7" width="9.28515625" style="6" customWidth="1"/>
    <col min="8" max="11" width="9.140625" style="6"/>
    <col min="12" max="12" width="48.140625" style="6" bestFit="1" customWidth="1"/>
    <col min="13" max="22" width="9.140625" style="6"/>
  </cols>
  <sheetData>
    <row r="1" spans="1:22">
      <c r="A1" s="5" t="s">
        <v>278</v>
      </c>
      <c r="B1" s="5" t="s">
        <v>276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>
      <c r="A2" s="6" t="s">
        <v>160</v>
      </c>
      <c r="B2" s="6" t="s">
        <v>0</v>
      </c>
      <c r="C2" s="6">
        <v>4.0718259989883661E-2</v>
      </c>
      <c r="D2" s="6">
        <v>0.30639858371269602</v>
      </c>
      <c r="E2" s="6">
        <v>6.6894284269094592E-2</v>
      </c>
      <c r="F2" s="6">
        <v>8.3839150227617606E-2</v>
      </c>
      <c r="G2" s="6">
        <v>0.26188669701568035</v>
      </c>
      <c r="H2" s="6">
        <v>7.6378351036924627E-2</v>
      </c>
      <c r="I2" s="6">
        <v>0.10862417804754679</v>
      </c>
      <c r="J2" s="6">
        <v>8.5988872028325749E-3</v>
      </c>
      <c r="K2" s="6">
        <v>3.4522003034901369E-2</v>
      </c>
      <c r="L2" s="6">
        <v>1.1507334344967122E-2</v>
      </c>
    </row>
    <row r="3" spans="1:22">
      <c r="A3" s="6" t="s">
        <v>161</v>
      </c>
      <c r="B3" s="6" t="s">
        <v>0</v>
      </c>
      <c r="C3" s="6">
        <v>2.5708566009904121E-2</v>
      </c>
      <c r="D3" s="6">
        <v>0.27805289221367613</v>
      </c>
      <c r="E3" s="6">
        <v>7.1857549257191025E-2</v>
      </c>
      <c r="F3" s="6">
        <v>6.8064482140975657E-2</v>
      </c>
      <c r="G3" s="6">
        <v>0.33768833631861761</v>
      </c>
      <c r="H3" s="6">
        <v>5.4156569381519332E-2</v>
      </c>
      <c r="I3" s="6">
        <v>0.11884943630808134</v>
      </c>
      <c r="J3" s="6">
        <v>6.8485934042777372E-3</v>
      </c>
      <c r="K3" s="6">
        <v>2.8131914445263934E-2</v>
      </c>
      <c r="L3" s="6">
        <v>1.0220208618691391E-2</v>
      </c>
    </row>
    <row r="4" spans="1:22">
      <c r="A4" s="6" t="s">
        <v>162</v>
      </c>
      <c r="B4" s="6" t="s">
        <v>0</v>
      </c>
      <c r="C4" s="6">
        <v>1.6759202138597575E-2</v>
      </c>
      <c r="D4" s="6">
        <v>0.31770512029611353</v>
      </c>
      <c r="E4" s="6">
        <v>6.950442113921447E-2</v>
      </c>
      <c r="F4" s="6">
        <v>6.950442113921447E-2</v>
      </c>
      <c r="G4" s="6">
        <v>0.30989101377750361</v>
      </c>
      <c r="H4" s="6">
        <v>5.9736787990952084E-2</v>
      </c>
      <c r="I4" s="6">
        <v>0.11320172732880937</v>
      </c>
      <c r="J4" s="6">
        <v>8.4310096648159572E-3</v>
      </c>
      <c r="K4" s="6">
        <v>2.4470491466173146E-2</v>
      </c>
      <c r="L4" s="6">
        <v>1.0795805058605799E-2</v>
      </c>
    </row>
    <row r="5" spans="1:22">
      <c r="A5" s="6" t="s">
        <v>163</v>
      </c>
      <c r="B5" s="6" t="s">
        <v>0</v>
      </c>
      <c r="C5" s="6">
        <v>1.95446735395189E-2</v>
      </c>
      <c r="D5" s="6">
        <v>0.34783075601374569</v>
      </c>
      <c r="E5" s="6">
        <v>8.5158934707903783E-2</v>
      </c>
      <c r="F5" s="6">
        <v>7.9359965635738827E-2</v>
      </c>
      <c r="G5" s="6">
        <v>0.25891323024054985</v>
      </c>
      <c r="H5" s="6">
        <v>6.9909793814432991E-2</v>
      </c>
      <c r="I5" s="6">
        <v>8.2152061855670103E-2</v>
      </c>
      <c r="J5" s="6">
        <v>9.8797250859106525E-3</v>
      </c>
      <c r="K5" s="6">
        <v>3.2646048109965638E-2</v>
      </c>
      <c r="L5" s="6">
        <v>1.4497422680412372E-2</v>
      </c>
    </row>
    <row r="6" spans="1:22">
      <c r="A6" s="6" t="s">
        <v>164</v>
      </c>
      <c r="B6" s="6" t="s">
        <v>0</v>
      </c>
      <c r="C6" s="6">
        <v>2.1352985638699924E-2</v>
      </c>
      <c r="D6" s="6">
        <v>0.34665532879818595</v>
      </c>
      <c r="E6" s="6">
        <v>9.0419501133786842E-2</v>
      </c>
      <c r="F6" s="6">
        <v>8.626228269085412E-2</v>
      </c>
      <c r="G6" s="6">
        <v>0.23138699924414211</v>
      </c>
      <c r="H6" s="6">
        <v>7.7947845804988661E-2</v>
      </c>
      <c r="I6" s="6">
        <v>8.390022675736962E-2</v>
      </c>
      <c r="J6" s="6">
        <v>1.0582010582010581E-2</v>
      </c>
      <c r="K6" s="6">
        <v>3.826530612244898E-2</v>
      </c>
      <c r="L6" s="6">
        <v>1.3321995464852607E-2</v>
      </c>
    </row>
    <row r="7" spans="1:22">
      <c r="A7" s="6" t="s">
        <v>165</v>
      </c>
      <c r="B7" s="6" t="s">
        <v>0</v>
      </c>
      <c r="C7" s="6">
        <v>2.3231511254019292E-2</v>
      </c>
      <c r="D7" s="6">
        <v>0.31816720257234726</v>
      </c>
      <c r="E7" s="6">
        <v>9.3971061093247585E-2</v>
      </c>
      <c r="F7" s="6">
        <v>8.5048231511254013E-2</v>
      </c>
      <c r="G7" s="6">
        <v>0.24935691318327974</v>
      </c>
      <c r="H7" s="6">
        <v>7.3311897106109331E-2</v>
      </c>
      <c r="I7" s="6">
        <v>9.7266881028938906E-2</v>
      </c>
      <c r="J7" s="6">
        <v>1.1736334405144695E-2</v>
      </c>
      <c r="K7" s="6">
        <v>3.4565916398713828E-2</v>
      </c>
      <c r="L7" s="6">
        <v>1.2942122186495177E-2</v>
      </c>
    </row>
    <row r="8" spans="1:22">
      <c r="A8" s="6" t="s">
        <v>166</v>
      </c>
      <c r="B8" s="6" t="s">
        <v>0</v>
      </c>
      <c r="C8" s="6">
        <v>2.6801045166106756E-2</v>
      </c>
      <c r="D8" s="6">
        <v>0.28361328854050016</v>
      </c>
      <c r="E8" s="6">
        <v>0.10623366927958193</v>
      </c>
      <c r="F8" s="6">
        <v>8.1522956326987681E-2</v>
      </c>
      <c r="G8" s="6">
        <v>0.24934677118327733</v>
      </c>
      <c r="H8" s="6">
        <v>6.9130272489734981E-2</v>
      </c>
      <c r="I8" s="6">
        <v>0.12482269503546099</v>
      </c>
      <c r="J8" s="6">
        <v>1.2915266890630833E-2</v>
      </c>
      <c r="K8" s="6">
        <v>3.0085852930197835E-2</v>
      </c>
      <c r="L8" s="6">
        <v>1.5453527435610303E-2</v>
      </c>
    </row>
    <row r="9" spans="1:22">
      <c r="A9" s="6" t="s">
        <v>167</v>
      </c>
      <c r="B9" s="6" t="s">
        <v>0</v>
      </c>
      <c r="C9" s="6">
        <v>4.4060276906601394E-2</v>
      </c>
      <c r="D9" s="6">
        <v>0.27071062495219156</v>
      </c>
      <c r="E9" s="6">
        <v>0.11435783676279354</v>
      </c>
      <c r="F9" s="6">
        <v>8.8732502103572253E-2</v>
      </c>
      <c r="G9" s="6">
        <v>0.20569111910043603</v>
      </c>
      <c r="H9" s="6">
        <v>7.0450546928784524E-2</v>
      </c>
      <c r="I9" s="6">
        <v>0.14357836762793544</v>
      </c>
      <c r="J9" s="6">
        <v>1.3845330069609118E-2</v>
      </c>
      <c r="K9" s="6">
        <v>3.1515336954027383E-2</v>
      </c>
      <c r="L9" s="6">
        <v>1.7058058594048804E-2</v>
      </c>
    </row>
    <row r="10" spans="1:22">
      <c r="A10" s="6" t="s">
        <v>168</v>
      </c>
      <c r="B10" s="6" t="s">
        <v>0</v>
      </c>
      <c r="C10" s="6">
        <v>4.1695665928503635E-2</v>
      </c>
      <c r="D10" s="6">
        <v>0.18298006959822841</v>
      </c>
      <c r="E10" s="6">
        <v>0.11135716545397026</v>
      </c>
      <c r="F10" s="6">
        <v>6.6434672571970901E-2</v>
      </c>
      <c r="G10" s="6">
        <v>0.36450490351154696</v>
      </c>
      <c r="H10" s="6">
        <v>6.8585890540968045E-2</v>
      </c>
      <c r="I10" s="6">
        <v>0.10433407149636191</v>
      </c>
      <c r="J10" s="6">
        <v>1.2401138880101234E-2</v>
      </c>
      <c r="K10" s="6">
        <v>3.163555836760519E-2</v>
      </c>
      <c r="L10" s="6">
        <v>1.6007592534008224E-2</v>
      </c>
    </row>
    <row r="11" spans="1:22">
      <c r="A11" s="6" t="s">
        <v>169</v>
      </c>
      <c r="B11" s="6" t="s">
        <v>0</v>
      </c>
      <c r="C11" s="6">
        <v>4.3195163071914421E-2</v>
      </c>
      <c r="D11" s="6">
        <v>0.20010464507877448</v>
      </c>
      <c r="E11" s="6">
        <v>0.10662170804023022</v>
      </c>
      <c r="F11" s="6">
        <v>6.9937794314284055E-2</v>
      </c>
      <c r="G11" s="6">
        <v>0.35125864775303761</v>
      </c>
      <c r="H11" s="6">
        <v>6.720539503517238E-2</v>
      </c>
      <c r="I11" s="6">
        <v>0.10016859484913668</v>
      </c>
      <c r="J11" s="6">
        <v>1.1220277890820302E-2</v>
      </c>
      <c r="K11" s="6">
        <v>3.2439974420091854E-2</v>
      </c>
      <c r="L11" s="6">
        <v>1.7615254927039126E-2</v>
      </c>
    </row>
    <row r="12" spans="1:22">
      <c r="A12" s="6" t="s">
        <v>170</v>
      </c>
      <c r="B12" s="6" t="s">
        <v>0</v>
      </c>
      <c r="C12" s="6">
        <v>3.7410926365795724E-2</v>
      </c>
      <c r="D12" s="6">
        <v>0.25804961731327525</v>
      </c>
      <c r="E12" s="6">
        <v>0.14133016627078385</v>
      </c>
      <c r="F12" s="6">
        <v>7.7724993401953019E-2</v>
      </c>
      <c r="G12" s="6">
        <v>0.33102401689100025</v>
      </c>
      <c r="H12" s="6">
        <v>7.4887833201372392E-2</v>
      </c>
      <c r="I12" s="6">
        <v>1.1876484560570071E-2</v>
      </c>
      <c r="J12" s="6">
        <v>1.1612562681446292E-2</v>
      </c>
      <c r="K12" s="6">
        <v>3.5959356030614939E-2</v>
      </c>
      <c r="L12" s="6">
        <v>1.9860121404064398E-2</v>
      </c>
    </row>
    <row r="13" spans="1:22">
      <c r="A13" s="6" t="s">
        <v>171</v>
      </c>
      <c r="B13" s="6" t="s">
        <v>0</v>
      </c>
      <c r="C13" s="6">
        <v>4.396573444192492E-2</v>
      </c>
      <c r="D13" s="6">
        <v>0.26221970269589318</v>
      </c>
      <c r="E13" s="6">
        <v>0.1391408415217939</v>
      </c>
      <c r="F13" s="6">
        <v>8.7364575459813548E-2</v>
      </c>
      <c r="G13" s="6">
        <v>0.30750818846056943</v>
      </c>
      <c r="H13" s="6">
        <v>7.5081884605694135E-2</v>
      </c>
      <c r="I13" s="6">
        <v>1.0330057949105569E-2</v>
      </c>
      <c r="J13" s="6">
        <v>1.3416477702191988E-2</v>
      </c>
      <c r="K13" s="6">
        <v>3.9430587049634667E-2</v>
      </c>
      <c r="L13" s="6">
        <v>2.1667926429831192E-2</v>
      </c>
    </row>
    <row r="14" spans="1:22">
      <c r="A14" s="6" t="s">
        <v>172</v>
      </c>
      <c r="B14" s="6" t="s">
        <v>0</v>
      </c>
      <c r="C14" s="6">
        <v>4.2077511204851044E-2</v>
      </c>
      <c r="D14" s="6">
        <v>0.26564724492486158</v>
      </c>
      <c r="E14" s="6">
        <v>0.14363300817295016</v>
      </c>
      <c r="F14" s="6">
        <v>8.9111521223306095E-2</v>
      </c>
      <c r="G14" s="6">
        <v>0.28505141049301347</v>
      </c>
      <c r="H14" s="6">
        <v>7.6983917743211172E-2</v>
      </c>
      <c r="I14" s="6">
        <v>1.1020300553651463E-2</v>
      </c>
      <c r="J14" s="6">
        <v>1.3551278671236488E-2</v>
      </c>
      <c r="K14" s="6">
        <v>5.1515950435011865E-2</v>
      </c>
      <c r="L14" s="6">
        <v>2.1882414974953864E-2</v>
      </c>
    </row>
    <row r="15" spans="1:22">
      <c r="A15" s="6" t="s">
        <v>173</v>
      </c>
      <c r="B15" s="6" t="s">
        <v>0</v>
      </c>
      <c r="C15" s="6">
        <v>4.6837342549224684E-2</v>
      </c>
      <c r="D15" s="6">
        <v>0.28961848028739029</v>
      </c>
      <c r="E15" s="6">
        <v>0.13864762857532628</v>
      </c>
      <c r="F15" s="6">
        <v>7.7804556409440229E-2</v>
      </c>
      <c r="G15" s="6">
        <v>0.28561684325405851</v>
      </c>
      <c r="H15" s="6">
        <v>7.430312400527489E-2</v>
      </c>
      <c r="I15" s="6">
        <v>1.0185985175753717E-2</v>
      </c>
      <c r="J15" s="6">
        <v>1.1732072211359192E-2</v>
      </c>
      <c r="K15" s="6">
        <v>4.5336728661725251E-2</v>
      </c>
      <c r="L15" s="6">
        <v>1.978081942612887E-2</v>
      </c>
    </row>
    <row r="16" spans="1:22">
      <c r="A16" s="6" t="s">
        <v>174</v>
      </c>
      <c r="B16" s="6" t="s">
        <v>0</v>
      </c>
      <c r="C16" s="6">
        <v>5.5245482924983443E-2</v>
      </c>
      <c r="D16" s="6">
        <v>0.28152492668621704</v>
      </c>
      <c r="E16" s="6">
        <v>0.13655283322296849</v>
      </c>
      <c r="F16" s="6">
        <v>7.6955822533345944E-2</v>
      </c>
      <c r="G16" s="6">
        <v>0.28185602119004827</v>
      </c>
      <c r="H16" s="6">
        <v>7.7759909185507514E-2</v>
      </c>
      <c r="I16" s="6">
        <v>1.0878819411597768E-2</v>
      </c>
      <c r="J16" s="6">
        <v>1.3291079368082491E-2</v>
      </c>
      <c r="K16" s="6">
        <v>4.5359947024879388E-2</v>
      </c>
      <c r="L16" s="6">
        <v>2.0764355311701826E-2</v>
      </c>
    </row>
    <row r="17" spans="1:12">
      <c r="A17" s="6" t="s">
        <v>175</v>
      </c>
      <c r="B17" s="6" t="s">
        <v>0</v>
      </c>
      <c r="C17" s="6">
        <v>5.9139456820262434E-2</v>
      </c>
      <c r="D17" s="6">
        <v>0.32401586817210865</v>
      </c>
      <c r="E17" s="6">
        <v>0.12639609398840404</v>
      </c>
      <c r="F17" s="6">
        <v>8.2453463533719865E-2</v>
      </c>
      <c r="G17" s="6">
        <v>0.22282575526396095</v>
      </c>
      <c r="H17" s="6">
        <v>7.5129691791272504E-2</v>
      </c>
      <c r="I17" s="6">
        <v>1.0863594751296918E-2</v>
      </c>
      <c r="J17" s="6">
        <v>1.7149832163564235E-2</v>
      </c>
      <c r="K17" s="6">
        <v>5.2975282270369239E-2</v>
      </c>
      <c r="L17" s="6">
        <v>2.923405553860238E-2</v>
      </c>
    </row>
    <row r="18" spans="1:12">
      <c r="A18" s="6" t="s">
        <v>176</v>
      </c>
      <c r="B18" s="6" t="s">
        <v>0</v>
      </c>
      <c r="C18" s="6">
        <v>4.0561698796359721E-2</v>
      </c>
      <c r="D18" s="6">
        <v>0.32057931304432918</v>
      </c>
      <c r="E18" s="6">
        <v>0.11630296506507486</v>
      </c>
      <c r="F18" s="6">
        <v>6.0230942362266365E-2</v>
      </c>
      <c r="G18" s="6">
        <v>0.30296506507486054</v>
      </c>
      <c r="H18" s="6">
        <v>6.2873079557686659E-2</v>
      </c>
      <c r="I18" s="6">
        <v>9.7856933163714653E-3</v>
      </c>
      <c r="J18" s="6">
        <v>1.3993541442411194E-2</v>
      </c>
      <c r="K18" s="6">
        <v>4.9760250513748897E-2</v>
      </c>
      <c r="L18" s="6">
        <v>2.2800665427145515E-2</v>
      </c>
    </row>
    <row r="19" spans="1:12">
      <c r="A19" s="6" t="s">
        <v>177</v>
      </c>
      <c r="B19" s="6" t="s">
        <v>0</v>
      </c>
      <c r="C19" s="6">
        <v>4.3598911361331982E-2</v>
      </c>
      <c r="D19" s="6">
        <v>0.36608143444153901</v>
      </c>
      <c r="E19" s="6">
        <v>0.13015635839692619</v>
      </c>
      <c r="F19" s="6">
        <v>6.5211590799935965E-2</v>
      </c>
      <c r="G19" s="6">
        <v>0.23512460643577565</v>
      </c>
      <c r="H19" s="6">
        <v>6.8787021719408717E-2</v>
      </c>
      <c r="I19" s="6">
        <v>1.1313303804898873E-2</v>
      </c>
      <c r="J19" s="6">
        <v>1.3074336944340679E-2</v>
      </c>
      <c r="K19" s="6">
        <v>4.301190031485138E-2</v>
      </c>
      <c r="L19" s="6">
        <v>2.3587171140402371E-2</v>
      </c>
    </row>
    <row r="20" spans="1:12">
      <c r="A20" s="6" t="s">
        <v>178</v>
      </c>
      <c r="B20" s="6" t="s">
        <v>0</v>
      </c>
      <c r="C20" s="6">
        <v>4.3905113126681952E-2</v>
      </c>
      <c r="D20" s="6">
        <v>0.35303498455098176</v>
      </c>
      <c r="E20" s="6">
        <v>0.12080135552676169</v>
      </c>
      <c r="F20" s="6">
        <v>6.0899033190471442E-2</v>
      </c>
      <c r="G20" s="6">
        <v>0.25879597328814913</v>
      </c>
      <c r="H20" s="6">
        <v>7.2411043556264335E-2</v>
      </c>
      <c r="I20" s="6">
        <v>1.3854280873118708E-2</v>
      </c>
      <c r="J20" s="6">
        <v>1.0814312767866043E-2</v>
      </c>
      <c r="K20" s="6">
        <v>4.355626432771853E-2</v>
      </c>
      <c r="L20" s="6">
        <v>2.1877803249277385E-2</v>
      </c>
    </row>
    <row r="21" spans="1:12">
      <c r="A21" s="6" t="s">
        <v>179</v>
      </c>
      <c r="B21" s="6" t="s">
        <v>0</v>
      </c>
      <c r="C21" s="6">
        <v>5.3244592346089852E-2</v>
      </c>
      <c r="D21" s="6">
        <v>0.38005622812553791</v>
      </c>
      <c r="E21" s="6">
        <v>0.13970967927018188</v>
      </c>
      <c r="F21" s="6">
        <v>6.3686958517413503E-2</v>
      </c>
      <c r="G21" s="6">
        <v>0.19289689597796775</v>
      </c>
      <c r="H21" s="6">
        <v>7.3727695220609332E-2</v>
      </c>
      <c r="I21" s="6">
        <v>1.2794767341786677E-2</v>
      </c>
      <c r="J21" s="6">
        <v>1.468816340581789E-2</v>
      </c>
      <c r="K21" s="6">
        <v>4.3662860749325835E-2</v>
      </c>
      <c r="L21" s="6">
        <v>2.5474783406965403E-2</v>
      </c>
    </row>
    <row r="22" spans="1:12">
      <c r="A22" s="6" t="s">
        <v>180</v>
      </c>
      <c r="B22" s="6" t="s">
        <v>0</v>
      </c>
      <c r="C22" s="6">
        <v>5.1299683674872781E-2</v>
      </c>
      <c r="D22" s="6">
        <v>0.32994086095447667</v>
      </c>
      <c r="E22" s="6">
        <v>0.12171640764681611</v>
      </c>
      <c r="F22" s="6">
        <v>5.0703708797506075E-2</v>
      </c>
      <c r="G22" s="6">
        <v>0.27955806170632191</v>
      </c>
      <c r="H22" s="6">
        <v>6.4502819419612153E-2</v>
      </c>
      <c r="I22" s="6">
        <v>1.0956768899280246E-2</v>
      </c>
      <c r="J22" s="6">
        <v>1.2332095539357263E-2</v>
      </c>
      <c r="K22" s="6">
        <v>5.1299683674872781E-2</v>
      </c>
      <c r="L22" s="6">
        <v>2.7827442350891671E-2</v>
      </c>
    </row>
    <row r="23" spans="1:12">
      <c r="A23" s="6" t="s">
        <v>181</v>
      </c>
      <c r="B23" s="6" t="s">
        <v>0</v>
      </c>
      <c r="C23" s="6">
        <v>5.322789493155753E-2</v>
      </c>
      <c r="D23" s="6">
        <v>0.30683499815020349</v>
      </c>
      <c r="E23" s="6">
        <v>9.8825379208287087E-2</v>
      </c>
      <c r="F23" s="6">
        <v>4.7817240103588607E-2</v>
      </c>
      <c r="G23" s="6">
        <v>0.29980577136514985</v>
      </c>
      <c r="H23" s="6">
        <v>7.8107658157602664E-2</v>
      </c>
      <c r="I23" s="6">
        <v>1.2578616352201259E-2</v>
      </c>
      <c r="J23" s="6">
        <v>1.4058453570107288E-2</v>
      </c>
      <c r="K23" s="6">
        <v>5.8407325194228636E-2</v>
      </c>
      <c r="L23" s="6">
        <v>3.029041805401406E-2</v>
      </c>
    </row>
    <row r="24" spans="1:12">
      <c r="A24" s="6" t="s">
        <v>182</v>
      </c>
      <c r="B24" s="6" t="s">
        <v>0</v>
      </c>
      <c r="C24" s="6">
        <v>5.4850299401197608E-2</v>
      </c>
      <c r="D24" s="6">
        <v>0.32138922155688621</v>
      </c>
      <c r="E24" s="6">
        <v>0.10347305389221557</v>
      </c>
      <c r="F24" s="6">
        <v>4.8814371257485029E-2</v>
      </c>
      <c r="G24" s="6">
        <v>0.28081437125748504</v>
      </c>
      <c r="H24" s="6">
        <v>7.4491017964071857E-2</v>
      </c>
      <c r="I24" s="6">
        <v>1.61437125748503E-2</v>
      </c>
      <c r="J24" s="6">
        <v>1.3652694610778443E-2</v>
      </c>
      <c r="K24" s="6">
        <v>4.8383233532934132E-2</v>
      </c>
      <c r="L24" s="6">
        <v>3.8227544910179642E-2</v>
      </c>
    </row>
    <row r="25" spans="1:12">
      <c r="A25" s="6" t="s">
        <v>183</v>
      </c>
      <c r="B25" s="6" t="s">
        <v>0</v>
      </c>
      <c r="C25" s="6">
        <v>4.4319497271374235E-2</v>
      </c>
      <c r="D25" s="6">
        <v>0.29477426823218122</v>
      </c>
      <c r="E25" s="6">
        <v>8.9796593352075404E-2</v>
      </c>
      <c r="F25" s="6">
        <v>4.3947411939804865E-2</v>
      </c>
      <c r="G25" s="6">
        <v>0.35100049611377543</v>
      </c>
      <c r="H25" s="6">
        <v>6.9125186042665779E-2</v>
      </c>
      <c r="I25" s="6">
        <v>1.3643128824210352E-2</v>
      </c>
      <c r="J25" s="6">
        <v>1.215478749793286E-2</v>
      </c>
      <c r="K25" s="6">
        <v>4.4484868529849515E-2</v>
      </c>
      <c r="L25" s="6">
        <v>3.6795105010749132E-2</v>
      </c>
    </row>
    <row r="26" spans="1:12">
      <c r="A26" s="6" t="s">
        <v>184</v>
      </c>
      <c r="B26" s="6" t="s">
        <v>0</v>
      </c>
      <c r="C26" s="6">
        <v>4.1521532615579483E-2</v>
      </c>
      <c r="D26" s="6">
        <v>0.28503008233058896</v>
      </c>
      <c r="E26" s="6">
        <v>8.5892970234325516E-2</v>
      </c>
      <c r="F26" s="6">
        <v>3.7721659278024067E-2</v>
      </c>
      <c r="G26" s="6">
        <v>0.35770265991133626</v>
      </c>
      <c r="H26" s="6">
        <v>8.2409753008233055E-2</v>
      </c>
      <c r="I26" s="6">
        <v>1.1676694110196327E-2</v>
      </c>
      <c r="J26" s="6">
        <v>1.0014249525015832E-2</v>
      </c>
      <c r="K26" s="6">
        <v>5.1535782140595315E-2</v>
      </c>
      <c r="L26" s="6">
        <v>3.6177960734642176E-2</v>
      </c>
    </row>
    <row r="27" spans="1:12">
      <c r="A27" s="6" t="s">
        <v>185</v>
      </c>
      <c r="B27" s="6" t="s">
        <v>0</v>
      </c>
      <c r="C27" s="6">
        <v>3.8210452550437063E-2</v>
      </c>
      <c r="D27" s="6">
        <v>0.31907203186663224</v>
      </c>
      <c r="E27" s="6">
        <v>8.5014568657101761E-2</v>
      </c>
      <c r="F27" s="6">
        <v>3.7767860435953232E-2</v>
      </c>
      <c r="G27" s="6">
        <v>0.33485781728322206</v>
      </c>
      <c r="H27" s="6">
        <v>8.1879541179507992E-2</v>
      </c>
      <c r="I27" s="6">
        <v>1.0585328071404861E-2</v>
      </c>
      <c r="J27" s="6">
        <v>9.441965108988308E-3</v>
      </c>
      <c r="K27" s="6">
        <v>4.2931435104931213E-2</v>
      </c>
      <c r="L27" s="6">
        <v>4.0312765094235238E-2</v>
      </c>
    </row>
    <row r="28" spans="1:12">
      <c r="A28" s="6" t="s">
        <v>186</v>
      </c>
      <c r="B28" s="6" t="s">
        <v>0</v>
      </c>
      <c r="C28" s="6">
        <v>5.1988554158762822E-2</v>
      </c>
      <c r="D28" s="6">
        <v>0.37211844516606113</v>
      </c>
      <c r="E28" s="6">
        <v>8.230717294151689E-2</v>
      </c>
      <c r="F28" s="6">
        <v>3.8902999710638847E-2</v>
      </c>
      <c r="G28" s="6">
        <v>0.28855737388676334</v>
      </c>
      <c r="H28" s="6">
        <v>7.5973378773751724E-2</v>
      </c>
      <c r="I28" s="6">
        <v>7.8449024209883284E-3</v>
      </c>
      <c r="J28" s="6">
        <v>9.516766871362891E-3</v>
      </c>
      <c r="K28" s="6">
        <v>3.7359740217985403E-2</v>
      </c>
      <c r="L28" s="6">
        <v>3.5527119570459439E-2</v>
      </c>
    </row>
    <row r="29" spans="1:12">
      <c r="A29" s="6" t="s">
        <v>187</v>
      </c>
      <c r="B29" s="6" t="s">
        <v>0</v>
      </c>
      <c r="C29" s="6">
        <v>5.3211781206171108E-2</v>
      </c>
      <c r="D29" s="6">
        <v>0.36852734922861152</v>
      </c>
      <c r="E29" s="6">
        <v>6.6984572230014028E-2</v>
      </c>
      <c r="F29" s="6">
        <v>3.9158485273492284E-2</v>
      </c>
      <c r="G29" s="6">
        <v>0.26196353436185132</v>
      </c>
      <c r="H29" s="6">
        <v>0.10922861150070126</v>
      </c>
      <c r="I29" s="6">
        <v>7.8821879382889194E-3</v>
      </c>
      <c r="J29" s="6">
        <v>9.2005610098176722E-3</v>
      </c>
      <c r="K29" s="6">
        <v>3.388499298737728E-2</v>
      </c>
      <c r="L29" s="6">
        <v>4.9901823281907433E-2</v>
      </c>
    </row>
    <row r="30" spans="1:12">
      <c r="A30" s="6" t="s">
        <v>188</v>
      </c>
      <c r="B30" s="6" t="s">
        <v>0</v>
      </c>
      <c r="C30" s="6">
        <v>5.7447656417645078E-2</v>
      </c>
      <c r="D30" s="6">
        <v>0.33990374298764597</v>
      </c>
      <c r="E30" s="6">
        <v>6.7686459642561536E-2</v>
      </c>
      <c r="F30" s="6">
        <v>4.2273382177125167E-2</v>
      </c>
      <c r="G30" s="6">
        <v>0.23236565402654732</v>
      </c>
      <c r="H30" s="6">
        <v>0.12731062812298827</v>
      </c>
      <c r="I30" s="6">
        <v>9.7789767327794985E-3</v>
      </c>
      <c r="J30" s="6">
        <v>1.1127801109714602E-2</v>
      </c>
      <c r="K30" s="6">
        <v>3.5989086784586614E-2</v>
      </c>
      <c r="L30" s="6">
        <v>7.5963336501026948E-2</v>
      </c>
    </row>
    <row r="31" spans="1:12">
      <c r="A31" s="6" t="s">
        <v>189</v>
      </c>
      <c r="B31" s="6" t="s">
        <v>0</v>
      </c>
      <c r="C31" s="6">
        <v>4.4212482238496012E-2</v>
      </c>
      <c r="D31" s="6">
        <v>0.32336867417204068</v>
      </c>
      <c r="E31" s="6">
        <v>6.4078041315990819E-2</v>
      </c>
      <c r="F31" s="6">
        <v>3.891135643239698E-2</v>
      </c>
      <c r="G31" s="6">
        <v>0.25510984807082743</v>
      </c>
      <c r="H31" s="6">
        <v>0.13933216744999455</v>
      </c>
      <c r="I31" s="6">
        <v>9.0173789485189643E-3</v>
      </c>
      <c r="J31" s="6">
        <v>1.0083069187889386E-2</v>
      </c>
      <c r="K31" s="6">
        <v>3.3610230626297956E-2</v>
      </c>
      <c r="L31" s="6">
        <v>8.2276751557547267E-2</v>
      </c>
    </row>
    <row r="32" spans="1:12">
      <c r="A32" s="6" t="s">
        <v>190</v>
      </c>
      <c r="B32" s="6" t="s">
        <v>0</v>
      </c>
      <c r="C32" s="6">
        <v>5.1742224490374529E-2</v>
      </c>
      <c r="D32" s="6">
        <v>0.38572765161180572</v>
      </c>
      <c r="E32" s="6">
        <v>7.0341073403079019E-2</v>
      </c>
      <c r="F32" s="6">
        <v>4.1648946726772704E-2</v>
      </c>
      <c r="G32" s="6">
        <v>0.20770604746108701</v>
      </c>
      <c r="H32" s="6">
        <v>0.10113124096283066</v>
      </c>
      <c r="I32" s="6">
        <v>8.5055711491026625E-3</v>
      </c>
      <c r="J32" s="6">
        <v>1.1142298205324487E-2</v>
      </c>
      <c r="K32" s="6">
        <v>3.8530237305435061E-2</v>
      </c>
      <c r="L32" s="6">
        <v>8.352470868418814E-2</v>
      </c>
    </row>
    <row r="33" spans="1:12">
      <c r="A33" s="6" t="s">
        <v>191</v>
      </c>
      <c r="B33" s="6" t="s">
        <v>0</v>
      </c>
      <c r="C33" s="6">
        <v>5.6468963319078858E-2</v>
      </c>
      <c r="D33" s="6">
        <v>0.43724932933145633</v>
      </c>
      <c r="E33" s="6">
        <v>6.6084092538978456E-2</v>
      </c>
      <c r="F33" s="6">
        <v>4.0611968445377032E-2</v>
      </c>
      <c r="G33" s="6">
        <v>0.15647161943212304</v>
      </c>
      <c r="H33" s="6">
        <v>0.1092193683763181</v>
      </c>
      <c r="I33" s="6">
        <v>7.1183829583787083E-3</v>
      </c>
      <c r="J33" s="6">
        <v>1.1288480437727429E-2</v>
      </c>
      <c r="K33" s="6">
        <v>3.6494993226911736E-2</v>
      </c>
      <c r="L33" s="6">
        <v>7.9072485324975433E-2</v>
      </c>
    </row>
    <row r="34" spans="1:12">
      <c r="A34" s="6" t="s">
        <v>192</v>
      </c>
      <c r="B34" s="6" t="s">
        <v>0</v>
      </c>
      <c r="C34" s="6">
        <v>5.4704165263276074E-2</v>
      </c>
      <c r="D34" s="6">
        <v>0.41273717300999213</v>
      </c>
      <c r="E34" s="6">
        <v>7.1404513304142811E-2</v>
      </c>
      <c r="F34" s="6">
        <v>3.449534074323566E-2</v>
      </c>
      <c r="G34" s="6">
        <v>0.18075670820702819</v>
      </c>
      <c r="H34" s="6">
        <v>0.11583585943639833</v>
      </c>
      <c r="I34" s="6">
        <v>7.9431907488492198E-3</v>
      </c>
      <c r="J34" s="6">
        <v>1.2546311889525093E-2</v>
      </c>
      <c r="K34" s="6">
        <v>3.6768833501740206E-2</v>
      </c>
      <c r="L34" s="6">
        <v>7.272370046031211E-2</v>
      </c>
    </row>
    <row r="35" spans="1:12">
      <c r="A35" s="6" t="s">
        <v>193</v>
      </c>
      <c r="B35" s="6" t="s">
        <v>0</v>
      </c>
      <c r="C35" s="6">
        <v>3.780431786862655E-2</v>
      </c>
      <c r="D35" s="6">
        <v>0.33994028479559024</v>
      </c>
      <c r="E35" s="6">
        <v>6.768488745980708E-2</v>
      </c>
      <c r="F35" s="6">
        <v>2.7721635277905374E-2</v>
      </c>
      <c r="G35" s="6">
        <v>0.32395498392282956</v>
      </c>
      <c r="H35" s="6">
        <v>0.10362884703720716</v>
      </c>
      <c r="I35" s="6">
        <v>7.3036288470372072E-3</v>
      </c>
      <c r="J35" s="6">
        <v>1.0932475884244373E-2</v>
      </c>
      <c r="K35" s="6">
        <v>3.2705558107487369E-2</v>
      </c>
      <c r="L35" s="6">
        <v>4.8346348185576482E-2</v>
      </c>
    </row>
    <row r="36" spans="1:12">
      <c r="A36" s="6" t="s">
        <v>194</v>
      </c>
      <c r="B36" s="6" t="s">
        <v>0</v>
      </c>
      <c r="C36" s="6">
        <v>2.8575731335416587E-2</v>
      </c>
      <c r="D36" s="6">
        <v>0.31248823462972025</v>
      </c>
      <c r="E36" s="6">
        <v>6.3721245435036336E-2</v>
      </c>
      <c r="F36" s="6">
        <v>2.2683633899326081E-2</v>
      </c>
      <c r="G36" s="6">
        <v>0.3891419750762396</v>
      </c>
      <c r="H36" s="6">
        <v>9.4631226233952037E-2</v>
      </c>
      <c r="I36" s="6">
        <v>6.042694175671097E-3</v>
      </c>
      <c r="J36" s="6">
        <v>9.7323142953955055E-3</v>
      </c>
      <c r="K36" s="6">
        <v>3.2359474417378867E-2</v>
      </c>
      <c r="L36" s="6">
        <v>4.0661119686758784E-2</v>
      </c>
    </row>
    <row r="37" spans="1:12">
      <c r="A37" s="6" t="s">
        <v>195</v>
      </c>
      <c r="B37" s="6" t="s">
        <v>0</v>
      </c>
      <c r="C37" s="6">
        <v>2.2575754808307001E-2</v>
      </c>
      <c r="D37" s="6">
        <v>0.32508356317010356</v>
      </c>
      <c r="E37" s="6">
        <v>5.4795521379385925E-2</v>
      </c>
      <c r="F37" s="6">
        <v>2.4584923925551151E-2</v>
      </c>
      <c r="G37" s="6">
        <v>0.37677400500465763</v>
      </c>
      <c r="H37" s="6">
        <v>0.10760013881532082</v>
      </c>
      <c r="I37" s="6">
        <v>5.4247566165592067E-3</v>
      </c>
      <c r="J37" s="6">
        <v>9.2969734607024779E-3</v>
      </c>
      <c r="K37" s="6">
        <v>3.1726606878664451E-2</v>
      </c>
      <c r="L37" s="6">
        <v>4.2265612157299674E-2</v>
      </c>
    </row>
    <row r="38" spans="1:12">
      <c r="A38" s="6" t="s">
        <v>275</v>
      </c>
      <c r="B38" s="6" t="s">
        <v>0</v>
      </c>
      <c r="C38" s="6">
        <v>2.1131302401456806E-2</v>
      </c>
      <c r="D38" s="6">
        <v>0.40553511134716796</v>
      </c>
      <c r="E38" s="6">
        <v>6.5195948252968622E-2</v>
      </c>
      <c r="F38" s="6">
        <v>2.3274782806631512E-2</v>
      </c>
      <c r="G38" s="6">
        <v>0.26089760613073332</v>
      </c>
      <c r="H38" s="6">
        <v>0.13519101635115141</v>
      </c>
      <c r="I38" s="6">
        <v>5.6716870897985504E-3</v>
      </c>
      <c r="J38" s="6">
        <v>1.0413900375583292E-2</v>
      </c>
      <c r="K38" s="6">
        <v>2.9932850259873287E-2</v>
      </c>
      <c r="L38" s="6">
        <v>4.2812701544064649E-2</v>
      </c>
    </row>
    <row r="39" spans="1:12">
      <c r="A39" s="6" t="s">
        <v>160</v>
      </c>
      <c r="B39" s="6" t="s">
        <v>196</v>
      </c>
      <c r="C39" s="6">
        <v>9.1232227488151657E-2</v>
      </c>
      <c r="D39" s="6">
        <v>1.481042654028436E-2</v>
      </c>
      <c r="E39" s="6">
        <v>5.3317535545023699E-2</v>
      </c>
      <c r="F39" s="6">
        <v>0.24052132701421802</v>
      </c>
      <c r="G39" s="6">
        <v>4.0876777251184833E-2</v>
      </c>
      <c r="H39" s="6">
        <v>0.18483412322274881</v>
      </c>
      <c r="I39" s="6">
        <v>2.1919431279620854E-2</v>
      </c>
      <c r="J39" s="6">
        <v>0.2126777251184834</v>
      </c>
      <c r="K39" s="6">
        <v>3.5545023696682464E-2</v>
      </c>
      <c r="L39" s="6">
        <v>0.10485781990521327</v>
      </c>
    </row>
    <row r="40" spans="1:12">
      <c r="A40" s="6" t="s">
        <v>161</v>
      </c>
      <c r="B40" s="6" t="s">
        <v>196</v>
      </c>
      <c r="C40" s="6">
        <v>7.8278900984966301E-2</v>
      </c>
      <c r="D40" s="6">
        <v>1.5552099533437015E-2</v>
      </c>
      <c r="E40" s="6">
        <v>4.9766718506998445E-2</v>
      </c>
      <c r="F40" s="6">
        <v>0.2286158631415241</v>
      </c>
      <c r="G40" s="6">
        <v>4.4582685329186106E-2</v>
      </c>
      <c r="H40" s="6">
        <v>0.21669258683255574</v>
      </c>
      <c r="I40" s="6">
        <v>2.5401762571280455E-2</v>
      </c>
      <c r="J40" s="6">
        <v>0.18506998444790046</v>
      </c>
      <c r="K40" s="6">
        <v>3.4733022291342668E-2</v>
      </c>
      <c r="L40" s="6">
        <v>0.12078797304302748</v>
      </c>
    </row>
    <row r="41" spans="1:12">
      <c r="A41" s="6" t="s">
        <v>162</v>
      </c>
      <c r="B41" s="6" t="s">
        <v>196</v>
      </c>
      <c r="C41" s="6">
        <v>6.3218390804597707E-2</v>
      </c>
      <c r="D41" s="6">
        <v>1.4629049111807733E-2</v>
      </c>
      <c r="E41" s="6">
        <v>6.0083594566353184E-2</v>
      </c>
      <c r="F41" s="6">
        <v>0.22884012539184953</v>
      </c>
      <c r="G41" s="6">
        <v>5.2769070010449323E-2</v>
      </c>
      <c r="H41" s="6">
        <v>0.20271682340647859</v>
      </c>
      <c r="I41" s="6">
        <v>3.1870428422152562E-2</v>
      </c>
      <c r="J41" s="6">
        <v>0.16509926854754442</v>
      </c>
      <c r="K41" s="6">
        <v>3.6050156739811913E-2</v>
      </c>
      <c r="L41" s="6">
        <v>0.14524555903866249</v>
      </c>
    </row>
    <row r="42" spans="1:12">
      <c r="A42" s="6" t="s">
        <v>163</v>
      </c>
      <c r="B42" s="6" t="s">
        <v>196</v>
      </c>
      <c r="C42" s="6">
        <v>3.0984507746126936E-2</v>
      </c>
      <c r="D42" s="6">
        <v>1.999000499750125E-2</v>
      </c>
      <c r="E42" s="6">
        <v>6.6466766616691653E-2</v>
      </c>
      <c r="F42" s="6">
        <v>0.22638680659670166</v>
      </c>
      <c r="G42" s="6">
        <v>5.3973013493253376E-2</v>
      </c>
      <c r="H42" s="6">
        <v>0.21639180409795103</v>
      </c>
      <c r="I42" s="6">
        <v>2.8485757121439279E-2</v>
      </c>
      <c r="J42" s="6">
        <v>0.15492253873063469</v>
      </c>
      <c r="K42" s="6">
        <v>4.2478760619690158E-2</v>
      </c>
      <c r="L42" s="6">
        <v>0.16391804097951024</v>
      </c>
    </row>
    <row r="43" spans="1:12">
      <c r="A43" s="6" t="s">
        <v>164</v>
      </c>
      <c r="B43" s="6" t="s">
        <v>196</v>
      </c>
      <c r="C43" s="6">
        <v>2.751865671641791E-2</v>
      </c>
      <c r="D43" s="6">
        <v>1.8190298507462687E-2</v>
      </c>
      <c r="E43" s="6">
        <v>7.0895522388059698E-2</v>
      </c>
      <c r="F43" s="6">
        <v>0.22527985074626866</v>
      </c>
      <c r="G43" s="6">
        <v>6.1100746268656719E-2</v>
      </c>
      <c r="H43" s="6">
        <v>0.22154850746268656</v>
      </c>
      <c r="I43" s="6">
        <v>3.4048507462686568E-2</v>
      </c>
      <c r="J43" s="6">
        <v>0.15298507462686567</v>
      </c>
      <c r="K43" s="6">
        <v>3.2649253731343281E-2</v>
      </c>
      <c r="L43" s="6">
        <v>0.15764925373134328</v>
      </c>
    </row>
    <row r="44" spans="1:12">
      <c r="A44" s="6" t="s">
        <v>165</v>
      </c>
      <c r="B44" s="6" t="s">
        <v>196</v>
      </c>
      <c r="C44" s="6">
        <v>2.7242246437552388E-2</v>
      </c>
      <c r="D44" s="6">
        <v>1.6345347862531435E-2</v>
      </c>
      <c r="E44" s="6">
        <v>6.6638725901089685E-2</v>
      </c>
      <c r="F44" s="6">
        <v>0.22548197820620286</v>
      </c>
      <c r="G44" s="6">
        <v>5.8256496227996647E-2</v>
      </c>
      <c r="H44" s="6">
        <v>0.20997485331098073</v>
      </c>
      <c r="I44" s="6">
        <v>3.0595138306789605E-2</v>
      </c>
      <c r="J44" s="6">
        <v>0.15004191114836546</v>
      </c>
      <c r="K44" s="6">
        <v>3.6462699077954734E-2</v>
      </c>
      <c r="L44" s="6">
        <v>0.1768650461022632</v>
      </c>
    </row>
    <row r="45" spans="1:12">
      <c r="A45" s="6" t="s">
        <v>166</v>
      </c>
      <c r="B45" s="6" t="s">
        <v>196</v>
      </c>
      <c r="C45" s="6">
        <v>3.1395348837209305E-2</v>
      </c>
      <c r="D45" s="6">
        <v>1.627906976744186E-2</v>
      </c>
      <c r="E45" s="6">
        <v>6.2403100775193801E-2</v>
      </c>
      <c r="F45" s="6">
        <v>0.2255813953488372</v>
      </c>
      <c r="G45" s="6">
        <v>5.7364341085271317E-2</v>
      </c>
      <c r="H45" s="6">
        <v>0.19534883720930232</v>
      </c>
      <c r="I45" s="6">
        <v>2.9069767441860465E-2</v>
      </c>
      <c r="J45" s="6">
        <v>0.16937984496124031</v>
      </c>
      <c r="K45" s="6">
        <v>4.1472868217054266E-2</v>
      </c>
      <c r="L45" s="6">
        <v>0.17286821705426356</v>
      </c>
    </row>
    <row r="46" spans="1:12">
      <c r="A46" s="6" t="s">
        <v>167</v>
      </c>
      <c r="B46" s="6" t="s">
        <v>196</v>
      </c>
      <c r="C46" s="6">
        <v>3.6005434782608696E-2</v>
      </c>
      <c r="D46" s="6">
        <v>1.7323369565217392E-2</v>
      </c>
      <c r="E46" s="6">
        <v>6.2839673913043473E-2</v>
      </c>
      <c r="F46" s="6">
        <v>0.203125</v>
      </c>
      <c r="G46" s="6">
        <v>7.4048913043478257E-2</v>
      </c>
      <c r="H46" s="6">
        <v>0.1953125</v>
      </c>
      <c r="I46" s="6">
        <v>2.9891304347826088E-2</v>
      </c>
      <c r="J46" s="6">
        <v>0.17832880434782608</v>
      </c>
      <c r="K46" s="6">
        <v>3.5326086956521736E-2</v>
      </c>
      <c r="L46" s="6">
        <v>0.1688179347826087</v>
      </c>
    </row>
    <row r="47" spans="1:12">
      <c r="A47" s="6" t="s">
        <v>168</v>
      </c>
      <c r="B47" s="6" t="s">
        <v>196</v>
      </c>
      <c r="C47" s="6">
        <v>3.1528444139821796E-2</v>
      </c>
      <c r="D47" s="6">
        <v>1.9191226867717615E-2</v>
      </c>
      <c r="E47" s="6">
        <v>6.8882796435915009E-2</v>
      </c>
      <c r="F47" s="6">
        <v>0.20733379026730636</v>
      </c>
      <c r="G47" s="6">
        <v>5.6545579163810832E-2</v>
      </c>
      <c r="H47" s="6">
        <v>0.20459218642906099</v>
      </c>
      <c r="I47" s="6">
        <v>2.9814941740918439E-2</v>
      </c>
      <c r="J47" s="6">
        <v>0.16586703221384511</v>
      </c>
      <c r="K47" s="6">
        <v>3.5983550376970527E-2</v>
      </c>
      <c r="L47" s="6">
        <v>0.18060315284441397</v>
      </c>
    </row>
    <row r="48" spans="1:12">
      <c r="A48" s="6" t="s">
        <v>169</v>
      </c>
      <c r="B48" s="6" t="s">
        <v>196</v>
      </c>
      <c r="C48" s="6">
        <v>3.7629350893697081E-2</v>
      </c>
      <c r="D48" s="6">
        <v>2.1636876763875823E-2</v>
      </c>
      <c r="E48" s="6">
        <v>6.0520539354029478E-2</v>
      </c>
      <c r="F48" s="6">
        <v>0.19786767011602382</v>
      </c>
      <c r="G48" s="6">
        <v>6.3969896519285044E-2</v>
      </c>
      <c r="H48" s="6">
        <v>0.185010975227344</v>
      </c>
      <c r="I48" s="6">
        <v>2.8222013170272814E-2</v>
      </c>
      <c r="J48" s="6">
        <v>0.18250235183443086</v>
      </c>
      <c r="K48" s="6">
        <v>4.2019441831295079E-2</v>
      </c>
      <c r="L48" s="6">
        <v>0.18156161806208843</v>
      </c>
    </row>
    <row r="49" spans="1:12">
      <c r="A49" s="6" t="s">
        <v>170</v>
      </c>
      <c r="B49" s="6" t="s">
        <v>196</v>
      </c>
      <c r="C49" s="6">
        <v>3.276003276003276E-2</v>
      </c>
      <c r="D49" s="6">
        <v>1.6107016107016106E-2</v>
      </c>
      <c r="E49" s="6">
        <v>6.524706524706525E-2</v>
      </c>
      <c r="F49" s="6">
        <v>0.19901719901719903</v>
      </c>
      <c r="G49" s="6">
        <v>6.2790062790062787E-2</v>
      </c>
      <c r="H49" s="6">
        <v>0.18181818181818182</v>
      </c>
      <c r="I49" s="6">
        <v>2.8392028392028392E-2</v>
      </c>
      <c r="J49" s="6">
        <v>0.1850941850941851</v>
      </c>
      <c r="K49" s="6">
        <v>4.2315042315042316E-2</v>
      </c>
      <c r="L49" s="6">
        <v>0.18645918645918647</v>
      </c>
    </row>
    <row r="50" spans="1:12">
      <c r="A50" s="6" t="s">
        <v>171</v>
      </c>
      <c r="B50" s="6" t="s">
        <v>196</v>
      </c>
      <c r="C50" s="6">
        <v>3.2543608435303309E-2</v>
      </c>
      <c r="D50" s="6">
        <v>2.5514189013277792E-2</v>
      </c>
      <c r="E50" s="6">
        <v>7.1335589690184845E-2</v>
      </c>
      <c r="F50" s="6">
        <v>0.20281176776881021</v>
      </c>
      <c r="G50" s="6">
        <v>6.5868263473053898E-2</v>
      </c>
      <c r="H50" s="6">
        <v>0.19317885967196044</v>
      </c>
      <c r="I50" s="6">
        <v>2.7596979953137205E-2</v>
      </c>
      <c r="J50" s="6">
        <v>0.16401978651392868</v>
      </c>
      <c r="K50" s="6">
        <v>3.7490236917469409E-2</v>
      </c>
      <c r="L50" s="6">
        <v>0.18042176516532152</v>
      </c>
    </row>
    <row r="51" spans="1:12">
      <c r="A51" s="6" t="s">
        <v>172</v>
      </c>
      <c r="B51" s="6" t="s">
        <v>196</v>
      </c>
      <c r="C51" s="6">
        <v>2.3762861342479177E-2</v>
      </c>
      <c r="D51" s="6">
        <v>3.9686428221460068E-2</v>
      </c>
      <c r="E51" s="6">
        <v>6.7858892699657031E-2</v>
      </c>
      <c r="F51" s="6">
        <v>0.1967172954434101</v>
      </c>
      <c r="G51" s="6">
        <v>7.2513473787359131E-2</v>
      </c>
      <c r="H51" s="6">
        <v>0.18226359627633512</v>
      </c>
      <c r="I51" s="6">
        <v>2.8907398334149927E-2</v>
      </c>
      <c r="J51" s="6">
        <v>0.1474767270945615</v>
      </c>
      <c r="K51" s="6">
        <v>3.7236648701616852E-2</v>
      </c>
      <c r="L51" s="6">
        <v>0.20259676629103382</v>
      </c>
    </row>
    <row r="52" spans="1:12">
      <c r="A52" s="6" t="s">
        <v>173</v>
      </c>
      <c r="B52" s="6" t="s">
        <v>196</v>
      </c>
      <c r="C52" s="6">
        <v>1.5243219009190765E-2</v>
      </c>
      <c r="D52" s="6">
        <v>3.9228872450123291E-2</v>
      </c>
      <c r="E52" s="6">
        <v>7.3526115220802504E-2</v>
      </c>
      <c r="F52" s="6">
        <v>0.20286931181349474</v>
      </c>
      <c r="G52" s="6">
        <v>6.7025330643353503E-2</v>
      </c>
      <c r="H52" s="6">
        <v>0.1788836583725622</v>
      </c>
      <c r="I52" s="6">
        <v>2.8693118134947321E-2</v>
      </c>
      <c r="J52" s="6">
        <v>0.13539565119928268</v>
      </c>
      <c r="K52" s="6">
        <v>5.2902936561309122E-2</v>
      </c>
      <c r="L52" s="6">
        <v>0.20578345662407532</v>
      </c>
    </row>
    <row r="53" spans="1:12">
      <c r="A53" s="6" t="s">
        <v>174</v>
      </c>
      <c r="B53" s="6" t="s">
        <v>196</v>
      </c>
      <c r="C53" s="6">
        <v>1.7808506180599204E-2</v>
      </c>
      <c r="D53" s="6">
        <v>4.5883092394720298E-2</v>
      </c>
      <c r="E53" s="6">
        <v>6.2015503875968991E-2</v>
      </c>
      <c r="F53" s="6">
        <v>0.1923318667504714</v>
      </c>
      <c r="G53" s="6">
        <v>6.3272574900481882E-2</v>
      </c>
      <c r="H53" s="6">
        <v>0.18206578671694951</v>
      </c>
      <c r="I53" s="6">
        <v>3.1636287450240941E-2</v>
      </c>
      <c r="J53" s="6">
        <v>0.13953488372093023</v>
      </c>
      <c r="K53" s="6">
        <v>6.3272574900481882E-2</v>
      </c>
      <c r="L53" s="6">
        <v>0.20259794678399329</v>
      </c>
    </row>
    <row r="54" spans="1:12">
      <c r="A54" s="6" t="s">
        <v>175</v>
      </c>
      <c r="B54" s="6" t="s">
        <v>196</v>
      </c>
      <c r="C54" s="6">
        <v>1.5857667762521756E-2</v>
      </c>
      <c r="D54" s="6">
        <v>4.5252368980854767E-2</v>
      </c>
      <c r="E54" s="6">
        <v>6.1690195320054146E-2</v>
      </c>
      <c r="F54" s="6">
        <v>0.18352349642235544</v>
      </c>
      <c r="G54" s="6">
        <v>7.9094952620382908E-2</v>
      </c>
      <c r="H54" s="6">
        <v>0.18507058596016243</v>
      </c>
      <c r="I54" s="6">
        <v>3.7130148907368016E-2</v>
      </c>
      <c r="J54" s="6">
        <v>0.12956874879133629</v>
      </c>
      <c r="K54" s="6">
        <v>5.9949719590021273E-2</v>
      </c>
      <c r="L54" s="6">
        <v>0.20286211564494294</v>
      </c>
    </row>
    <row r="55" spans="1:12">
      <c r="A55" s="6" t="s">
        <v>176</v>
      </c>
      <c r="B55" s="6" t="s">
        <v>196</v>
      </c>
      <c r="C55" s="6">
        <v>1.2521343198634035E-2</v>
      </c>
      <c r="D55" s="6">
        <v>5.4069436539556058E-2</v>
      </c>
      <c r="E55" s="6">
        <v>6.7159931701764375E-2</v>
      </c>
      <c r="F55" s="6">
        <v>0.1745399354961108</v>
      </c>
      <c r="G55" s="6">
        <v>7.2282299373932837E-2</v>
      </c>
      <c r="H55" s="6">
        <v>0.20129007778410168</v>
      </c>
      <c r="I55" s="6">
        <v>3.3010813887307915E-2</v>
      </c>
      <c r="J55" s="6">
        <v>0.12730032251944604</v>
      </c>
      <c r="K55" s="6">
        <v>5.0654524758110414E-2</v>
      </c>
      <c r="L55" s="6">
        <v>0.20698159741984443</v>
      </c>
    </row>
    <row r="56" spans="1:12">
      <c r="A56" s="6" t="s">
        <v>177</v>
      </c>
      <c r="B56" s="6" t="s">
        <v>196</v>
      </c>
      <c r="C56" s="6">
        <v>1.6282695305733588E-2</v>
      </c>
      <c r="D56" s="6">
        <v>6.3052139269010918E-2</v>
      </c>
      <c r="E56" s="6">
        <v>6.8248744153819499E-2</v>
      </c>
      <c r="F56" s="6">
        <v>0.17096830071020266</v>
      </c>
      <c r="G56" s="6">
        <v>7.3618569201455056E-2</v>
      </c>
      <c r="H56" s="6">
        <v>0.19504590334314914</v>
      </c>
      <c r="I56" s="6">
        <v>3.1526069634505459E-2</v>
      </c>
      <c r="J56" s="6">
        <v>0.12818292049194527</v>
      </c>
      <c r="K56" s="6">
        <v>4.9540966568508572E-2</v>
      </c>
      <c r="L56" s="6">
        <v>0.20301403083318897</v>
      </c>
    </row>
    <row r="57" spans="1:12">
      <c r="A57" s="6" t="s">
        <v>178</v>
      </c>
      <c r="B57" s="6" t="s">
        <v>196</v>
      </c>
      <c r="C57" s="6">
        <v>1.9405320813771519E-2</v>
      </c>
      <c r="D57" s="6">
        <v>5.978090766823161E-2</v>
      </c>
      <c r="E57" s="6">
        <v>6.8857589984350542E-2</v>
      </c>
      <c r="F57" s="6">
        <v>0.17715179968701095</v>
      </c>
      <c r="G57" s="6">
        <v>7.7934272300469482E-2</v>
      </c>
      <c r="H57" s="6">
        <v>0.19389671361502347</v>
      </c>
      <c r="I57" s="6">
        <v>2.9264475743348981E-2</v>
      </c>
      <c r="J57" s="6">
        <v>0.12456964006259781</v>
      </c>
      <c r="K57" s="6">
        <v>5.5868544600938964E-2</v>
      </c>
      <c r="L57" s="6">
        <v>0.19405320813771518</v>
      </c>
    </row>
    <row r="58" spans="1:12">
      <c r="A58" s="6" t="s">
        <v>179</v>
      </c>
      <c r="B58" s="6" t="s">
        <v>196</v>
      </c>
      <c r="C58" s="6">
        <v>1.5014597525371889E-2</v>
      </c>
      <c r="D58" s="6">
        <v>6.6036424301404148E-2</v>
      </c>
      <c r="E58" s="6">
        <v>6.7148616710690945E-2</v>
      </c>
      <c r="F58" s="6">
        <v>0.160294730988461</v>
      </c>
      <c r="G58" s="6">
        <v>7.8965661059363271E-2</v>
      </c>
      <c r="H58" s="6">
        <v>0.19532879188099542</v>
      </c>
      <c r="I58" s="6">
        <v>3.1280411511191437E-2</v>
      </c>
      <c r="J58" s="6">
        <v>0.12609481440289169</v>
      </c>
      <c r="K58" s="6">
        <v>7.0624217989712218E-2</v>
      </c>
      <c r="L58" s="6">
        <v>0.18921173362991797</v>
      </c>
    </row>
    <row r="59" spans="1:12">
      <c r="A59" s="6" t="s">
        <v>180</v>
      </c>
      <c r="B59" s="6" t="s">
        <v>196</v>
      </c>
      <c r="C59" s="6">
        <v>1.6775283610909967E-2</v>
      </c>
      <c r="D59" s="6">
        <v>5.9256577359401402E-2</v>
      </c>
      <c r="E59" s="6">
        <v>8.1945450156891142E-2</v>
      </c>
      <c r="F59" s="6">
        <v>0.14663287472845765</v>
      </c>
      <c r="G59" s="6">
        <v>9.2203717113202993E-2</v>
      </c>
      <c r="H59" s="6">
        <v>0.19973449191407192</v>
      </c>
      <c r="I59" s="6">
        <v>2.8602461984069516E-2</v>
      </c>
      <c r="J59" s="6">
        <v>0.13118513154718803</v>
      </c>
      <c r="K59" s="6">
        <v>6.8307989379676567E-2</v>
      </c>
      <c r="L59" s="6">
        <v>0.17487328023171614</v>
      </c>
    </row>
    <row r="60" spans="1:12">
      <c r="A60" s="6" t="s">
        <v>181</v>
      </c>
      <c r="B60" s="6" t="s">
        <v>196</v>
      </c>
      <c r="C60" s="6">
        <v>1.1692521416994674E-2</v>
      </c>
      <c r="D60" s="6">
        <v>6.6450567260940036E-2</v>
      </c>
      <c r="E60" s="6">
        <v>6.2746006019912023E-2</v>
      </c>
      <c r="F60" s="6">
        <v>0.14667747163695299</v>
      </c>
      <c r="G60" s="6">
        <v>9.6434359805510531E-2</v>
      </c>
      <c r="H60" s="6">
        <v>0.18650150497800416</v>
      </c>
      <c r="I60" s="6">
        <v>3.2993748552905766E-2</v>
      </c>
      <c r="J60" s="6">
        <v>0.13996295438758971</v>
      </c>
      <c r="K60" s="6">
        <v>6.8881685575364671E-2</v>
      </c>
      <c r="L60" s="6">
        <v>0.18789071544338967</v>
      </c>
    </row>
    <row r="61" spans="1:12">
      <c r="A61" s="6" t="s">
        <v>182</v>
      </c>
      <c r="B61" s="6" t="s">
        <v>196</v>
      </c>
      <c r="C61" s="6">
        <v>1.31852879944483E-2</v>
      </c>
      <c r="D61" s="6">
        <v>6.6389081656257232E-2</v>
      </c>
      <c r="E61" s="6">
        <v>7.7492482072634747E-2</v>
      </c>
      <c r="F61" s="6">
        <v>0.14700439509599814</v>
      </c>
      <c r="G61" s="6">
        <v>8.9058524173027995E-2</v>
      </c>
      <c r="H61" s="6">
        <v>0.18008327550312284</v>
      </c>
      <c r="I61" s="6">
        <v>3.5392088827203329E-2</v>
      </c>
      <c r="J61" s="6">
        <v>0.13705759888965996</v>
      </c>
      <c r="K61" s="6">
        <v>6.4885496183206104E-2</v>
      </c>
      <c r="L61" s="6">
        <v>0.18945176960444135</v>
      </c>
    </row>
    <row r="62" spans="1:12">
      <c r="A62" s="6" t="s">
        <v>183</v>
      </c>
      <c r="B62" s="6" t="s">
        <v>196</v>
      </c>
      <c r="C62" s="6">
        <v>1.2E-2</v>
      </c>
      <c r="D62" s="6">
        <v>5.9675675675675673E-2</v>
      </c>
      <c r="E62" s="6">
        <v>7.2432432432432428E-2</v>
      </c>
      <c r="F62" s="6">
        <v>0.14108108108108108</v>
      </c>
      <c r="G62" s="6">
        <v>8.6918918918918925E-2</v>
      </c>
      <c r="H62" s="6">
        <v>0.19913513513513514</v>
      </c>
      <c r="I62" s="6">
        <v>4.0864864864864868E-2</v>
      </c>
      <c r="J62" s="6">
        <v>0.14648648648648649</v>
      </c>
      <c r="K62" s="6">
        <v>5.9351351351351354E-2</v>
      </c>
      <c r="L62" s="6">
        <v>0.18194594594594596</v>
      </c>
    </row>
    <row r="63" spans="1:12">
      <c r="A63" s="6" t="s">
        <v>184</v>
      </c>
      <c r="B63" s="6" t="s">
        <v>196</v>
      </c>
      <c r="C63" s="6">
        <v>1.0418837257762034E-2</v>
      </c>
      <c r="D63" s="6">
        <v>6.4492602625546985E-2</v>
      </c>
      <c r="E63" s="6">
        <v>6.6055428214211301E-2</v>
      </c>
      <c r="F63" s="6">
        <v>0.14753073556991039</v>
      </c>
      <c r="G63" s="6">
        <v>8.8455928318399671E-2</v>
      </c>
      <c r="H63" s="6">
        <v>0.18795582413002709</v>
      </c>
      <c r="I63" s="6">
        <v>3.7091060637632838E-2</v>
      </c>
      <c r="J63" s="6">
        <v>0.14075849135236507</v>
      </c>
      <c r="K63" s="6">
        <v>6.6159616586788914E-2</v>
      </c>
      <c r="L63" s="6">
        <v>0.19045634507188997</v>
      </c>
    </row>
    <row r="64" spans="1:12">
      <c r="A64" s="6" t="s">
        <v>185</v>
      </c>
      <c r="B64" s="6" t="s">
        <v>196</v>
      </c>
      <c r="C64" s="6">
        <v>9.1191125317288714E-3</v>
      </c>
      <c r="D64" s="6">
        <v>5.894519131334023E-2</v>
      </c>
      <c r="E64" s="6">
        <v>6.9944533233054426E-2</v>
      </c>
      <c r="F64" s="6">
        <v>0.1507943969164238</v>
      </c>
      <c r="G64" s="6">
        <v>9.5891698787252039E-2</v>
      </c>
      <c r="H64" s="6">
        <v>0.18238225063457741</v>
      </c>
      <c r="I64" s="6">
        <v>3.5630346902322085E-2</v>
      </c>
      <c r="J64" s="6">
        <v>0.13443640124095141</v>
      </c>
      <c r="K64" s="6">
        <v>6.9286452947259561E-2</v>
      </c>
      <c r="L64" s="6">
        <v>0.19356961549309015</v>
      </c>
    </row>
    <row r="65" spans="1:12">
      <c r="A65" s="6" t="s">
        <v>186</v>
      </c>
      <c r="B65" s="6" t="s">
        <v>196</v>
      </c>
      <c r="C65" s="6">
        <v>8.8954781319495919E-3</v>
      </c>
      <c r="D65" s="6">
        <v>5.9879746314142161E-2</v>
      </c>
      <c r="E65" s="6">
        <v>7.3799522279878099E-2</v>
      </c>
      <c r="F65" s="6">
        <v>0.14866979655712051</v>
      </c>
      <c r="G65" s="6">
        <v>9.3155423770694343E-2</v>
      </c>
      <c r="H65" s="6">
        <v>0.18614611646487109</v>
      </c>
      <c r="I65" s="6">
        <v>3.6982126678197842E-2</v>
      </c>
      <c r="J65" s="6">
        <v>0.13919775965735937</v>
      </c>
      <c r="K65" s="6">
        <v>6.6304258298327978E-2</v>
      </c>
      <c r="L65" s="6">
        <v>0.18655794415616506</v>
      </c>
    </row>
    <row r="66" spans="1:12">
      <c r="A66" s="6" t="s">
        <v>187</v>
      </c>
      <c r="B66" s="6" t="s">
        <v>196</v>
      </c>
      <c r="C66" s="6">
        <v>7.3208607557494641E-3</v>
      </c>
      <c r="D66" s="6">
        <v>5.9897951637950156E-2</v>
      </c>
      <c r="E66" s="6">
        <v>7.0620424462027653E-2</v>
      </c>
      <c r="F66" s="6">
        <v>0.1310360127190712</v>
      </c>
      <c r="G66" s="6">
        <v>9.3988020409672413E-2</v>
      </c>
      <c r="H66" s="6">
        <v>0.18745840420025142</v>
      </c>
      <c r="I66" s="6">
        <v>3.7935369370701764E-2</v>
      </c>
      <c r="J66" s="6">
        <v>0.15166752939436515</v>
      </c>
      <c r="K66" s="6">
        <v>6.3373511794720103E-2</v>
      </c>
      <c r="L66" s="6">
        <v>0.19640612290172299</v>
      </c>
    </row>
    <row r="67" spans="1:12">
      <c r="A67" s="6" t="s">
        <v>188</v>
      </c>
      <c r="B67" s="6" t="s">
        <v>196</v>
      </c>
      <c r="C67" s="6">
        <v>8.6570794877298424E-3</v>
      </c>
      <c r="D67" s="6">
        <v>5.5805966945696499E-2</v>
      </c>
      <c r="E67" s="6">
        <v>7.6912069829004795E-2</v>
      </c>
      <c r="F67" s="6">
        <v>0.13250339844029477</v>
      </c>
      <c r="G67" s="6">
        <v>9.0505831008084708E-2</v>
      </c>
      <c r="H67" s="6">
        <v>0.18609143593045718</v>
      </c>
      <c r="I67" s="6">
        <v>3.4556771839450523E-2</v>
      </c>
      <c r="J67" s="6">
        <v>0.14130357015096229</v>
      </c>
      <c r="K67" s="6">
        <v>6.5750876439865491E-2</v>
      </c>
      <c r="L67" s="6">
        <v>0.20805609215139156</v>
      </c>
    </row>
    <row r="68" spans="1:12">
      <c r="A68" s="6" t="s">
        <v>189</v>
      </c>
      <c r="B68" s="6" t="s">
        <v>196</v>
      </c>
      <c r="C68" s="6">
        <v>1.0836129753914989E-2</v>
      </c>
      <c r="D68" s="6">
        <v>5.823545861297539E-2</v>
      </c>
      <c r="E68" s="6">
        <v>9.2351789709172266E-2</v>
      </c>
      <c r="F68" s="6">
        <v>0.1363255033557047</v>
      </c>
      <c r="G68" s="6">
        <v>9.1512863534675609E-2</v>
      </c>
      <c r="H68" s="6">
        <v>0.18763982102908278</v>
      </c>
      <c r="I68" s="6">
        <v>3.2158836689038031E-2</v>
      </c>
      <c r="J68" s="6">
        <v>0.14380592841163312</v>
      </c>
      <c r="K68" s="6">
        <v>6.5645973154362422E-2</v>
      </c>
      <c r="L68" s="6">
        <v>0.18127796420581654</v>
      </c>
    </row>
    <row r="69" spans="1:12">
      <c r="A69" s="6" t="s">
        <v>190</v>
      </c>
      <c r="B69" s="6" t="s">
        <v>196</v>
      </c>
      <c r="C69" s="6">
        <v>1.1102299762093577E-2</v>
      </c>
      <c r="D69" s="6">
        <v>5.4321966693100715E-2</v>
      </c>
      <c r="E69" s="6">
        <v>9.3840867036743325E-2</v>
      </c>
      <c r="F69" s="6">
        <v>0.13302934179222839</v>
      </c>
      <c r="G69" s="6">
        <v>9.7739888977002379E-2</v>
      </c>
      <c r="H69" s="6">
        <v>0.17492730637060533</v>
      </c>
      <c r="I69" s="6">
        <v>3.191911181601903E-2</v>
      </c>
      <c r="J69" s="6">
        <v>0.13421887390959555</v>
      </c>
      <c r="K69" s="6">
        <v>7.2693629394660328E-2</v>
      </c>
      <c r="L69" s="6">
        <v>0.19627279936558287</v>
      </c>
    </row>
    <row r="70" spans="1:12">
      <c r="A70" s="6" t="s">
        <v>191</v>
      </c>
      <c r="B70" s="6" t="s">
        <v>196</v>
      </c>
      <c r="C70" s="6">
        <v>8.5606328964458606E-3</v>
      </c>
      <c r="D70" s="6">
        <v>6.0750974140984765E-2</v>
      </c>
      <c r="E70" s="6">
        <v>8.7200377848624389E-2</v>
      </c>
      <c r="F70" s="6">
        <v>0.12008501594048884</v>
      </c>
      <c r="G70" s="6">
        <v>0.11311843192820877</v>
      </c>
      <c r="H70" s="6">
        <v>0.16566300625811783</v>
      </c>
      <c r="I70" s="6">
        <v>2.8633841067422363E-2</v>
      </c>
      <c r="J70" s="6">
        <v>0.12581178415397332</v>
      </c>
      <c r="K70" s="6">
        <v>7.3090093281379151E-2</v>
      </c>
      <c r="L70" s="6">
        <v>0.2171448813319164</v>
      </c>
    </row>
    <row r="71" spans="1:12">
      <c r="A71" s="6" t="s">
        <v>192</v>
      </c>
      <c r="B71" s="6" t="s">
        <v>196</v>
      </c>
      <c r="C71" s="6">
        <v>8.9169080479354797E-3</v>
      </c>
      <c r="D71" s="6">
        <v>5.1400011359118529E-2</v>
      </c>
      <c r="E71" s="6">
        <v>9.0248196739932979E-2</v>
      </c>
      <c r="F71" s="6">
        <v>0.10688930538990174</v>
      </c>
      <c r="G71" s="6">
        <v>0.11858919747827569</v>
      </c>
      <c r="H71" s="6">
        <v>0.17646390640086329</v>
      </c>
      <c r="I71" s="6">
        <v>2.7773044811722609E-2</v>
      </c>
      <c r="J71" s="6">
        <v>0.12540466859771682</v>
      </c>
      <c r="K71" s="6">
        <v>7.6958028057022773E-2</v>
      </c>
      <c r="L71" s="6">
        <v>0.21718634633952405</v>
      </c>
    </row>
    <row r="72" spans="1:12">
      <c r="A72" s="6" t="s">
        <v>193</v>
      </c>
      <c r="B72" s="6" t="s">
        <v>196</v>
      </c>
      <c r="C72" s="6">
        <v>9.5063985374771488E-3</v>
      </c>
      <c r="D72" s="6">
        <v>5.8866544789762339E-2</v>
      </c>
      <c r="E72" s="6">
        <v>8.762949421084705E-2</v>
      </c>
      <c r="F72" s="6">
        <v>0.11419865935405241</v>
      </c>
      <c r="G72" s="6">
        <v>0.10524070688604509</v>
      </c>
      <c r="H72" s="6">
        <v>0.17288238878732481</v>
      </c>
      <c r="I72" s="6">
        <v>2.9920780012187689E-2</v>
      </c>
      <c r="J72" s="6">
        <v>0.13187081048141377</v>
      </c>
      <c r="K72" s="6">
        <v>7.4344911639244365E-2</v>
      </c>
      <c r="L72" s="6">
        <v>0.2154174283973187</v>
      </c>
    </row>
    <row r="73" spans="1:12">
      <c r="A73" s="6" t="s">
        <v>194</v>
      </c>
      <c r="B73" s="6" t="s">
        <v>196</v>
      </c>
      <c r="C73" s="6">
        <v>8.5562045291525772E-3</v>
      </c>
      <c r="D73" s="6">
        <v>5.4821190695768011E-2</v>
      </c>
      <c r="E73" s="6">
        <v>9.2683676606209658E-2</v>
      </c>
      <c r="F73" s="6">
        <v>0.12547392150835127</v>
      </c>
      <c r="G73" s="6">
        <v>0.10303309765344811</v>
      </c>
      <c r="H73" s="6">
        <v>0.162055538477303</v>
      </c>
      <c r="I73" s="6">
        <v>2.8947638077671891E-2</v>
      </c>
      <c r="J73" s="6">
        <v>0.13146838815452402</v>
      </c>
      <c r="K73" s="6">
        <v>8.5049697714929803E-2</v>
      </c>
      <c r="L73" s="6">
        <v>0.20816682037093964</v>
      </c>
    </row>
    <row r="74" spans="1:12">
      <c r="A74" s="6" t="s">
        <v>195</v>
      </c>
      <c r="B74" s="6" t="s">
        <v>196</v>
      </c>
      <c r="C74" s="6">
        <v>1.0770168664905507E-2</v>
      </c>
      <c r="D74" s="6">
        <v>5.2580776264986792E-2</v>
      </c>
      <c r="E74" s="6">
        <v>0.10333265596423491</v>
      </c>
      <c r="F74" s="6">
        <v>0.11328998171103434</v>
      </c>
      <c r="G74" s="6">
        <v>0.10851452956716115</v>
      </c>
      <c r="H74" s="6">
        <v>0.17100182889656573</v>
      </c>
      <c r="I74" s="6">
        <v>3.1040438935175777E-2</v>
      </c>
      <c r="J74" s="6">
        <v>0.13117252590936801</v>
      </c>
      <c r="K74" s="6">
        <v>7.3054257264783581E-2</v>
      </c>
      <c r="L74" s="6">
        <v>0.20498882340987604</v>
      </c>
    </row>
    <row r="75" spans="1:12">
      <c r="A75" s="6" t="s">
        <v>275</v>
      </c>
      <c r="B75" s="6" t="s">
        <v>196</v>
      </c>
      <c r="C75" s="6">
        <v>9.0098166659195837E-3</v>
      </c>
      <c r="D75" s="6">
        <v>5.6120848088215519E-2</v>
      </c>
      <c r="E75" s="6">
        <v>8.6736294768927344E-2</v>
      </c>
      <c r="F75" s="6">
        <v>0.10829709982518267</v>
      </c>
      <c r="G75" s="6">
        <v>0.11327267022278005</v>
      </c>
      <c r="H75" s="6">
        <v>0.17540006275494197</v>
      </c>
      <c r="I75" s="6">
        <v>3.0839571473396388E-2</v>
      </c>
      <c r="J75" s="6">
        <v>0.14568111524496841</v>
      </c>
      <c r="K75" s="6">
        <v>7.38267067102963E-2</v>
      </c>
      <c r="L75" s="6">
        <v>0.20086063920390873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0448-C312-4C63-A8AA-D081ADD8B091}">
  <sheetPr>
    <tabColor rgb="FFFF0000"/>
  </sheetPr>
  <dimension ref="A1:CB73"/>
  <sheetViews>
    <sheetView tabSelected="1" workbookViewId="0">
      <selection activeCell="CB4" sqref="CB4"/>
    </sheetView>
  </sheetViews>
  <sheetFormatPr defaultRowHeight="15"/>
  <cols>
    <col min="1" max="80" width="9.140625" style="6"/>
  </cols>
  <sheetData>
    <row r="1" spans="1:80">
      <c r="A1" s="6" t="s">
        <v>278</v>
      </c>
      <c r="B1" s="6" t="s">
        <v>276</v>
      </c>
      <c r="C1" s="8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8" t="s">
        <v>12</v>
      </c>
      <c r="O1" s="6" t="s">
        <v>13</v>
      </c>
      <c r="P1" s="6" t="s">
        <v>14</v>
      </c>
      <c r="Q1" s="8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8" t="s">
        <v>25</v>
      </c>
      <c r="AB1" s="6" t="s">
        <v>26</v>
      </c>
      <c r="AC1" s="6" t="s">
        <v>27</v>
      </c>
      <c r="AD1" s="6" t="s">
        <v>28</v>
      </c>
      <c r="AE1" s="8" t="s">
        <v>29</v>
      </c>
      <c r="AF1" s="6" t="s">
        <v>30</v>
      </c>
      <c r="AG1" s="6" t="s">
        <v>31</v>
      </c>
      <c r="AH1" s="6" t="s">
        <v>32</v>
      </c>
      <c r="AI1" s="8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8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8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8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6" t="s">
        <v>71</v>
      </c>
      <c r="BV1" s="8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8" t="s">
        <v>78</v>
      </c>
    </row>
    <row r="2" spans="1:80">
      <c r="A2" s="6" t="s">
        <v>161</v>
      </c>
      <c r="B2" s="6" t="s">
        <v>0</v>
      </c>
      <c r="C2" s="6">
        <v>1.2001770359129995</v>
      </c>
      <c r="D2" s="6">
        <v>0.75776397515527949</v>
      </c>
      <c r="E2" s="6">
        <v>1.0891456871646719</v>
      </c>
      <c r="F2" s="6">
        <v>1.2892249527410209</v>
      </c>
      <c r="G2" s="6">
        <v>0.97435897435897434</v>
      </c>
      <c r="H2" s="6">
        <v>1.5475615644616127</v>
      </c>
      <c r="I2" s="6">
        <v>0.85099337748344372</v>
      </c>
      <c r="J2" s="6">
        <v>1.3131548311990686</v>
      </c>
      <c r="K2" s="6">
        <v>0.95588235294117652</v>
      </c>
      <c r="L2" s="6">
        <v>0.97802197802197799</v>
      </c>
      <c r="M2" s="6">
        <v>1.0659340659340659</v>
      </c>
      <c r="N2" s="6">
        <v>0.83150183150183155</v>
      </c>
      <c r="O2" s="6">
        <v>0.84399999999999997</v>
      </c>
      <c r="P2" s="6">
        <v>0.77272727272727271</v>
      </c>
      <c r="Q2" s="6">
        <v>1.0560747663551402</v>
      </c>
      <c r="R2" s="6">
        <v>0.83876221498371339</v>
      </c>
      <c r="S2" s="6">
        <v>0.69841269841269837</v>
      </c>
      <c r="T2" s="6">
        <v>1.4</v>
      </c>
      <c r="U2" s="6">
        <v>0.93166287015945326</v>
      </c>
      <c r="V2" s="6">
        <v>0.89189189189189189</v>
      </c>
      <c r="W2" s="6">
        <v>0.89984051036682611</v>
      </c>
      <c r="X2" s="6">
        <v>0.9321266968325792</v>
      </c>
      <c r="Y2" s="6">
        <v>1.2739946380697051</v>
      </c>
      <c r="Z2" s="6">
        <v>1.0725806451612903</v>
      </c>
      <c r="AA2" s="6">
        <v>1.1198513471663054</v>
      </c>
      <c r="AB2" s="6">
        <v>1.1462467644521139</v>
      </c>
      <c r="AC2" s="6">
        <v>1.0278637770897834</v>
      </c>
      <c r="AD2" s="6">
        <v>1.2380952380952381</v>
      </c>
      <c r="AE2" s="6">
        <v>0.76551724137931032</v>
      </c>
      <c r="AF2" s="6">
        <v>0.81967213114754101</v>
      </c>
      <c r="AG2" s="6">
        <v>7.1428571428571425E-2</v>
      </c>
      <c r="AH2" s="6">
        <v>1</v>
      </c>
      <c r="AI2" s="6">
        <v>1.1287223823246877</v>
      </c>
      <c r="AJ2" s="6">
        <v>0.88235294117647056</v>
      </c>
      <c r="AK2" s="6">
        <v>1.3604651162790697</v>
      </c>
      <c r="AL2" s="6">
        <v>2.165137614678899</v>
      </c>
      <c r="AM2" s="6">
        <v>1.0742358078602621</v>
      </c>
      <c r="AN2" s="6">
        <v>1.0337078651685394</v>
      </c>
      <c r="AO2" s="6">
        <v>1</v>
      </c>
      <c r="AP2" s="6">
        <v>0.92356687898089174</v>
      </c>
      <c r="AQ2" s="6">
        <v>0.93442622950819676</v>
      </c>
      <c r="AR2" s="6">
        <v>0.914572864321608</v>
      </c>
      <c r="AS2" s="6">
        <v>1.1352059925093634</v>
      </c>
      <c r="AT2" s="6">
        <v>0.91515151515151516</v>
      </c>
      <c r="AU2" s="6">
        <v>0.86111111111111116</v>
      </c>
      <c r="AV2" s="6">
        <v>0.8666666666666667</v>
      </c>
      <c r="AW2" s="6">
        <v>1.1810344827586208</v>
      </c>
      <c r="AX2" s="6">
        <v>1.1351351351351351</v>
      </c>
      <c r="AY2" s="6">
        <v>1.4056603773584906</v>
      </c>
      <c r="AZ2" s="6">
        <v>1.1656686626746506</v>
      </c>
      <c r="BA2" s="6">
        <v>1.1215230893869834</v>
      </c>
      <c r="BB2" s="6">
        <v>1.1372549019607843</v>
      </c>
      <c r="BC2" s="6">
        <v>1.1983953318745442</v>
      </c>
      <c r="BD2" s="6">
        <v>1.0327868852459017</v>
      </c>
      <c r="BE2" s="6">
        <v>1.1369047619047619</v>
      </c>
      <c r="BF2" s="6">
        <v>1.3846153846153846</v>
      </c>
      <c r="BG2" s="6">
        <v>1.0900621118012421</v>
      </c>
      <c r="BH2" s="6">
        <v>1.1822660098522169</v>
      </c>
      <c r="BI2" s="6">
        <v>1.5422535211267605</v>
      </c>
      <c r="BJ2" s="6">
        <v>1.1678571428571429</v>
      </c>
      <c r="BK2" s="6">
        <v>1.2959183673469388</v>
      </c>
      <c r="BL2" s="6">
        <v>1.2733188720173536</v>
      </c>
      <c r="BM2" s="6">
        <v>1.1708449396471681</v>
      </c>
      <c r="BN2" s="6">
        <v>0.90322580645161288</v>
      </c>
      <c r="BO2" s="6">
        <v>0.97222222222222221</v>
      </c>
      <c r="BP2" s="6">
        <v>1.5</v>
      </c>
      <c r="BQ2" s="6">
        <v>1.3538461538461539</v>
      </c>
      <c r="BR2" s="6">
        <v>1.6428571428571428</v>
      </c>
      <c r="BS2" s="6">
        <v>1.2295918367346939</v>
      </c>
      <c r="BT2" s="6">
        <v>0.90252707581227432</v>
      </c>
      <c r="BU2" s="6">
        <v>1.2973568281938326</v>
      </c>
      <c r="BV2" s="6">
        <v>1.0082438171371471</v>
      </c>
      <c r="BW2" s="6">
        <v>0.98076923076923073</v>
      </c>
      <c r="BX2" s="6">
        <v>1.0459183673469388</v>
      </c>
      <c r="BY2" s="6">
        <v>0</v>
      </c>
      <c r="BZ2" s="6">
        <v>0.96858638743455494</v>
      </c>
      <c r="CA2" s="6">
        <v>1.1103166496424923</v>
      </c>
      <c r="CB2" s="6">
        <v>1.1094406419636536</v>
      </c>
    </row>
    <row r="3" spans="1:80">
      <c r="A3" s="6" t="s">
        <v>162</v>
      </c>
      <c r="B3" s="6" t="s">
        <v>0</v>
      </c>
      <c r="C3" s="6">
        <v>1.0247602992308502</v>
      </c>
      <c r="D3" s="6">
        <v>0.66803278688524592</v>
      </c>
      <c r="E3" s="6">
        <v>1.1708980674497915</v>
      </c>
      <c r="F3" s="6">
        <v>0.99120234604105573</v>
      </c>
      <c r="G3" s="6">
        <v>1.0464396284829722</v>
      </c>
      <c r="H3" s="6">
        <v>0.94040561622464902</v>
      </c>
      <c r="I3" s="6">
        <v>1.1303501945525292</v>
      </c>
      <c r="J3" s="6">
        <v>0.97606382978723405</v>
      </c>
      <c r="K3" s="6">
        <v>1.2615384615384615</v>
      </c>
      <c r="L3" s="6">
        <v>0.89138576779026213</v>
      </c>
      <c r="M3" s="6">
        <v>1.0824742268041236</v>
      </c>
      <c r="N3" s="6">
        <v>1.2555066079295154</v>
      </c>
      <c r="O3" s="6">
        <v>1.2606635071090047</v>
      </c>
      <c r="P3" s="6">
        <v>1.1176470588235294</v>
      </c>
      <c r="Q3" s="6">
        <v>0.95284955752212386</v>
      </c>
      <c r="R3" s="6">
        <v>1.025242718446602</v>
      </c>
      <c r="S3" s="6">
        <v>1.1590909090909092</v>
      </c>
      <c r="T3" s="6">
        <v>0.5714285714285714</v>
      </c>
      <c r="U3" s="6">
        <v>0.9828850855745721</v>
      </c>
      <c r="V3" s="6">
        <v>0.63636363636363635</v>
      </c>
      <c r="W3" s="6">
        <v>0.6981566820276498</v>
      </c>
      <c r="X3" s="6">
        <v>1.1650485436893203</v>
      </c>
      <c r="Y3" s="6">
        <v>1.1381874298540966</v>
      </c>
      <c r="Z3" s="6">
        <v>1.1954887218045114</v>
      </c>
      <c r="AA3" s="6">
        <v>1.3266039823008851</v>
      </c>
      <c r="AB3" s="6">
        <v>1.1336093338351525</v>
      </c>
      <c r="AC3" s="6">
        <v>1.736144578313253</v>
      </c>
      <c r="AD3" s="6">
        <v>2.6538461538461537</v>
      </c>
      <c r="AE3" s="6">
        <v>1.1801801801801801</v>
      </c>
      <c r="AF3" s="6">
        <v>1.1299999999999999</v>
      </c>
      <c r="AG3" s="6">
        <v>1</v>
      </c>
      <c r="AH3" s="6">
        <v>1.2</v>
      </c>
      <c r="AI3" s="6">
        <v>1.102127659574468</v>
      </c>
      <c r="AJ3" s="6">
        <v>1.1777777777777778</v>
      </c>
      <c r="AK3" s="6">
        <v>1.4957264957264957</v>
      </c>
      <c r="AL3" s="6">
        <v>0.93644067796610164</v>
      </c>
      <c r="AM3" s="6">
        <v>1.1910569105691058</v>
      </c>
      <c r="AN3" s="6">
        <v>1.1413043478260869</v>
      </c>
      <c r="AO3" s="6">
        <v>1.3333333333333333</v>
      </c>
      <c r="AP3" s="6">
        <v>0.93793103448275861</v>
      </c>
      <c r="AQ3" s="6">
        <v>1.3333333333333333</v>
      </c>
      <c r="AR3" s="6">
        <v>0.93956043956043955</v>
      </c>
      <c r="AS3" s="6">
        <v>1.0321676014516661</v>
      </c>
      <c r="AT3" s="6">
        <v>1.1920529801324504</v>
      </c>
      <c r="AU3" s="6">
        <v>1.0806451612903225</v>
      </c>
      <c r="AV3" s="6">
        <v>2.5384615384615383</v>
      </c>
      <c r="AW3" s="6">
        <v>1.2262773722627738</v>
      </c>
      <c r="AX3" s="6">
        <v>1.1666666666666667</v>
      </c>
      <c r="AY3" s="6">
        <v>1.0380313199105144</v>
      </c>
      <c r="AZ3" s="6">
        <v>1.5565068493150684</v>
      </c>
      <c r="BA3" s="6">
        <v>0.92294726703587771</v>
      </c>
      <c r="BB3" s="6">
        <v>1.1695402298850575</v>
      </c>
      <c r="BC3" s="6">
        <v>1.2531953743152768</v>
      </c>
      <c r="BD3" s="6">
        <v>1.2962962962962963</v>
      </c>
      <c r="BE3" s="6">
        <v>1.2015706806282722</v>
      </c>
      <c r="BF3" s="6">
        <v>1.4814814814814814</v>
      </c>
      <c r="BG3" s="6">
        <v>1.225071225071225</v>
      </c>
      <c r="BH3" s="6">
        <v>1.3229166666666667</v>
      </c>
      <c r="BI3" s="6">
        <v>1.3287671232876712</v>
      </c>
      <c r="BJ3" s="6">
        <v>1.2629969418960245</v>
      </c>
      <c r="BK3" s="6">
        <v>1.4488188976377954</v>
      </c>
      <c r="BL3" s="6">
        <v>0.99318568994889267</v>
      </c>
      <c r="BM3" s="6">
        <v>1.0348929421094371</v>
      </c>
      <c r="BN3" s="6">
        <v>1.3214285714285714</v>
      </c>
      <c r="BO3" s="6">
        <v>1.2</v>
      </c>
      <c r="BP3" s="6">
        <v>1.6666666666666667</v>
      </c>
      <c r="BQ3" s="6">
        <v>1.4204545454545454</v>
      </c>
      <c r="BR3" s="6">
        <v>0.95652173913043481</v>
      </c>
      <c r="BS3" s="6">
        <v>1.045643153526971</v>
      </c>
      <c r="BT3" s="6">
        <v>0.96399999999999997</v>
      </c>
      <c r="BU3" s="6">
        <v>0.98811544991511036</v>
      </c>
      <c r="BV3" s="6">
        <v>1.169970267591675</v>
      </c>
      <c r="BW3" s="6">
        <v>1.2156862745098038</v>
      </c>
      <c r="BX3" s="6">
        <v>1.2195121951219512</v>
      </c>
      <c r="BY3" s="6" t="s">
        <v>277</v>
      </c>
      <c r="BZ3" s="6">
        <v>1.3281853281853282</v>
      </c>
      <c r="CA3" s="6">
        <v>0.77736890524379021</v>
      </c>
      <c r="CB3" s="6">
        <v>1.0826259918735508</v>
      </c>
    </row>
    <row r="4" spans="1:80">
      <c r="A4" s="6" t="s">
        <v>163</v>
      </c>
      <c r="B4" s="6" t="s">
        <v>0</v>
      </c>
      <c r="C4" s="6">
        <v>0.95743368291178288</v>
      </c>
      <c r="D4" s="6">
        <v>1.1165644171779141</v>
      </c>
      <c r="E4" s="6">
        <v>1.0482200647249191</v>
      </c>
      <c r="F4" s="6">
        <v>1.1730769230769231</v>
      </c>
      <c r="G4" s="6">
        <v>1.0931952662721893</v>
      </c>
      <c r="H4" s="6">
        <v>0.79993364299933645</v>
      </c>
      <c r="I4" s="6">
        <v>1.1204819277108433</v>
      </c>
      <c r="J4" s="6">
        <v>0.69482288828337879</v>
      </c>
      <c r="K4" s="6">
        <v>1.1219512195121952</v>
      </c>
      <c r="L4" s="6">
        <v>1.2773109243697478</v>
      </c>
      <c r="M4" s="6">
        <v>1.2857142857142858</v>
      </c>
      <c r="N4" s="6">
        <v>1.1649122807017545</v>
      </c>
      <c r="O4" s="6">
        <v>1.1766917293233083</v>
      </c>
      <c r="P4" s="6">
        <v>1.1052631578947369</v>
      </c>
      <c r="Q4" s="6">
        <v>1.0161973400698416</v>
      </c>
      <c r="R4" s="6">
        <v>0.65530303030303028</v>
      </c>
      <c r="S4" s="6">
        <v>1.1568627450980393</v>
      </c>
      <c r="T4" s="6">
        <v>1</v>
      </c>
      <c r="U4" s="6">
        <v>1.1467661691542288</v>
      </c>
      <c r="V4" s="6">
        <v>0.95238095238095233</v>
      </c>
      <c r="W4" s="6">
        <v>1.1096725057121097</v>
      </c>
      <c r="X4" s="6">
        <v>1.2083333333333333</v>
      </c>
      <c r="Y4" s="6">
        <v>0.9805250831998028</v>
      </c>
      <c r="Z4" s="6">
        <v>1.0251572327044025</v>
      </c>
      <c r="AA4" s="6">
        <v>1.1339378778403169</v>
      </c>
      <c r="AB4" s="6">
        <v>1.1382802124833997</v>
      </c>
      <c r="AC4" s="6">
        <v>1.0114503816793894</v>
      </c>
      <c r="AD4" s="6">
        <v>1.6014492753623188</v>
      </c>
      <c r="AE4" s="6">
        <v>1.0381679389312977</v>
      </c>
      <c r="AF4" s="6">
        <v>1.0353982300884956</v>
      </c>
      <c r="AG4" s="6">
        <v>1</v>
      </c>
      <c r="AH4" s="6">
        <v>1.5</v>
      </c>
      <c r="AI4" s="6">
        <v>1.1845559845559845</v>
      </c>
      <c r="AJ4" s="6">
        <v>1</v>
      </c>
      <c r="AK4" s="6">
        <v>1.4457142857142857</v>
      </c>
      <c r="AL4" s="6">
        <v>0.85067873303167418</v>
      </c>
      <c r="AM4" s="6">
        <v>1.3003412969283277</v>
      </c>
      <c r="AN4" s="6">
        <v>1.1904761904761905</v>
      </c>
      <c r="AO4" s="6">
        <v>1.4166666666666667</v>
      </c>
      <c r="AP4" s="6">
        <v>1.3308823529411764</v>
      </c>
      <c r="AQ4" s="6">
        <v>1.0789473684210527</v>
      </c>
      <c r="AR4" s="6">
        <v>1.1578947368421053</v>
      </c>
      <c r="AS4" s="6">
        <v>1.0356400831069204</v>
      </c>
      <c r="AT4" s="6">
        <v>1.038888888888889</v>
      </c>
      <c r="AU4" s="6">
        <v>1</v>
      </c>
      <c r="AV4" s="6">
        <v>1.5151515151515151</v>
      </c>
      <c r="AW4" s="6">
        <v>1.2440476190476191</v>
      </c>
      <c r="AX4" s="6">
        <v>1.1122448979591837</v>
      </c>
      <c r="AY4" s="6">
        <v>1.1982758620689655</v>
      </c>
      <c r="AZ4" s="6">
        <v>1.1298129812981299</v>
      </c>
      <c r="BA4" s="6">
        <v>0.94469084268197234</v>
      </c>
      <c r="BB4" s="6">
        <v>1.348894348894349</v>
      </c>
      <c r="BC4" s="6">
        <v>1.1818844099077221</v>
      </c>
      <c r="BD4" s="6">
        <v>1.1551020408163266</v>
      </c>
      <c r="BE4" s="6">
        <v>1.1394335511982572</v>
      </c>
      <c r="BF4" s="6">
        <v>0.98750000000000004</v>
      </c>
      <c r="BG4" s="6">
        <v>1.1883720930232557</v>
      </c>
      <c r="BH4" s="6">
        <v>1.2724409448818899</v>
      </c>
      <c r="BI4" s="6">
        <v>1.0893470790378006</v>
      </c>
      <c r="BJ4" s="6">
        <v>1.3123486682808716</v>
      </c>
      <c r="BK4" s="6">
        <v>1.1141304347826086</v>
      </c>
      <c r="BL4" s="6">
        <v>1.1938250428816466</v>
      </c>
      <c r="BM4" s="6">
        <v>1.0934865900383142</v>
      </c>
      <c r="BN4" s="6">
        <v>1.027027027027027</v>
      </c>
      <c r="BO4" s="6">
        <v>0.8571428571428571</v>
      </c>
      <c r="BP4" s="6">
        <v>0.4</v>
      </c>
      <c r="BQ4" s="6">
        <v>1.1359999999999999</v>
      </c>
      <c r="BR4" s="6">
        <v>1.3636363636363635</v>
      </c>
      <c r="BS4" s="6">
        <v>1.2341269841269842</v>
      </c>
      <c r="BT4" s="6">
        <v>1.0788381742738589</v>
      </c>
      <c r="BU4" s="6">
        <v>1.0378006872852235</v>
      </c>
      <c r="BV4" s="6">
        <v>1.0741211351122406</v>
      </c>
      <c r="BW4" s="6">
        <v>1.0591397849462365</v>
      </c>
      <c r="BX4" s="6">
        <v>1.284</v>
      </c>
      <c r="BY4" s="6">
        <v>0</v>
      </c>
      <c r="BZ4" s="6">
        <v>1.0761627906976745</v>
      </c>
      <c r="CA4" s="6">
        <v>1.0106508875739646</v>
      </c>
      <c r="CB4" s="6">
        <v>1.0556090467862687</v>
      </c>
    </row>
    <row r="5" spans="1:80">
      <c r="A5" s="6" t="s">
        <v>164</v>
      </c>
      <c r="B5" s="6" t="s">
        <v>0</v>
      </c>
      <c r="C5" s="6">
        <v>1.1365979381443299</v>
      </c>
      <c r="D5" s="6">
        <v>1.2417582417582418</v>
      </c>
      <c r="E5" s="6">
        <v>1.1327570237727693</v>
      </c>
      <c r="F5" s="6">
        <v>1.2068095838587642</v>
      </c>
      <c r="G5" s="6">
        <v>1.2354533152909337</v>
      </c>
      <c r="H5" s="6">
        <v>1.0157610949813356</v>
      </c>
      <c r="I5" s="6">
        <v>1.2672811059907834</v>
      </c>
      <c r="J5" s="6">
        <v>1.1607843137254903</v>
      </c>
      <c r="K5" s="6">
        <v>1.2173913043478262</v>
      </c>
      <c r="L5" s="6">
        <v>1.3322368421052631</v>
      </c>
      <c r="M5" s="6">
        <v>1.0444444444444445</v>
      </c>
      <c r="N5" s="6">
        <v>1.1385542168674698</v>
      </c>
      <c r="O5" s="6">
        <v>1.134185303514377</v>
      </c>
      <c r="P5" s="6">
        <v>1.0476190476190477</v>
      </c>
      <c r="Q5" s="6">
        <v>0.98669298822841267</v>
      </c>
      <c r="R5" s="6">
        <v>1.1502890173410405</v>
      </c>
      <c r="S5" s="6">
        <v>1.0338983050847457</v>
      </c>
      <c r="T5" s="6">
        <v>1.375</v>
      </c>
      <c r="U5" s="6">
        <v>0.90889370932754876</v>
      </c>
      <c r="V5" s="6">
        <v>0.45</v>
      </c>
      <c r="W5" s="6">
        <v>1.0384351407000687</v>
      </c>
      <c r="X5" s="6">
        <v>1.1310344827586207</v>
      </c>
      <c r="Y5" s="6">
        <v>0.94770584538026403</v>
      </c>
      <c r="Z5" s="6">
        <v>1.1840490797546013</v>
      </c>
      <c r="AA5" s="6">
        <v>1.0674694365290927</v>
      </c>
      <c r="AB5" s="6">
        <v>1.0711681493364444</v>
      </c>
      <c r="AC5" s="6">
        <v>1.0713550600343054</v>
      </c>
      <c r="AD5" s="6">
        <v>1.0352941176470589</v>
      </c>
      <c r="AE5" s="6">
        <v>1.1544117647058822</v>
      </c>
      <c r="AF5" s="6">
        <v>1.1196581196581197</v>
      </c>
      <c r="AG5" s="6">
        <v>1</v>
      </c>
      <c r="AH5" s="6">
        <v>1.2222222222222223</v>
      </c>
      <c r="AI5" s="6">
        <v>1.1851368970013039</v>
      </c>
      <c r="AJ5" s="6">
        <v>0.72641509433962259</v>
      </c>
      <c r="AK5" s="6">
        <v>0.77075098814229248</v>
      </c>
      <c r="AL5" s="6">
        <v>1.5797872340425532</v>
      </c>
      <c r="AM5" s="6">
        <v>1.3569553805774279</v>
      </c>
      <c r="AN5" s="6">
        <v>1.24</v>
      </c>
      <c r="AO5" s="6">
        <v>0.88235294117647056</v>
      </c>
      <c r="AP5" s="6">
        <v>1.0607734806629834</v>
      </c>
      <c r="AQ5" s="6">
        <v>1.1463414634146341</v>
      </c>
      <c r="AR5" s="6">
        <v>1.3888888888888888</v>
      </c>
      <c r="AS5" s="6">
        <v>1.0922839506172839</v>
      </c>
      <c r="AT5" s="6">
        <v>1.3850267379679144</v>
      </c>
      <c r="AU5" s="6">
        <v>1.4626865671641791</v>
      </c>
      <c r="AV5" s="6">
        <v>1.22</v>
      </c>
      <c r="AW5" s="6">
        <v>1.1818181818181819</v>
      </c>
      <c r="AX5" s="6">
        <v>1.2293577981651376</v>
      </c>
      <c r="AY5" s="6">
        <v>1.0845323741007193</v>
      </c>
      <c r="AZ5" s="6">
        <v>1.1480038948393378</v>
      </c>
      <c r="BA5" s="6">
        <v>1.0538525269262635</v>
      </c>
      <c r="BB5" s="6">
        <v>0.99635701275045541</v>
      </c>
      <c r="BC5" s="6">
        <v>1.1752619683583316</v>
      </c>
      <c r="BD5" s="6">
        <v>1.0848056537102473</v>
      </c>
      <c r="BE5" s="6">
        <v>1.2026768642447419</v>
      </c>
      <c r="BF5" s="6">
        <v>1.2025316455696202</v>
      </c>
      <c r="BG5" s="6">
        <v>1.2093933463796478</v>
      </c>
      <c r="BH5" s="6">
        <v>1.1188118811881189</v>
      </c>
      <c r="BI5" s="6">
        <v>1.2649842271293374</v>
      </c>
      <c r="BJ5" s="6">
        <v>1.2103321033210332</v>
      </c>
      <c r="BK5" s="6">
        <v>1.0817073170731708</v>
      </c>
      <c r="BL5" s="6">
        <v>1.3175287356321839</v>
      </c>
      <c r="BM5" s="6">
        <v>1.2459705676243868</v>
      </c>
      <c r="BN5" s="6">
        <v>2.3947368421052633</v>
      </c>
      <c r="BO5" s="6">
        <v>1.25</v>
      </c>
      <c r="BP5" s="6">
        <v>2</v>
      </c>
      <c r="BQ5" s="6">
        <v>1.232394366197183</v>
      </c>
      <c r="BR5" s="6">
        <v>1.2</v>
      </c>
      <c r="BS5" s="6">
        <v>1.180064308681672</v>
      </c>
      <c r="BT5" s="6">
        <v>1.3</v>
      </c>
      <c r="BU5" s="6">
        <v>1.185430463576159</v>
      </c>
      <c r="BV5" s="6">
        <v>1.1354495268138802</v>
      </c>
      <c r="BW5" s="6">
        <v>1.0304568527918783</v>
      </c>
      <c r="BX5" s="6">
        <v>0.90031152647975077</v>
      </c>
      <c r="BY5" s="6" t="s">
        <v>277</v>
      </c>
      <c r="BZ5" s="6">
        <v>1.2090761750405186</v>
      </c>
      <c r="CA5" s="6">
        <v>0.92622950819672134</v>
      </c>
      <c r="CB5" s="6">
        <v>1.0866700173116659</v>
      </c>
    </row>
    <row r="6" spans="1:80">
      <c r="A6" s="6" t="s">
        <v>165</v>
      </c>
      <c r="B6" s="6" t="s">
        <v>0</v>
      </c>
      <c r="C6" s="6">
        <v>1.1753590325018897</v>
      </c>
      <c r="D6" s="6">
        <v>1.2787610619469028</v>
      </c>
      <c r="E6" s="6">
        <v>1.0787680566911966</v>
      </c>
      <c r="F6" s="6">
        <v>1.2215256008359456</v>
      </c>
      <c r="G6" s="6">
        <v>1.1588170865279299</v>
      </c>
      <c r="H6" s="6">
        <v>1.2666394446712943</v>
      </c>
      <c r="I6" s="6">
        <v>1.1054545454545455</v>
      </c>
      <c r="J6" s="6">
        <v>1.3626126126126126</v>
      </c>
      <c r="K6" s="6">
        <v>1.3035714285714286</v>
      </c>
      <c r="L6" s="6">
        <v>1.0617283950617284</v>
      </c>
      <c r="M6" s="6">
        <v>1.1418439716312057</v>
      </c>
      <c r="N6" s="6">
        <v>1.2989417989417988</v>
      </c>
      <c r="O6" s="6">
        <v>1.2873239436619719</v>
      </c>
      <c r="P6" s="6">
        <v>1.5909090909090908</v>
      </c>
      <c r="Q6" s="6">
        <v>0.94501667284179325</v>
      </c>
      <c r="R6" s="6">
        <v>0.94974874371859297</v>
      </c>
      <c r="S6" s="6">
        <v>1.3770491803278688</v>
      </c>
      <c r="T6" s="6">
        <v>0.90909090909090906</v>
      </c>
      <c r="U6" s="6">
        <v>1.2673031026252983</v>
      </c>
      <c r="V6" s="6">
        <v>1.4444444444444444</v>
      </c>
      <c r="W6" s="6">
        <v>0.80678563560255567</v>
      </c>
      <c r="X6" s="6">
        <v>1.1280487804878048</v>
      </c>
      <c r="Y6" s="6">
        <v>0.99469425653269661</v>
      </c>
      <c r="Z6" s="6">
        <v>1.0673575129533679</v>
      </c>
      <c r="AA6" s="6">
        <v>1.0313441832429173</v>
      </c>
      <c r="AB6" s="6">
        <v>1.0616746085772635</v>
      </c>
      <c r="AC6" s="6">
        <v>0.9490874159462056</v>
      </c>
      <c r="AD6" s="6">
        <v>1.0673076923076923</v>
      </c>
      <c r="AE6" s="6">
        <v>1.3503184713375795</v>
      </c>
      <c r="AF6" s="6">
        <v>1.3206106870229009</v>
      </c>
      <c r="AG6" s="6">
        <v>2</v>
      </c>
      <c r="AH6" s="6">
        <v>1.5454545454545454</v>
      </c>
      <c r="AI6" s="6">
        <v>1.2018701870187019</v>
      </c>
      <c r="AJ6" s="6">
        <v>1.0779220779220779</v>
      </c>
      <c r="AK6" s="6">
        <v>1.1333333333333333</v>
      </c>
      <c r="AL6" s="6">
        <v>1.1919191919191918</v>
      </c>
      <c r="AM6" s="6">
        <v>1.2359767891682785</v>
      </c>
      <c r="AN6" s="6">
        <v>1.232258064516129</v>
      </c>
      <c r="AO6" s="6">
        <v>0.93333333333333335</v>
      </c>
      <c r="AP6" s="6">
        <v>1.0989583333333333</v>
      </c>
      <c r="AQ6" s="6">
        <v>1.1808510638297873</v>
      </c>
      <c r="AR6" s="6">
        <v>1.3272727272727274</v>
      </c>
      <c r="AS6" s="6">
        <v>1.0697937270415372</v>
      </c>
      <c r="AT6" s="6">
        <v>1.2625482625482625</v>
      </c>
      <c r="AU6" s="6">
        <v>1.1938775510204083</v>
      </c>
      <c r="AV6" s="6">
        <v>1.4426229508196722</v>
      </c>
      <c r="AW6" s="6">
        <v>1.0242914979757085</v>
      </c>
      <c r="AX6" s="6">
        <v>1.3246268656716418</v>
      </c>
      <c r="AY6" s="6">
        <v>0.96185737976782748</v>
      </c>
      <c r="AZ6" s="6">
        <v>1.1704834605597965</v>
      </c>
      <c r="BA6" s="6">
        <v>1.0207023060796645</v>
      </c>
      <c r="BB6" s="6">
        <v>1.0603290676416819</v>
      </c>
      <c r="BC6" s="6">
        <v>1.227097902097902</v>
      </c>
      <c r="BD6" s="6">
        <v>1.0162866449511401</v>
      </c>
      <c r="BE6" s="6">
        <v>1.2734499205087439</v>
      </c>
      <c r="BF6" s="6">
        <v>1.0210526315789474</v>
      </c>
      <c r="BG6" s="6">
        <v>1.3220064724919094</v>
      </c>
      <c r="BH6" s="6">
        <v>1.293141592920354</v>
      </c>
      <c r="BI6" s="6">
        <v>1.0872817955112219</v>
      </c>
      <c r="BJ6" s="6">
        <v>1.350609756097561</v>
      </c>
      <c r="BK6" s="6">
        <v>1.2356257046223225</v>
      </c>
      <c r="BL6" s="6">
        <v>1.1930207197382769</v>
      </c>
      <c r="BM6" s="6">
        <v>1.1237345331833521</v>
      </c>
      <c r="BN6" s="6">
        <v>0.50549450549450547</v>
      </c>
      <c r="BO6" s="6">
        <v>1.6666666666666667</v>
      </c>
      <c r="BP6" s="6">
        <v>2.5</v>
      </c>
      <c r="BQ6" s="6">
        <v>1.2685714285714285</v>
      </c>
      <c r="BR6" s="6">
        <v>1.4444444444444444</v>
      </c>
      <c r="BS6" s="6">
        <v>1.0572207084468666</v>
      </c>
      <c r="BT6" s="6">
        <v>1.3165680473372781</v>
      </c>
      <c r="BU6" s="6">
        <v>1.0642458100558658</v>
      </c>
      <c r="BV6" s="6">
        <v>1.0576488973780169</v>
      </c>
      <c r="BW6" s="6">
        <v>1.4532019704433496</v>
      </c>
      <c r="BX6" s="6">
        <v>0.76816608996539792</v>
      </c>
      <c r="BY6" s="6" t="s">
        <v>277</v>
      </c>
      <c r="BZ6" s="6">
        <v>1.0462466487935658</v>
      </c>
      <c r="CA6" s="6">
        <v>1.1289506953223767</v>
      </c>
      <c r="CB6" s="6">
        <v>1.0747212086952054</v>
      </c>
    </row>
    <row r="7" spans="1:80">
      <c r="A7" s="6" t="s">
        <v>166</v>
      </c>
      <c r="B7" s="6" t="s">
        <v>0</v>
      </c>
      <c r="C7" s="6">
        <v>1.0767684887459807</v>
      </c>
      <c r="D7" s="6">
        <v>1.2422145328719723</v>
      </c>
      <c r="E7" s="6">
        <v>0.95982819605861547</v>
      </c>
      <c r="F7" s="6">
        <v>1.2172797262617623</v>
      </c>
      <c r="G7" s="6">
        <v>1.0321361058601135</v>
      </c>
      <c r="H7" s="6">
        <v>1.0767246937459702</v>
      </c>
      <c r="I7" s="6">
        <v>1.0153508771929824</v>
      </c>
      <c r="J7" s="6">
        <v>1.3818181818181818</v>
      </c>
      <c r="K7" s="6">
        <v>1.1849315068493151</v>
      </c>
      <c r="L7" s="6">
        <v>0.93720930232558142</v>
      </c>
      <c r="M7" s="6">
        <v>1.2857142857142858</v>
      </c>
      <c r="N7" s="6">
        <v>1.0835030549898168</v>
      </c>
      <c r="O7" s="6">
        <v>1.0787746170678336</v>
      </c>
      <c r="P7" s="6">
        <v>1.0857142857142856</v>
      </c>
      <c r="Q7" s="6">
        <v>1.025170548106328</v>
      </c>
      <c r="R7" s="6">
        <v>1.1957671957671958</v>
      </c>
      <c r="S7" s="6">
        <v>1.5238095238095237</v>
      </c>
      <c r="T7" s="6">
        <v>1.2</v>
      </c>
      <c r="U7" s="6">
        <v>1</v>
      </c>
      <c r="V7" s="6">
        <v>2.0769230769230771</v>
      </c>
      <c r="W7" s="6">
        <v>1.1706717640633533</v>
      </c>
      <c r="X7" s="6">
        <v>0.9513513513513514</v>
      </c>
      <c r="Y7" s="6">
        <v>0.94332577677023599</v>
      </c>
      <c r="Z7" s="6">
        <v>1.0242718446601942</v>
      </c>
      <c r="AA7" s="6">
        <v>0.89129164231443603</v>
      </c>
      <c r="AB7" s="6">
        <v>0.86560656578609896</v>
      </c>
      <c r="AC7" s="6">
        <v>0.91261808367071529</v>
      </c>
      <c r="AD7" s="6">
        <v>0.99590499590499593</v>
      </c>
      <c r="AE7" s="6">
        <v>1.0660377358490567</v>
      </c>
      <c r="AF7" s="6">
        <v>1.0635838150289016</v>
      </c>
      <c r="AG7" s="6">
        <v>3.5</v>
      </c>
      <c r="AH7" s="6">
        <v>0.94117647058823528</v>
      </c>
      <c r="AI7" s="6">
        <v>1.1295194508009154</v>
      </c>
      <c r="AJ7" s="6">
        <v>1.0240963855421688</v>
      </c>
      <c r="AK7" s="6">
        <v>1.253393665158371</v>
      </c>
      <c r="AL7" s="6">
        <v>1.0508474576271187</v>
      </c>
      <c r="AM7" s="6">
        <v>1.1408450704225352</v>
      </c>
      <c r="AN7" s="6">
        <v>1.2303664921465969</v>
      </c>
      <c r="AO7" s="6">
        <v>1.6428571428571428</v>
      </c>
      <c r="AP7" s="6">
        <v>0.99052132701421802</v>
      </c>
      <c r="AQ7" s="6">
        <v>1.1081081081081081</v>
      </c>
      <c r="AR7" s="6">
        <v>1.1342465753424658</v>
      </c>
      <c r="AS7" s="6">
        <v>1.0944268357105125</v>
      </c>
      <c r="AT7" s="6">
        <v>1.3027522935779816</v>
      </c>
      <c r="AU7" s="6">
        <v>1.0769230769230769</v>
      </c>
      <c r="AV7" s="6">
        <v>1.0113636363636365</v>
      </c>
      <c r="AW7" s="6">
        <v>1</v>
      </c>
      <c r="AX7" s="6">
        <v>1.1746478873239437</v>
      </c>
      <c r="AY7" s="6">
        <v>1.356896551724138</v>
      </c>
      <c r="AZ7" s="6">
        <v>1.0905797101449275</v>
      </c>
      <c r="BA7" s="6">
        <v>1.0254172015404364</v>
      </c>
      <c r="BB7" s="6">
        <v>1.1775862068965517</v>
      </c>
      <c r="BC7" s="6">
        <v>1.0830602649950136</v>
      </c>
      <c r="BD7" s="6">
        <v>0.96474358974358976</v>
      </c>
      <c r="BE7" s="6">
        <v>1.0062421972534332</v>
      </c>
      <c r="BF7" s="6">
        <v>1.2371134020618557</v>
      </c>
      <c r="BG7" s="6">
        <v>1.1444308445532436</v>
      </c>
      <c r="BH7" s="6">
        <v>1.2908468776732249</v>
      </c>
      <c r="BI7" s="6">
        <v>1.5802752293577982</v>
      </c>
      <c r="BJ7" s="6">
        <v>1.2279909706546275</v>
      </c>
      <c r="BK7" s="6">
        <v>0.92518248175182483</v>
      </c>
      <c r="BL7" s="6">
        <v>0.7705667276051188</v>
      </c>
      <c r="BM7" s="6">
        <v>1.1176176176176176</v>
      </c>
      <c r="BN7" s="6">
        <v>1.0434782608695652</v>
      </c>
      <c r="BO7" s="6">
        <v>1</v>
      </c>
      <c r="BP7" s="6">
        <v>1.3</v>
      </c>
      <c r="BQ7" s="6">
        <v>1.2972972972972974</v>
      </c>
      <c r="BR7" s="6">
        <v>1.0769230769230769</v>
      </c>
      <c r="BS7" s="6">
        <v>1.1443298969072164</v>
      </c>
      <c r="BT7" s="6">
        <v>1.0853932584269663</v>
      </c>
      <c r="BU7" s="6">
        <v>1.0866141732283465</v>
      </c>
      <c r="BV7" s="6">
        <v>1.0321786241996389</v>
      </c>
      <c r="BW7" s="6">
        <v>1.2915254237288136</v>
      </c>
      <c r="BX7" s="6">
        <v>1.1081081081081081</v>
      </c>
      <c r="BY7" s="6" t="s">
        <v>277</v>
      </c>
      <c r="BZ7" s="6">
        <v>0.99743754003843688</v>
      </c>
      <c r="CA7" s="6">
        <v>1.1007838745800671</v>
      </c>
      <c r="CB7" s="6">
        <v>1.0324519039194122</v>
      </c>
    </row>
    <row r="8" spans="1:80">
      <c r="A8" s="6" t="s">
        <v>167</v>
      </c>
      <c r="B8" s="6" t="s">
        <v>0</v>
      </c>
      <c r="C8" s="6">
        <v>0.97596117954460615</v>
      </c>
      <c r="D8" s="6">
        <v>1.6044568245125348</v>
      </c>
      <c r="E8" s="6">
        <v>0.93156093708870757</v>
      </c>
      <c r="F8" s="6">
        <v>1.050597329585383</v>
      </c>
      <c r="G8" s="6">
        <v>1.0622710622710623</v>
      </c>
      <c r="H8" s="6">
        <v>0.80508982035928145</v>
      </c>
      <c r="I8" s="6">
        <v>0.99460043196544279</v>
      </c>
      <c r="J8" s="6">
        <v>1.1226076555023923</v>
      </c>
      <c r="K8" s="6">
        <v>1.046242774566474</v>
      </c>
      <c r="L8" s="6">
        <v>1.022332506203474</v>
      </c>
      <c r="M8" s="6">
        <v>1.0772946859903381</v>
      </c>
      <c r="N8" s="6">
        <v>1.0921052631578947</v>
      </c>
      <c r="O8" s="6">
        <v>1.0993914807302232</v>
      </c>
      <c r="P8" s="6">
        <v>1.131578947368421</v>
      </c>
      <c r="Q8" s="6">
        <v>1.1200091785222579</v>
      </c>
      <c r="R8" s="6">
        <v>1.0884955752212389</v>
      </c>
      <c r="S8" s="6">
        <v>0.953125</v>
      </c>
      <c r="T8" s="6">
        <v>1.0833333333333333</v>
      </c>
      <c r="U8" s="6">
        <v>1.2184557438794728</v>
      </c>
      <c r="V8" s="6">
        <v>1.7407407407407407</v>
      </c>
      <c r="W8" s="6">
        <v>1.0272918124562631</v>
      </c>
      <c r="X8" s="6">
        <v>1.2130681818181819</v>
      </c>
      <c r="Y8" s="6">
        <v>1.1690698331919707</v>
      </c>
      <c r="Z8" s="6">
        <v>1.066350710900474</v>
      </c>
      <c r="AA8" s="6">
        <v>1.1218735362997658</v>
      </c>
      <c r="AB8" s="6">
        <v>1.1011851851851853</v>
      </c>
      <c r="AC8" s="6">
        <v>1.1197781885397413</v>
      </c>
      <c r="AD8" s="6">
        <v>1.2483552631578947</v>
      </c>
      <c r="AE8" s="6">
        <v>1.1327433628318584</v>
      </c>
      <c r="AF8" s="6">
        <v>1.173913043478261</v>
      </c>
      <c r="AG8" s="6">
        <v>0.2857142857142857</v>
      </c>
      <c r="AH8" s="6">
        <v>1.1875</v>
      </c>
      <c r="AI8" s="6">
        <v>1.1786871961102108</v>
      </c>
      <c r="AJ8" s="6">
        <v>0.94117647058823528</v>
      </c>
      <c r="AK8" s="6">
        <v>1.2851985559566788</v>
      </c>
      <c r="AL8" s="6">
        <v>1.14247311827957</v>
      </c>
      <c r="AM8" s="6">
        <v>1.1440329218106995</v>
      </c>
      <c r="AN8" s="6">
        <v>1.1872340425531915</v>
      </c>
      <c r="AO8" s="6">
        <v>1.2608695652173914</v>
      </c>
      <c r="AP8" s="6">
        <v>1.6267942583732058</v>
      </c>
      <c r="AQ8" s="6">
        <v>1.2926829268292683</v>
      </c>
      <c r="AR8" s="6">
        <v>0.98067632850241548</v>
      </c>
      <c r="AS8" s="6">
        <v>1.1812477374200554</v>
      </c>
      <c r="AT8" s="6">
        <v>1.1830985915492958</v>
      </c>
      <c r="AU8" s="6">
        <v>1.1984126984126984</v>
      </c>
      <c r="AV8" s="6">
        <v>1.1573033707865168</v>
      </c>
      <c r="AW8" s="6">
        <v>1.1067193675889329</v>
      </c>
      <c r="AX8" s="6">
        <v>1.2422062350119905</v>
      </c>
      <c r="AY8" s="6">
        <v>0.86404066073697583</v>
      </c>
      <c r="AZ8" s="6">
        <v>1.1740863787375415</v>
      </c>
      <c r="BA8" s="6">
        <v>1.2754131196795193</v>
      </c>
      <c r="BB8" s="6">
        <v>1.0161054172767203</v>
      </c>
      <c r="BC8" s="6">
        <v>1.205340699815838</v>
      </c>
      <c r="BD8" s="6">
        <v>1.3272425249169435</v>
      </c>
      <c r="BE8" s="6">
        <v>1.3188585607940446</v>
      </c>
      <c r="BF8" s="6">
        <v>1.1833333333333333</v>
      </c>
      <c r="BG8" s="6">
        <v>1.0855614973262031</v>
      </c>
      <c r="BH8" s="6">
        <v>1.1616964877402254</v>
      </c>
      <c r="BI8" s="6">
        <v>1</v>
      </c>
      <c r="BJ8" s="6">
        <v>1.2490808823529411</v>
      </c>
      <c r="BK8" s="6">
        <v>1.1104536489151873</v>
      </c>
      <c r="BL8" s="6">
        <v>1.4448398576512456</v>
      </c>
      <c r="BM8" s="6">
        <v>1.1173309449171518</v>
      </c>
      <c r="BN8" s="6">
        <v>1.3541666666666667</v>
      </c>
      <c r="BO8" s="6">
        <v>1.1466666666666667</v>
      </c>
      <c r="BP8" s="6">
        <v>0.92307692307692313</v>
      </c>
      <c r="BQ8" s="6">
        <v>1.0486111111111112</v>
      </c>
      <c r="BR8" s="6">
        <v>1.125</v>
      </c>
      <c r="BS8" s="6">
        <v>1.0563063063063063</v>
      </c>
      <c r="BT8" s="6">
        <v>1.0973084886128364</v>
      </c>
      <c r="BU8" s="6">
        <v>1.1702898550724639</v>
      </c>
      <c r="BV8" s="6">
        <v>1.0792110704628599</v>
      </c>
      <c r="BW8" s="6">
        <v>1.1128608923884515</v>
      </c>
      <c r="BX8" s="6">
        <v>0.66260162601626016</v>
      </c>
      <c r="BY8" s="6" t="s">
        <v>277</v>
      </c>
      <c r="BZ8" s="6">
        <v>1.126739456219225</v>
      </c>
      <c r="CA8" s="6">
        <v>0.95116988809766023</v>
      </c>
      <c r="CB8" s="6">
        <v>1.1064453878811269</v>
      </c>
    </row>
    <row r="9" spans="1:80">
      <c r="A9" s="6" t="s">
        <v>168</v>
      </c>
      <c r="B9" s="6" t="s">
        <v>0</v>
      </c>
      <c r="C9" s="6">
        <v>1.2089803411611719</v>
      </c>
      <c r="D9" s="6">
        <v>1.1440972222222223</v>
      </c>
      <c r="E9" s="6">
        <v>0.81717999434868605</v>
      </c>
      <c r="F9" s="6">
        <v>1.1772575250836121</v>
      </c>
      <c r="G9" s="6">
        <v>0.90517241379310343</v>
      </c>
      <c r="H9" s="6">
        <v>2.1424321309036816</v>
      </c>
      <c r="I9" s="6">
        <v>1.1769815418023888</v>
      </c>
      <c r="J9" s="6">
        <v>0.87852956846030905</v>
      </c>
      <c r="K9" s="6">
        <v>1.0828729281767955</v>
      </c>
      <c r="L9" s="6">
        <v>1.2135922330097086</v>
      </c>
      <c r="M9" s="6">
        <v>1.1345291479820627</v>
      </c>
      <c r="N9" s="6">
        <v>1.270223752151463</v>
      </c>
      <c r="O9" s="6">
        <v>1.2490774907749078</v>
      </c>
      <c r="P9" s="6">
        <v>1.4651162790697674</v>
      </c>
      <c r="Q9" s="6">
        <v>1.0258143822987094</v>
      </c>
      <c r="R9" s="6">
        <v>1.0081300813008129</v>
      </c>
      <c r="S9" s="6">
        <v>1.7868852459016393</v>
      </c>
      <c r="T9" s="6">
        <v>0.92307692307692313</v>
      </c>
      <c r="U9" s="6">
        <v>0.95981452859350846</v>
      </c>
      <c r="V9" s="6">
        <v>0.2978723404255319</v>
      </c>
      <c r="W9" s="6">
        <v>0.97297910990009084</v>
      </c>
      <c r="X9" s="6">
        <v>0.89929742388758782</v>
      </c>
      <c r="Y9" s="6">
        <v>1.0605804111245465</v>
      </c>
      <c r="Z9" s="6">
        <v>0.98666666666666669</v>
      </c>
      <c r="AA9" s="6">
        <v>1.0856713426853708</v>
      </c>
      <c r="AB9" s="6">
        <v>1.05179604466568</v>
      </c>
      <c r="AC9" s="6">
        <v>1.1581379993397161</v>
      </c>
      <c r="AD9" s="6">
        <v>1.1040843214756257</v>
      </c>
      <c r="AE9" s="6">
        <v>0.921875</v>
      </c>
      <c r="AF9" s="6">
        <v>0.89814814814814814</v>
      </c>
      <c r="AG9" s="6">
        <v>5</v>
      </c>
      <c r="AH9" s="6">
        <v>0.86842105263157898</v>
      </c>
      <c r="AI9" s="6">
        <v>1.0312822275696116</v>
      </c>
      <c r="AJ9" s="6">
        <v>1.1375</v>
      </c>
      <c r="AK9" s="6">
        <v>0.9353932584269663</v>
      </c>
      <c r="AL9" s="6">
        <v>0.9882352941176471</v>
      </c>
      <c r="AM9" s="6">
        <v>1.1294964028776979</v>
      </c>
      <c r="AN9" s="6">
        <v>1.075268817204301</v>
      </c>
      <c r="AO9" s="6">
        <v>0.7931034482758621</v>
      </c>
      <c r="AP9" s="6">
        <v>0.87941176470588234</v>
      </c>
      <c r="AQ9" s="6">
        <v>0.96226415094339623</v>
      </c>
      <c r="AR9" s="6">
        <v>1.083743842364532</v>
      </c>
      <c r="AS9" s="6">
        <v>0.9629175605271223</v>
      </c>
      <c r="AT9" s="6">
        <v>0.93452380952380953</v>
      </c>
      <c r="AU9" s="6">
        <v>1.0529801324503312</v>
      </c>
      <c r="AV9" s="6">
        <v>1.058252427184466</v>
      </c>
      <c r="AW9" s="6">
        <v>1.2250000000000001</v>
      </c>
      <c r="AX9" s="6">
        <v>1.0926640926640927</v>
      </c>
      <c r="AY9" s="6">
        <v>1.1323529411764706</v>
      </c>
      <c r="AZ9" s="6">
        <v>0.91850594227504245</v>
      </c>
      <c r="BA9" s="6">
        <v>0.90675304279544566</v>
      </c>
      <c r="BB9" s="6">
        <v>1.1080691642651297</v>
      </c>
      <c r="BC9" s="6">
        <v>1.086871112081196</v>
      </c>
      <c r="BD9" s="6">
        <v>1.0988735919899875</v>
      </c>
      <c r="BE9" s="6">
        <v>1.0244590780809031</v>
      </c>
      <c r="BF9" s="6">
        <v>1.408450704225352</v>
      </c>
      <c r="BG9" s="6">
        <v>1.2009852216748769</v>
      </c>
      <c r="BH9" s="6">
        <v>1.0159726183685112</v>
      </c>
      <c r="BI9" s="6">
        <v>0.95065312046444117</v>
      </c>
      <c r="BJ9" s="6">
        <v>0.99116997792494477</v>
      </c>
      <c r="BK9" s="6">
        <v>1.3658969804618117</v>
      </c>
      <c r="BL9" s="6">
        <v>1.0246305418719213</v>
      </c>
      <c r="BM9" s="6">
        <v>1.1270541082164329</v>
      </c>
      <c r="BN9" s="6">
        <v>1.3076923076923077</v>
      </c>
      <c r="BO9" s="6">
        <v>1.1511627906976745</v>
      </c>
      <c r="BP9" s="6">
        <v>1.1666666666666667</v>
      </c>
      <c r="BQ9" s="6">
        <v>1.1225165562913908</v>
      </c>
      <c r="BR9" s="6">
        <v>1.0158730158730158</v>
      </c>
      <c r="BS9" s="6">
        <v>1.2707889125799574</v>
      </c>
      <c r="BT9" s="6">
        <v>1.090566037735849</v>
      </c>
      <c r="BU9" s="6">
        <v>1.0712074303405572</v>
      </c>
      <c r="BV9" s="6">
        <v>1.0299189388356669</v>
      </c>
      <c r="BW9" s="6">
        <v>1.1981132075471699</v>
      </c>
      <c r="BX9" s="6">
        <v>0.77300613496932513</v>
      </c>
      <c r="BY9" s="6" t="s">
        <v>277</v>
      </c>
      <c r="BZ9" s="6">
        <v>0.99486984609538287</v>
      </c>
      <c r="CA9" s="6">
        <v>1.1946524064171122</v>
      </c>
      <c r="CB9" s="6">
        <v>1.0741174829077718</v>
      </c>
    </row>
    <row r="10" spans="1:80">
      <c r="A10" s="6" t="s">
        <v>169</v>
      </c>
      <c r="B10" s="6" t="s">
        <v>0</v>
      </c>
      <c r="C10" s="6">
        <v>1.0883264789623537</v>
      </c>
      <c r="D10" s="6">
        <v>1.1274658573596359</v>
      </c>
      <c r="E10" s="6">
        <v>1.190179806362379</v>
      </c>
      <c r="F10" s="6">
        <v>1.0420454545454545</v>
      </c>
      <c r="G10" s="6">
        <v>1.1457142857142857</v>
      </c>
      <c r="H10" s="6">
        <v>1.0487762541225483</v>
      </c>
      <c r="I10" s="6">
        <v>1.0664206642066421</v>
      </c>
      <c r="J10" s="6">
        <v>1.0448756822316556</v>
      </c>
      <c r="K10" s="6">
        <v>0.98469387755102045</v>
      </c>
      <c r="L10" s="6">
        <v>1.1160000000000001</v>
      </c>
      <c r="M10" s="6">
        <v>1.1976284584980237</v>
      </c>
      <c r="N10" s="6">
        <v>1.2086720867208671</v>
      </c>
      <c r="O10" s="6">
        <v>1.2333825701624814</v>
      </c>
      <c r="P10" s="6">
        <v>0.87301587301587302</v>
      </c>
      <c r="Q10" s="6">
        <v>1.1413354636841755</v>
      </c>
      <c r="R10" s="6">
        <v>1.1008064516129032</v>
      </c>
      <c r="S10" s="6">
        <v>1.1697247706422018</v>
      </c>
      <c r="T10" s="6">
        <v>0.91666666666666663</v>
      </c>
      <c r="U10" s="6">
        <v>1.0998389694041868</v>
      </c>
      <c r="V10" s="6">
        <v>1.3571428571428572</v>
      </c>
      <c r="W10" s="6">
        <v>1.2193698949824971</v>
      </c>
      <c r="X10" s="6">
        <v>0.99739583333333337</v>
      </c>
      <c r="Y10" s="6">
        <v>1.117432447839471</v>
      </c>
      <c r="Z10" s="6">
        <v>1.0225225225225225</v>
      </c>
      <c r="AA10" s="6">
        <v>1.1512075065374558</v>
      </c>
      <c r="AB10" s="6">
        <v>1.128293681248401</v>
      </c>
      <c r="AC10" s="6">
        <v>1.169327251995439</v>
      </c>
      <c r="AD10" s="6">
        <v>1.2189737470167064</v>
      </c>
      <c r="AE10" s="6">
        <v>1.1440677966101696</v>
      </c>
      <c r="AF10" s="6">
        <v>1.0103092783505154</v>
      </c>
      <c r="AG10" s="6">
        <v>3</v>
      </c>
      <c r="AH10" s="6">
        <v>1.3333333333333333</v>
      </c>
      <c r="AI10" s="6">
        <v>1.0720000000000001</v>
      </c>
      <c r="AJ10" s="6">
        <v>1.5714285714285714</v>
      </c>
      <c r="AK10" s="6">
        <v>0.98498498498498499</v>
      </c>
      <c r="AL10" s="6">
        <v>1.0452380952380953</v>
      </c>
      <c r="AM10" s="6">
        <v>1.1231422505307855</v>
      </c>
      <c r="AN10" s="6">
        <v>0.99333333333333329</v>
      </c>
      <c r="AO10" s="6">
        <v>0.91304347826086951</v>
      </c>
      <c r="AP10" s="6">
        <v>1.0635451505016722</v>
      </c>
      <c r="AQ10" s="6">
        <v>1.0588235294117647</v>
      </c>
      <c r="AR10" s="6">
        <v>1.0136363636363637</v>
      </c>
      <c r="AS10" s="6">
        <v>1.0520899639295564</v>
      </c>
      <c r="AT10" s="6">
        <v>1.0828025477707006</v>
      </c>
      <c r="AU10" s="6">
        <v>1.0251572327044025</v>
      </c>
      <c r="AV10" s="6">
        <v>0.98165137614678899</v>
      </c>
      <c r="AW10" s="6">
        <v>1.2128279883381925</v>
      </c>
      <c r="AX10" s="6">
        <v>1.1060070671378093</v>
      </c>
      <c r="AY10" s="6">
        <v>1.0168831168831169</v>
      </c>
      <c r="AZ10" s="6">
        <v>1.026494146642021</v>
      </c>
      <c r="BA10" s="6">
        <v>1.0601861874864689</v>
      </c>
      <c r="BB10" s="6">
        <v>0.97399219765929779</v>
      </c>
      <c r="BC10" s="6">
        <v>1.1369615423235264</v>
      </c>
      <c r="BD10" s="6">
        <v>1.1788154897494305</v>
      </c>
      <c r="BE10" s="6">
        <v>1.0918273645546372</v>
      </c>
      <c r="BF10" s="6">
        <v>1.105</v>
      </c>
      <c r="BG10" s="6">
        <v>0.94011484823625924</v>
      </c>
      <c r="BH10" s="6">
        <v>0.93992139247613704</v>
      </c>
      <c r="BI10" s="6">
        <v>1.5068702290076337</v>
      </c>
      <c r="BJ10" s="6">
        <v>0.93689680772086115</v>
      </c>
      <c r="BK10" s="6">
        <v>1.2152145643693109</v>
      </c>
      <c r="BL10" s="6">
        <v>1.547275641025641</v>
      </c>
      <c r="BM10" s="6">
        <v>1.0860597439544808</v>
      </c>
      <c r="BN10" s="6">
        <v>1.0235294117647058</v>
      </c>
      <c r="BO10" s="6">
        <v>0.97979797979797978</v>
      </c>
      <c r="BP10" s="6">
        <v>1</v>
      </c>
      <c r="BQ10" s="6">
        <v>1.1091445427728615</v>
      </c>
      <c r="BR10" s="6">
        <v>0.921875</v>
      </c>
      <c r="BS10" s="6">
        <v>1.1912751677852349</v>
      </c>
      <c r="BT10" s="6">
        <v>1.1505190311418685</v>
      </c>
      <c r="BU10" s="6">
        <v>1.0048169556840076</v>
      </c>
      <c r="BV10" s="6">
        <v>0.97409845449341725</v>
      </c>
      <c r="BW10" s="6">
        <v>1.0433070866141732</v>
      </c>
      <c r="BX10" s="6">
        <v>1.0158730158730158</v>
      </c>
      <c r="BY10" s="6" t="s">
        <v>277</v>
      </c>
      <c r="BZ10" s="6">
        <v>0.94022154316271966</v>
      </c>
      <c r="CA10" s="6">
        <v>1.0922112802148611</v>
      </c>
      <c r="CB10" s="6">
        <v>1.1014263074484945</v>
      </c>
    </row>
    <row r="11" spans="1:80">
      <c r="A11" s="6" t="s">
        <v>170</v>
      </c>
      <c r="B11" s="6" t="s">
        <v>0</v>
      </c>
      <c r="C11" s="6">
        <v>0.88111156328120455</v>
      </c>
      <c r="D11" s="6">
        <v>0.76312247644683717</v>
      </c>
      <c r="E11" s="6">
        <v>1.1362579895409646</v>
      </c>
      <c r="F11" s="6">
        <v>1.16793893129771</v>
      </c>
      <c r="G11" s="6">
        <v>0.97921862011637573</v>
      </c>
      <c r="H11" s="6">
        <v>0.83035418735518041</v>
      </c>
      <c r="I11" s="6">
        <v>0.98183391003460208</v>
      </c>
      <c r="J11" s="6">
        <v>0.1044689495066744</v>
      </c>
      <c r="K11" s="6">
        <v>0.91191709844559588</v>
      </c>
      <c r="L11" s="6">
        <v>0.97670250896057342</v>
      </c>
      <c r="M11" s="6">
        <v>0.99339933993399343</v>
      </c>
      <c r="N11" s="6">
        <v>1.2959641255605381</v>
      </c>
      <c r="O11" s="6">
        <v>1.2982035928143714</v>
      </c>
      <c r="P11" s="6">
        <v>1.2727272727272727</v>
      </c>
      <c r="Q11" s="6">
        <v>1.04462202519832</v>
      </c>
      <c r="R11" s="6">
        <v>0.93406593406593408</v>
      </c>
      <c r="S11" s="6">
        <v>1.7725490196078431</v>
      </c>
      <c r="T11" s="6">
        <v>0.90909090909090906</v>
      </c>
      <c r="U11" s="6">
        <v>1.0234260614934114</v>
      </c>
      <c r="V11" s="6">
        <v>1.1578947368421053</v>
      </c>
      <c r="W11" s="6">
        <v>0.86181818181818182</v>
      </c>
      <c r="X11" s="6">
        <v>1.1723237597911227</v>
      </c>
      <c r="Y11" s="6">
        <v>1.1238649117436996</v>
      </c>
      <c r="Z11" s="6">
        <v>1.0925110132158591</v>
      </c>
      <c r="AA11" s="6">
        <v>1.0072822020309995</v>
      </c>
      <c r="AB11" s="6">
        <v>1.1165400748214489</v>
      </c>
      <c r="AC11" s="6">
        <v>0.8225255972696246</v>
      </c>
      <c r="AD11" s="6">
        <v>0.90797846304454233</v>
      </c>
      <c r="AE11" s="6">
        <v>1.4259259259259258</v>
      </c>
      <c r="AF11" s="6">
        <v>1.3520408163265305</v>
      </c>
      <c r="AG11" s="6">
        <v>2.3333333333333335</v>
      </c>
      <c r="AH11" s="6">
        <v>1.1363636363636365</v>
      </c>
      <c r="AI11" s="6">
        <v>1.0531716417910448</v>
      </c>
      <c r="AJ11" s="6">
        <v>0.97202797202797198</v>
      </c>
      <c r="AK11" s="6">
        <v>0.96341463414634143</v>
      </c>
      <c r="AL11" s="6">
        <v>1.1958997722095672</v>
      </c>
      <c r="AM11" s="6">
        <v>1.1578449905482042</v>
      </c>
      <c r="AN11" s="6">
        <v>0.94966442953020136</v>
      </c>
      <c r="AO11" s="6">
        <v>1.5238095238095237</v>
      </c>
      <c r="AP11" s="6">
        <v>0.74528301886792447</v>
      </c>
      <c r="AQ11" s="6">
        <v>1.0123456790123457</v>
      </c>
      <c r="AR11" s="6">
        <v>1.047085201793722</v>
      </c>
      <c r="AS11" s="6">
        <v>1.0510234950085711</v>
      </c>
      <c r="AT11" s="6">
        <v>0.97450980392156861</v>
      </c>
      <c r="AU11" s="6">
        <v>1.0368098159509203</v>
      </c>
      <c r="AV11" s="6">
        <v>0.9719626168224299</v>
      </c>
      <c r="AW11" s="6">
        <v>1.0120192307692308</v>
      </c>
      <c r="AX11" s="6">
        <v>0.94728434504792336</v>
      </c>
      <c r="AY11" s="6">
        <v>0.89144316730523632</v>
      </c>
      <c r="AZ11" s="6">
        <v>1.0960384153661464</v>
      </c>
      <c r="BA11" s="6">
        <v>1.1063916683683888</v>
      </c>
      <c r="BB11" s="6">
        <v>0.93724966622162886</v>
      </c>
      <c r="BC11" s="6">
        <v>0.94091671818422684</v>
      </c>
      <c r="BD11" s="6">
        <v>0.78067632850241542</v>
      </c>
      <c r="BE11" s="6">
        <v>1.1480235492010094</v>
      </c>
      <c r="BF11" s="6">
        <v>0.8190045248868778</v>
      </c>
      <c r="BG11" s="6">
        <v>0.90226876090750441</v>
      </c>
      <c r="BH11" s="6">
        <v>0.93488649940262847</v>
      </c>
      <c r="BI11" s="6">
        <v>0.87335359675785207</v>
      </c>
      <c r="BJ11" s="6">
        <v>1.0118858954041206</v>
      </c>
      <c r="BK11" s="6">
        <v>0.9967897271268058</v>
      </c>
      <c r="BL11" s="6">
        <v>0.88089073019161057</v>
      </c>
      <c r="BM11" s="6">
        <v>1.0943025540275049</v>
      </c>
      <c r="BN11" s="6">
        <v>0.97701149425287359</v>
      </c>
      <c r="BO11" s="6">
        <v>1.0103092783505154</v>
      </c>
      <c r="BP11" s="6">
        <v>0.8571428571428571</v>
      </c>
      <c r="BQ11" s="6">
        <v>0.9707446808510638</v>
      </c>
      <c r="BR11" s="6">
        <v>1.0508474576271187</v>
      </c>
      <c r="BS11" s="6">
        <v>1.228169014084507</v>
      </c>
      <c r="BT11" s="6">
        <v>1.0090225563909774</v>
      </c>
      <c r="BU11" s="6">
        <v>1.1313518696069031</v>
      </c>
      <c r="BV11" s="6">
        <v>1.6887028059350668</v>
      </c>
      <c r="BW11" s="6">
        <v>1.4452830188679244</v>
      </c>
      <c r="BX11" s="6">
        <v>1.0546875</v>
      </c>
      <c r="BY11" s="6">
        <v>2</v>
      </c>
      <c r="BZ11" s="6">
        <v>1.5523055047735121</v>
      </c>
      <c r="CA11" s="6">
        <v>2.416393442622951</v>
      </c>
      <c r="CB11" s="6">
        <v>1.0494987616464206</v>
      </c>
    </row>
    <row r="12" spans="1:80">
      <c r="A12" s="6" t="s">
        <v>171</v>
      </c>
      <c r="B12" s="6" t="s">
        <v>0</v>
      </c>
      <c r="C12" s="6">
        <v>1.0475059382422802</v>
      </c>
      <c r="D12" s="6">
        <v>1.2310405643738977</v>
      </c>
      <c r="E12" s="6">
        <v>1.0644336486832011</v>
      </c>
      <c r="F12" s="6">
        <v>1.031279178338002</v>
      </c>
      <c r="G12" s="6">
        <v>1.1774193548387097</v>
      </c>
      <c r="H12" s="6">
        <v>0.9730914889376121</v>
      </c>
      <c r="I12" s="6">
        <v>1.0502202643171805</v>
      </c>
      <c r="J12" s="6">
        <v>0.91111111111111109</v>
      </c>
      <c r="K12" s="6">
        <v>1.2102272727272727</v>
      </c>
      <c r="L12" s="6">
        <v>1.1486238532110091</v>
      </c>
      <c r="M12" s="6">
        <v>1.1428571428571428</v>
      </c>
      <c r="N12" s="6">
        <v>1.21280276816609</v>
      </c>
      <c r="O12" s="6">
        <v>1.2407749077490775</v>
      </c>
      <c r="P12" s="6">
        <v>0.81428571428571428</v>
      </c>
      <c r="Q12" s="6">
        <v>0.93064939415936121</v>
      </c>
      <c r="R12" s="6">
        <v>0.67254901960784319</v>
      </c>
      <c r="S12" s="6">
        <v>1.7190265486725664</v>
      </c>
      <c r="T12" s="6">
        <v>1.3</v>
      </c>
      <c r="U12" s="6">
        <v>0.9985693848354793</v>
      </c>
      <c r="V12" s="6">
        <v>1.3636363636363635</v>
      </c>
      <c r="W12" s="6">
        <v>0.88207861425716194</v>
      </c>
      <c r="X12" s="6">
        <v>0.92427616926503342</v>
      </c>
      <c r="Y12" s="6">
        <v>0.92274171584203357</v>
      </c>
      <c r="Z12" s="6">
        <v>1.0362903225806452</v>
      </c>
      <c r="AA12" s="6">
        <v>0.95934204417324398</v>
      </c>
      <c r="AB12" s="6">
        <v>0.8534876637222053</v>
      </c>
      <c r="AC12" s="6">
        <v>1.2371072910491998</v>
      </c>
      <c r="AD12" s="6">
        <v>1.013477088948787</v>
      </c>
      <c r="AE12" s="6">
        <v>0.84155844155844151</v>
      </c>
      <c r="AF12" s="6">
        <v>0.85283018867924532</v>
      </c>
      <c r="AG12" s="6">
        <v>0.72857142857142854</v>
      </c>
      <c r="AH12" s="6">
        <v>1.02</v>
      </c>
      <c r="AI12" s="6">
        <v>1.1378801299084735</v>
      </c>
      <c r="AJ12" s="6">
        <v>1.1438848920863309</v>
      </c>
      <c r="AK12" s="6">
        <v>1.2025316455696202</v>
      </c>
      <c r="AL12" s="6">
        <v>0.99809523809523815</v>
      </c>
      <c r="AM12" s="6">
        <v>1.2089795918367348</v>
      </c>
      <c r="AN12" s="6">
        <v>1.1802120141342756</v>
      </c>
      <c r="AO12" s="6">
        <v>0.96875</v>
      </c>
      <c r="AP12" s="6">
        <v>0.97890295358649793</v>
      </c>
      <c r="AQ12" s="6">
        <v>1.0853658536585367</v>
      </c>
      <c r="AR12" s="6">
        <v>1.1477516059957173</v>
      </c>
      <c r="AS12" s="6">
        <v>1.0244651252038761</v>
      </c>
      <c r="AT12" s="6">
        <v>0.86519114688128773</v>
      </c>
      <c r="AU12" s="6">
        <v>1.0650887573964498</v>
      </c>
      <c r="AV12" s="6">
        <v>1.3269230769230769</v>
      </c>
      <c r="AW12" s="6">
        <v>1.1163895486935866</v>
      </c>
      <c r="AX12" s="6">
        <v>1.0185497470489038</v>
      </c>
      <c r="AY12" s="6">
        <v>1.2435530085959885</v>
      </c>
      <c r="AZ12" s="6">
        <v>0.7458926615553122</v>
      </c>
      <c r="BA12" s="6">
        <v>1.1026208933185677</v>
      </c>
      <c r="BB12" s="6">
        <v>0.93732193732193736</v>
      </c>
      <c r="BC12" s="6">
        <v>1.0312558663412803</v>
      </c>
      <c r="BD12" s="6">
        <v>0.98143564356435642</v>
      </c>
      <c r="BE12" s="6">
        <v>0.80293040293040296</v>
      </c>
      <c r="BF12" s="6">
        <v>1.0883977900552486</v>
      </c>
      <c r="BG12" s="6">
        <v>0.99516441005802703</v>
      </c>
      <c r="BH12" s="6">
        <v>0.89776357827476039</v>
      </c>
      <c r="BI12" s="6">
        <v>1.0510440835266821</v>
      </c>
      <c r="BJ12" s="6">
        <v>1.0164447924823805</v>
      </c>
      <c r="BK12" s="6">
        <v>1.3102522812667741</v>
      </c>
      <c r="BL12" s="6">
        <v>1.0717225161669606</v>
      </c>
      <c r="BM12" s="6">
        <v>1.0843806104129263</v>
      </c>
      <c r="BN12" s="6">
        <v>0.90588235294117647</v>
      </c>
      <c r="BO12" s="6">
        <v>1.2959183673469388</v>
      </c>
      <c r="BP12" s="6">
        <v>1</v>
      </c>
      <c r="BQ12" s="6">
        <v>0.9068493150684932</v>
      </c>
      <c r="BR12" s="6">
        <v>1.0161290322580645</v>
      </c>
      <c r="BS12" s="6">
        <v>1.1513761467889909</v>
      </c>
      <c r="BT12" s="6">
        <v>1.1684053651266766</v>
      </c>
      <c r="BU12" s="6">
        <v>1.0338983050847457</v>
      </c>
      <c r="BV12" s="6">
        <v>0.7843410178338408</v>
      </c>
      <c r="BW12" s="6">
        <v>2.3590078328981723</v>
      </c>
      <c r="BX12" s="6">
        <v>0.72592592592592597</v>
      </c>
      <c r="BY12" s="6">
        <v>4</v>
      </c>
      <c r="BZ12" s="6">
        <v>0.62941638314577331</v>
      </c>
      <c r="CA12" s="6">
        <v>0.77849389416553594</v>
      </c>
      <c r="CB12" s="6">
        <v>0.9764684729230112</v>
      </c>
    </row>
    <row r="13" spans="1:80">
      <c r="A13" s="6" t="s">
        <v>172</v>
      </c>
      <c r="B13" s="6" t="s">
        <v>0</v>
      </c>
      <c r="C13" s="6">
        <v>1.1945704207608969</v>
      </c>
      <c r="D13" s="6">
        <v>1.1432664756446991</v>
      </c>
      <c r="E13" s="6">
        <v>1.2101849627672352</v>
      </c>
      <c r="F13" s="6">
        <v>1.2331371661385242</v>
      </c>
      <c r="G13" s="6">
        <v>1.2184571016582553</v>
      </c>
      <c r="H13" s="6">
        <v>1.1073330602212208</v>
      </c>
      <c r="I13" s="6">
        <v>1.2248322147651007</v>
      </c>
      <c r="J13" s="6">
        <v>1.274390243902439</v>
      </c>
      <c r="K13" s="6">
        <v>1.2065727699530517</v>
      </c>
      <c r="L13" s="6">
        <v>1.560702875399361</v>
      </c>
      <c r="M13" s="6">
        <v>1.2063953488372092</v>
      </c>
      <c r="N13" s="6">
        <v>1.2624821683309557</v>
      </c>
      <c r="O13" s="6">
        <v>1.275092936802974</v>
      </c>
      <c r="P13" s="6">
        <v>0.98245614035087714</v>
      </c>
      <c r="Q13" s="6">
        <v>1.2740745185096298</v>
      </c>
      <c r="R13" s="6">
        <v>1.7317784256559767</v>
      </c>
      <c r="S13" s="6">
        <v>0.93050193050193053</v>
      </c>
      <c r="T13" s="6">
        <v>0.84615384615384615</v>
      </c>
      <c r="U13" s="6">
        <v>1.2478510028653296</v>
      </c>
      <c r="V13" s="6">
        <v>1.7333333333333334</v>
      </c>
      <c r="W13" s="6">
        <v>1.2283484390735147</v>
      </c>
      <c r="X13" s="6">
        <v>1.0867469879518072</v>
      </c>
      <c r="Y13" s="6">
        <v>1.3166076347894529</v>
      </c>
      <c r="Z13" s="6">
        <v>1.0622568093385214</v>
      </c>
      <c r="AA13" s="6">
        <v>1.5929894911504425</v>
      </c>
      <c r="AB13" s="6">
        <v>1.1121817749226743</v>
      </c>
      <c r="AC13" s="6">
        <v>2.507187350263536</v>
      </c>
      <c r="AD13" s="6">
        <v>1.7164893617021277</v>
      </c>
      <c r="AE13" s="6">
        <v>0.94135802469135799</v>
      </c>
      <c r="AF13" s="6">
        <v>0.95132743362831862</v>
      </c>
      <c r="AG13" s="6">
        <v>0.82352941176470584</v>
      </c>
      <c r="AH13" s="6">
        <v>0.98039215686274506</v>
      </c>
      <c r="AI13" s="6">
        <v>1.2239231966787754</v>
      </c>
      <c r="AJ13" s="6">
        <v>0.77358490566037741</v>
      </c>
      <c r="AK13" s="6">
        <v>1.2868421052631578</v>
      </c>
      <c r="AL13" s="6">
        <v>1.1832061068702291</v>
      </c>
      <c r="AM13" s="6">
        <v>1.361242403781229</v>
      </c>
      <c r="AN13" s="6">
        <v>1.1287425149700598</v>
      </c>
      <c r="AO13" s="6">
        <v>2.3870967741935485</v>
      </c>
      <c r="AP13" s="6">
        <v>0.93965517241379315</v>
      </c>
      <c r="AQ13" s="6">
        <v>1.1292134831460674</v>
      </c>
      <c r="AR13" s="6">
        <v>1.1156716417910448</v>
      </c>
      <c r="AS13" s="6">
        <v>1.271024536430043</v>
      </c>
      <c r="AT13" s="6">
        <v>1.172093023255814</v>
      </c>
      <c r="AU13" s="6">
        <v>0.91666666666666663</v>
      </c>
      <c r="AV13" s="6">
        <v>1.2608695652173914</v>
      </c>
      <c r="AW13" s="6">
        <v>1.2021276595744681</v>
      </c>
      <c r="AX13" s="6">
        <v>0.99337748344370858</v>
      </c>
      <c r="AY13" s="6">
        <v>1.163594470046083</v>
      </c>
      <c r="AZ13" s="6">
        <v>0.86049926578560942</v>
      </c>
      <c r="BA13" s="6">
        <v>1.4588215600937395</v>
      </c>
      <c r="BB13" s="6">
        <v>1.0121580547112461</v>
      </c>
      <c r="BC13" s="6">
        <v>1.1365249840720852</v>
      </c>
      <c r="BD13" s="6">
        <v>1.2181588902900378</v>
      </c>
      <c r="BE13" s="6">
        <v>1.1268248175182483</v>
      </c>
      <c r="BF13" s="6">
        <v>1.2994923857868019</v>
      </c>
      <c r="BG13" s="6">
        <v>1.087463556851312</v>
      </c>
      <c r="BH13" s="6">
        <v>0.99928825622775797</v>
      </c>
      <c r="BI13" s="6">
        <v>1.6004415011037527</v>
      </c>
      <c r="BJ13" s="6">
        <v>1.1571648690292757</v>
      </c>
      <c r="BK13" s="6">
        <v>1.3416632527652601</v>
      </c>
      <c r="BL13" s="6">
        <v>0.70597915523861765</v>
      </c>
      <c r="BM13" s="6">
        <v>1.1503863134657837</v>
      </c>
      <c r="BN13" s="6">
        <v>1.0909090909090908</v>
      </c>
      <c r="BO13" s="6">
        <v>0.952755905511811</v>
      </c>
      <c r="BP13" s="6">
        <v>1.1666666666666667</v>
      </c>
      <c r="BQ13" s="6">
        <v>1.0271903323262841</v>
      </c>
      <c r="BR13" s="6">
        <v>1.0317460317460319</v>
      </c>
      <c r="BS13" s="6">
        <v>1.1274900398406376</v>
      </c>
      <c r="BT13" s="6">
        <v>1.3533163265306123</v>
      </c>
      <c r="BU13" s="6">
        <v>1.1057377049180328</v>
      </c>
      <c r="BV13" s="6">
        <v>1.1197870452528838</v>
      </c>
      <c r="BW13" s="6">
        <v>0.99169894853348095</v>
      </c>
      <c r="BX13" s="6">
        <v>0.84693877551020413</v>
      </c>
      <c r="BY13" s="6">
        <v>0.625</v>
      </c>
      <c r="BZ13" s="6">
        <v>1.0295218295218296</v>
      </c>
      <c r="CA13" s="6">
        <v>1.420479302832244</v>
      </c>
      <c r="CB13" s="6">
        <v>1.2700102424821331</v>
      </c>
    </row>
    <row r="14" spans="1:80">
      <c r="A14" s="6" t="s">
        <v>173</v>
      </c>
      <c r="B14" s="6" t="s">
        <v>0</v>
      </c>
      <c r="C14" s="6">
        <v>1.1595570788294227</v>
      </c>
      <c r="D14" s="6">
        <v>1.2907268170426065</v>
      </c>
      <c r="E14" s="6">
        <v>1.2641921397379912</v>
      </c>
      <c r="F14" s="6">
        <v>1.1193098384728342</v>
      </c>
      <c r="G14" s="6">
        <v>1.0124260355029586</v>
      </c>
      <c r="H14" s="6">
        <v>1.161857195708472</v>
      </c>
      <c r="I14" s="6">
        <v>1.1191780821917807</v>
      </c>
      <c r="J14" s="6">
        <v>1.0717703349282297</v>
      </c>
      <c r="K14" s="6">
        <v>1.0038910505836576</v>
      </c>
      <c r="L14" s="6">
        <v>1.0204708290685773</v>
      </c>
      <c r="M14" s="6">
        <v>1.0481927710843373</v>
      </c>
      <c r="N14" s="6">
        <v>1.2344632768361581</v>
      </c>
      <c r="O14" s="6">
        <v>1.2332361516034986</v>
      </c>
      <c r="P14" s="6">
        <v>1.2857142857142858</v>
      </c>
      <c r="Q14" s="6">
        <v>1.1194254768071581</v>
      </c>
      <c r="R14" s="6">
        <v>1.393939393939394</v>
      </c>
      <c r="S14" s="6">
        <v>1.0165975103734439</v>
      </c>
      <c r="T14" s="6">
        <v>1.5454545454545454</v>
      </c>
      <c r="U14" s="6">
        <v>0.98622273249138925</v>
      </c>
      <c r="V14" s="6">
        <v>0.98076923076923073</v>
      </c>
      <c r="W14" s="6">
        <v>1.1440869030539045</v>
      </c>
      <c r="X14" s="6">
        <v>1.1773835920177385</v>
      </c>
      <c r="Y14" s="6">
        <v>1.1110446868928412</v>
      </c>
      <c r="Z14" s="6">
        <v>1.1098901098901099</v>
      </c>
      <c r="AA14" s="6">
        <v>1.1035979341174429</v>
      </c>
      <c r="AB14" s="6">
        <v>1.3385388811637609</v>
      </c>
      <c r="AC14" s="6">
        <v>0.88026755852842808</v>
      </c>
      <c r="AD14" s="6">
        <v>1.1478153083359157</v>
      </c>
      <c r="AE14" s="6">
        <v>1.0098360655737706</v>
      </c>
      <c r="AF14" s="6">
        <v>1.0093023255813953</v>
      </c>
      <c r="AG14" s="6">
        <v>1.0476190476190477</v>
      </c>
      <c r="AH14" s="6">
        <v>0.96</v>
      </c>
      <c r="AI14" s="6">
        <v>1.1492474030103879</v>
      </c>
      <c r="AJ14" s="6">
        <v>1.1056910569105691</v>
      </c>
      <c r="AK14" s="6">
        <v>1.1533742331288344</v>
      </c>
      <c r="AL14" s="6">
        <v>1.0435483870967741</v>
      </c>
      <c r="AM14" s="6">
        <v>1.2073412698412698</v>
      </c>
      <c r="AN14" s="6">
        <v>1.0450928381962865</v>
      </c>
      <c r="AO14" s="6">
        <v>2.0540540540540539</v>
      </c>
      <c r="AP14" s="6">
        <v>1.073394495412844</v>
      </c>
      <c r="AQ14" s="6">
        <v>1.1393034825870647</v>
      </c>
      <c r="AR14" s="6">
        <v>1.0618729096989967</v>
      </c>
      <c r="AS14" s="6">
        <v>1.0255673445328617</v>
      </c>
      <c r="AT14" s="6">
        <v>1.0813492063492063</v>
      </c>
      <c r="AU14" s="6">
        <v>1.0484848484848486</v>
      </c>
      <c r="AV14" s="6">
        <v>1.2471264367816093</v>
      </c>
      <c r="AW14" s="6">
        <v>1.1699115044247788</v>
      </c>
      <c r="AX14" s="6">
        <v>0.94666666666666666</v>
      </c>
      <c r="AY14" s="6">
        <v>0.94257425742574252</v>
      </c>
      <c r="AZ14" s="6">
        <v>0.62883959044368598</v>
      </c>
      <c r="BA14" s="6">
        <v>1.0693057946069995</v>
      </c>
      <c r="BB14" s="6">
        <v>1.1276276276276276</v>
      </c>
      <c r="BC14" s="6">
        <v>1.1085128533675022</v>
      </c>
      <c r="BD14" s="6">
        <v>0.77639751552795033</v>
      </c>
      <c r="BE14" s="6">
        <v>1.1141700404858299</v>
      </c>
      <c r="BF14" s="6">
        <v>0.8125</v>
      </c>
      <c r="BG14" s="6">
        <v>1.1644325290437891</v>
      </c>
      <c r="BH14" s="6">
        <v>1.1666666666666667</v>
      </c>
      <c r="BI14" s="6">
        <v>0.93586206896551727</v>
      </c>
      <c r="BJ14" s="6">
        <v>1.1378162450066578</v>
      </c>
      <c r="BK14" s="6">
        <v>1.2977099236641221</v>
      </c>
      <c r="BL14" s="6">
        <v>0.97202797202797198</v>
      </c>
      <c r="BM14" s="6">
        <v>1.0949868073878628</v>
      </c>
      <c r="BN14" s="6">
        <v>1.1309523809523809</v>
      </c>
      <c r="BO14" s="6">
        <v>1.2231404958677685</v>
      </c>
      <c r="BP14" s="6">
        <v>0.9285714285714286</v>
      </c>
      <c r="BQ14" s="6">
        <v>1.0852941176470587</v>
      </c>
      <c r="BR14" s="6">
        <v>0.9538461538461539</v>
      </c>
      <c r="BS14" s="6">
        <v>1.1404593639575973</v>
      </c>
      <c r="BT14" s="6">
        <v>1.0490103675777569</v>
      </c>
      <c r="BU14" s="6">
        <v>1.0896960711638251</v>
      </c>
      <c r="BV14" s="6">
        <v>1.0990491283676704</v>
      </c>
      <c r="BW14" s="6">
        <v>1.2455357142857142</v>
      </c>
      <c r="BX14" s="6">
        <v>0.73493975903614461</v>
      </c>
      <c r="BY14" s="6">
        <v>0</v>
      </c>
      <c r="BZ14" s="6">
        <v>1.0413974151857834</v>
      </c>
      <c r="CA14" s="6">
        <v>1.1180981595092025</v>
      </c>
      <c r="CB14" s="6">
        <v>1.110334828507997</v>
      </c>
    </row>
    <row r="15" spans="1:80">
      <c r="A15" s="6" t="s">
        <v>174</v>
      </c>
      <c r="B15" s="6" t="s">
        <v>0</v>
      </c>
      <c r="C15" s="6">
        <v>0.96139329725796918</v>
      </c>
      <c r="D15" s="6">
        <v>1.1339805825242719</v>
      </c>
      <c r="E15" s="6">
        <v>0.93452661328308995</v>
      </c>
      <c r="F15" s="6">
        <v>0.94686782551656279</v>
      </c>
      <c r="G15" s="6">
        <v>0.95090590298071298</v>
      </c>
      <c r="H15" s="6">
        <v>0.94873427798121324</v>
      </c>
      <c r="I15" s="6">
        <v>1.0061199510403918</v>
      </c>
      <c r="J15" s="6">
        <v>1.0267857142857142</v>
      </c>
      <c r="K15" s="6">
        <v>1.0891472868217054</v>
      </c>
      <c r="L15" s="6">
        <v>0.96188565697091277</v>
      </c>
      <c r="M15" s="6">
        <v>1.0091954022988505</v>
      </c>
      <c r="N15" s="6">
        <v>1.1977116704805493</v>
      </c>
      <c r="O15" s="6">
        <v>1.1895981087470449</v>
      </c>
      <c r="P15" s="6">
        <v>1.3888888888888888</v>
      </c>
      <c r="Q15" s="6">
        <v>0.92734844979176312</v>
      </c>
      <c r="R15" s="6">
        <v>0.79468599033816423</v>
      </c>
      <c r="S15" s="6">
        <v>1.0299319727891156</v>
      </c>
      <c r="T15" s="6">
        <v>1.1176470588235294</v>
      </c>
      <c r="U15" s="6">
        <v>1.1315483119906868</v>
      </c>
      <c r="V15" s="6">
        <v>0.94117647058823528</v>
      </c>
      <c r="W15" s="6">
        <v>0.87710498029380146</v>
      </c>
      <c r="X15" s="6">
        <v>0.94538606403013181</v>
      </c>
      <c r="Y15" s="6">
        <v>0.93415388754371809</v>
      </c>
      <c r="Z15" s="6">
        <v>0.99339933993399343</v>
      </c>
      <c r="AA15" s="6">
        <v>0.97133081642284091</v>
      </c>
      <c r="AB15" s="6">
        <v>1.0290075115870225</v>
      </c>
      <c r="AC15" s="6">
        <v>0.93595310464611381</v>
      </c>
      <c r="AD15" s="6">
        <v>0.86420086393088558</v>
      </c>
      <c r="AE15" s="6">
        <v>1.025974025974026</v>
      </c>
      <c r="AF15" s="6">
        <v>0.95852534562211977</v>
      </c>
      <c r="AG15" s="6">
        <v>1.25</v>
      </c>
      <c r="AH15" s="6">
        <v>1.1875</v>
      </c>
      <c r="AI15" s="6">
        <v>0.93672754104408784</v>
      </c>
      <c r="AJ15" s="6">
        <v>0.96323529411764708</v>
      </c>
      <c r="AK15" s="6">
        <v>0.97163120567375882</v>
      </c>
      <c r="AL15" s="6">
        <v>1.0494590417310665</v>
      </c>
      <c r="AM15" s="6">
        <v>0.79868529170090385</v>
      </c>
      <c r="AN15" s="6">
        <v>1.248730964467005</v>
      </c>
      <c r="AO15" s="6">
        <v>0.77631578947368418</v>
      </c>
      <c r="AP15" s="6">
        <v>1</v>
      </c>
      <c r="AQ15" s="6">
        <v>1.1048034934497817</v>
      </c>
      <c r="AR15" s="6">
        <v>1.0614173228346457</v>
      </c>
      <c r="AS15" s="6">
        <v>0.96702349306703073</v>
      </c>
      <c r="AT15" s="6">
        <v>1.1412844036697247</v>
      </c>
      <c r="AU15" s="6">
        <v>0.81502890173410403</v>
      </c>
      <c r="AV15" s="6">
        <v>1.0230414746543779</v>
      </c>
      <c r="AW15" s="6">
        <v>1.1951588502269288</v>
      </c>
      <c r="AX15" s="6">
        <v>0.9119718309859155</v>
      </c>
      <c r="AY15" s="6">
        <v>0.96953781512605042</v>
      </c>
      <c r="AZ15" s="6">
        <v>1.0786974219810042</v>
      </c>
      <c r="BA15" s="6">
        <v>0.92681618199377613</v>
      </c>
      <c r="BB15" s="6">
        <v>1.0825565912117177</v>
      </c>
      <c r="BC15" s="6">
        <v>1.025646582863748</v>
      </c>
      <c r="BD15" s="6">
        <v>0.9</v>
      </c>
      <c r="BE15" s="6">
        <v>0.99345930232558144</v>
      </c>
      <c r="BF15" s="6">
        <v>0.6875</v>
      </c>
      <c r="BG15" s="6">
        <v>0.96623177283192629</v>
      </c>
      <c r="BH15" s="6">
        <v>0.98290598290598286</v>
      </c>
      <c r="BI15" s="6">
        <v>0.55342667649226229</v>
      </c>
      <c r="BJ15" s="6">
        <v>1.0087770626097132</v>
      </c>
      <c r="BK15" s="6">
        <v>1.0030588235294118</v>
      </c>
      <c r="BL15" s="6">
        <v>1.9184652278177459</v>
      </c>
      <c r="BM15" s="6">
        <v>0.97064622124863087</v>
      </c>
      <c r="BN15" s="6">
        <v>1.3368421052631578</v>
      </c>
      <c r="BO15" s="6">
        <v>1.1959459459459461</v>
      </c>
      <c r="BP15" s="6">
        <v>1.1538461538461537</v>
      </c>
      <c r="BQ15" s="6">
        <v>0.86720867208672092</v>
      </c>
      <c r="BR15" s="6">
        <v>0.91935483870967738</v>
      </c>
      <c r="BS15" s="6">
        <v>1.0340821068938808</v>
      </c>
      <c r="BT15" s="6">
        <v>0.65139263252470803</v>
      </c>
      <c r="BU15" s="6">
        <v>1.1360544217687074</v>
      </c>
      <c r="BV15" s="6">
        <v>1.0339762076423937</v>
      </c>
      <c r="BW15" s="6">
        <v>1.1169354838709677</v>
      </c>
      <c r="BX15" s="6">
        <v>1.1147540983606556</v>
      </c>
      <c r="BY15" s="6" t="s">
        <v>277</v>
      </c>
      <c r="BZ15" s="6">
        <v>1.0290866783013379</v>
      </c>
      <c r="CA15" s="6">
        <v>0.98847736625514404</v>
      </c>
      <c r="CB15" s="6">
        <v>0.97492063232977777</v>
      </c>
    </row>
    <row r="16" spans="1:80">
      <c r="A16" s="6" t="s">
        <v>175</v>
      </c>
      <c r="B16" s="6" t="s">
        <v>0</v>
      </c>
      <c r="C16" s="6">
        <v>0.77499763503925834</v>
      </c>
      <c r="D16" s="6">
        <v>0.82962328767123283</v>
      </c>
      <c r="E16" s="6">
        <v>0.89196908602150538</v>
      </c>
      <c r="F16" s="6">
        <v>0.71735365431243503</v>
      </c>
      <c r="G16" s="6">
        <v>0.83036263060848192</v>
      </c>
      <c r="H16" s="6">
        <v>0.6126866923980534</v>
      </c>
      <c r="I16" s="6">
        <v>0.7487834549878345</v>
      </c>
      <c r="J16" s="6">
        <v>0.77391304347826084</v>
      </c>
      <c r="K16" s="6">
        <v>1</v>
      </c>
      <c r="L16" s="6">
        <v>0.9051094890510949</v>
      </c>
      <c r="M16" s="6">
        <v>1.0911161731207288</v>
      </c>
      <c r="N16" s="6">
        <v>1.0034390523500192</v>
      </c>
      <c r="O16" s="6">
        <v>1.0047694753577106</v>
      </c>
      <c r="P16" s="6">
        <v>0.98</v>
      </c>
      <c r="Q16" s="6">
        <v>0.91643984757757213</v>
      </c>
      <c r="R16" s="6">
        <v>0.96808510638297873</v>
      </c>
      <c r="S16" s="6">
        <v>0.49273447820343463</v>
      </c>
      <c r="T16" s="6">
        <v>0.84210526315789469</v>
      </c>
      <c r="U16" s="6">
        <v>0.98662551440329216</v>
      </c>
      <c r="V16" s="6">
        <v>1.1666666666666667</v>
      </c>
      <c r="W16" s="6">
        <v>0.71425653594771243</v>
      </c>
      <c r="X16" s="6">
        <v>0.89641434262948205</v>
      </c>
      <c r="Y16" s="6">
        <v>1.0056879544963639</v>
      </c>
      <c r="Z16" s="6">
        <v>0.8039867109634552</v>
      </c>
      <c r="AA16" s="6">
        <v>0.86432649095105063</v>
      </c>
      <c r="AB16" s="6">
        <v>0.84647045119204789</v>
      </c>
      <c r="AC16" s="6">
        <v>0.84017629320343312</v>
      </c>
      <c r="AD16" s="6">
        <v>1</v>
      </c>
      <c r="AE16" s="6">
        <v>1.0316455696202531</v>
      </c>
      <c r="AF16" s="6">
        <v>1.1490384615384615</v>
      </c>
      <c r="AG16" s="6">
        <v>0.69090909090909092</v>
      </c>
      <c r="AH16" s="6">
        <v>0.89473684210526316</v>
      </c>
      <c r="AI16" s="6">
        <v>1.0226467113036628</v>
      </c>
      <c r="AJ16" s="6">
        <v>1.1068702290076335</v>
      </c>
      <c r="AK16" s="6">
        <v>0.95255474452554745</v>
      </c>
      <c r="AL16" s="6">
        <v>0.91016200294550809</v>
      </c>
      <c r="AM16" s="6">
        <v>1.1502057613168724</v>
      </c>
      <c r="AN16" s="6">
        <v>0.87804878048780488</v>
      </c>
      <c r="AO16" s="6">
        <v>1.2796610169491525</v>
      </c>
      <c r="AP16" s="6">
        <v>0.86752136752136755</v>
      </c>
      <c r="AQ16" s="6">
        <v>0.96047430830039526</v>
      </c>
      <c r="AR16" s="6">
        <v>0.95400593471810091</v>
      </c>
      <c r="AS16" s="6">
        <v>0.84479940564635958</v>
      </c>
      <c r="AT16" s="6">
        <v>0.83601286173633438</v>
      </c>
      <c r="AU16" s="6">
        <v>0.95744680851063835</v>
      </c>
      <c r="AV16" s="6">
        <v>0.8783783783783784</v>
      </c>
      <c r="AW16" s="6">
        <v>0.94303797468354433</v>
      </c>
      <c r="AX16" s="6">
        <v>0.91698841698841704</v>
      </c>
      <c r="AY16" s="6">
        <v>0.94257854821235099</v>
      </c>
      <c r="AZ16" s="6">
        <v>1.1232704402515723</v>
      </c>
      <c r="BA16" s="6">
        <v>0.78383698043302075</v>
      </c>
      <c r="BB16" s="6">
        <v>0.94833948339483398</v>
      </c>
      <c r="BC16" s="6">
        <v>0.87701627104317814</v>
      </c>
      <c r="BD16" s="6">
        <v>1.1051851851851853</v>
      </c>
      <c r="BE16" s="6">
        <v>0.86174103877103148</v>
      </c>
      <c r="BF16" s="6">
        <v>0.98601398601398604</v>
      </c>
      <c r="BG16" s="6">
        <v>0.99046862589356632</v>
      </c>
      <c r="BH16" s="6">
        <v>0.831055900621118</v>
      </c>
      <c r="BI16" s="6">
        <v>1.0372836218375499</v>
      </c>
      <c r="BJ16" s="6">
        <v>0.89095127610208813</v>
      </c>
      <c r="BK16" s="6">
        <v>0.96199859254046449</v>
      </c>
      <c r="BL16" s="6">
        <v>0.57708333333333328</v>
      </c>
      <c r="BM16" s="6">
        <v>0.96659896185962535</v>
      </c>
      <c r="BN16" s="6">
        <v>0.76377952755905509</v>
      </c>
      <c r="BO16" s="6">
        <v>0.89265536723163841</v>
      </c>
      <c r="BP16" s="6">
        <v>1.4</v>
      </c>
      <c r="BQ16" s="6">
        <v>1.034375</v>
      </c>
      <c r="BR16" s="6">
        <v>0.8771929824561403</v>
      </c>
      <c r="BS16" s="6">
        <v>0.90262172284644193</v>
      </c>
      <c r="BT16" s="6">
        <v>0.80413793103448272</v>
      </c>
      <c r="BU16" s="6">
        <v>1.1053892215568861</v>
      </c>
      <c r="BV16" s="6">
        <v>1.1999477033034081</v>
      </c>
      <c r="BW16" s="6">
        <v>1.0842358604091455</v>
      </c>
      <c r="BX16" s="6">
        <v>1.1764705882352942</v>
      </c>
      <c r="BY16" s="6" t="s">
        <v>277</v>
      </c>
      <c r="BZ16" s="6">
        <v>1.1047672884869042</v>
      </c>
      <c r="CA16" s="6">
        <v>1.4210380238689981</v>
      </c>
      <c r="CB16" s="6">
        <v>0.90371511326156473</v>
      </c>
    </row>
    <row r="17" spans="1:80">
      <c r="A17" s="6" t="s">
        <v>176</v>
      </c>
      <c r="B17" s="6" t="s">
        <v>0</v>
      </c>
      <c r="C17" s="6">
        <v>1.2473603906011597</v>
      </c>
      <c r="D17" s="6">
        <v>0.85552115583075339</v>
      </c>
      <c r="E17" s="6">
        <v>1.2341307214164625</v>
      </c>
      <c r="F17" s="6">
        <v>1.1477547078705939</v>
      </c>
      <c r="G17" s="6">
        <v>0.91117690599555889</v>
      </c>
      <c r="H17" s="6">
        <v>1.6959737058340181</v>
      </c>
      <c r="I17" s="6">
        <v>1.0438667749796913</v>
      </c>
      <c r="J17" s="6">
        <v>1.1235955056179776</v>
      </c>
      <c r="K17" s="6">
        <v>1.0177935943060499</v>
      </c>
      <c r="L17" s="6">
        <v>1.1716589861751152</v>
      </c>
      <c r="M17" s="6">
        <v>0.97286012526096033</v>
      </c>
      <c r="N17" s="6">
        <v>1.1210967250571211</v>
      </c>
      <c r="O17" s="6">
        <v>1.1222310126582278</v>
      </c>
      <c r="P17" s="6">
        <v>1.0714285714285714</v>
      </c>
      <c r="Q17" s="6">
        <v>1.1414711414711414</v>
      </c>
      <c r="R17" s="6">
        <v>1.0769230769230769</v>
      </c>
      <c r="S17" s="6">
        <v>1.7024128686327078</v>
      </c>
      <c r="T17" s="6">
        <v>0.9375</v>
      </c>
      <c r="U17" s="6">
        <v>1.0875912408759123</v>
      </c>
      <c r="V17" s="6">
        <v>1.2321428571428572</v>
      </c>
      <c r="W17" s="6">
        <v>1.0237346296825851</v>
      </c>
      <c r="X17" s="6">
        <v>0.93333333333333335</v>
      </c>
      <c r="Y17" s="6">
        <v>1.1693155784650631</v>
      </c>
      <c r="Z17" s="6">
        <v>1.1446280991735538</v>
      </c>
      <c r="AA17" s="6">
        <v>1.1166385609893199</v>
      </c>
      <c r="AB17" s="6">
        <v>1.2362385321100917</v>
      </c>
      <c r="AC17" s="6">
        <v>0.97846493649917177</v>
      </c>
      <c r="AD17" s="6">
        <v>1.0224929709465791</v>
      </c>
      <c r="AE17" s="6">
        <v>1.1196319018404908</v>
      </c>
      <c r="AF17" s="6">
        <v>1.00418410041841</v>
      </c>
      <c r="AG17" s="6">
        <v>1.6052631578947369</v>
      </c>
      <c r="AH17" s="6">
        <v>1.2745098039215685</v>
      </c>
      <c r="AI17" s="6">
        <v>1.0635470826112075</v>
      </c>
      <c r="AJ17" s="6">
        <v>0.90344827586206899</v>
      </c>
      <c r="AK17" s="6">
        <v>0.98084291187739459</v>
      </c>
      <c r="AL17" s="6">
        <v>1.0145631067961165</v>
      </c>
      <c r="AM17" s="6">
        <v>1.1623434704830053</v>
      </c>
      <c r="AN17" s="6">
        <v>0.96527777777777779</v>
      </c>
      <c r="AO17" s="6">
        <v>0.90066225165562919</v>
      </c>
      <c r="AP17" s="6">
        <v>1.0591133004926108</v>
      </c>
      <c r="AQ17" s="6">
        <v>1.1604938271604939</v>
      </c>
      <c r="AR17" s="6">
        <v>0.94401244167962672</v>
      </c>
      <c r="AS17" s="6">
        <v>1.0564594142995338</v>
      </c>
      <c r="AT17" s="6">
        <v>0.86923076923076925</v>
      </c>
      <c r="AU17" s="6">
        <v>1.0740740740740742</v>
      </c>
      <c r="AV17" s="6">
        <v>1.1897435897435897</v>
      </c>
      <c r="AW17" s="6">
        <v>1.025503355704698</v>
      </c>
      <c r="AX17" s="6">
        <v>0.93684210526315792</v>
      </c>
      <c r="AY17" s="6">
        <v>0.95287356321839078</v>
      </c>
      <c r="AZ17" s="6">
        <v>0.97088465845464722</v>
      </c>
      <c r="BA17" s="6">
        <v>1.108714918759232</v>
      </c>
      <c r="BB17" s="6">
        <v>1</v>
      </c>
      <c r="BC17" s="6">
        <v>0.96152919444221352</v>
      </c>
      <c r="BD17" s="6">
        <v>1.2533512064343164</v>
      </c>
      <c r="BE17" s="6">
        <v>1.0076400679117148</v>
      </c>
      <c r="BF17" s="6">
        <v>0.97163120567375882</v>
      </c>
      <c r="BG17" s="6">
        <v>1.0986367281475542</v>
      </c>
      <c r="BH17" s="6">
        <v>0.84304932735426008</v>
      </c>
      <c r="BI17" s="6">
        <v>1.1026957637997432</v>
      </c>
      <c r="BJ17" s="6">
        <v>1.0006510416666667</v>
      </c>
      <c r="BK17" s="6">
        <v>0.96244818336990978</v>
      </c>
      <c r="BL17" s="6">
        <v>0.62815884476534301</v>
      </c>
      <c r="BM17" s="6">
        <v>1.028251225776325</v>
      </c>
      <c r="BN17" s="6">
        <v>1.0206185567010309</v>
      </c>
      <c r="BO17" s="6">
        <v>0.83544303797468356</v>
      </c>
      <c r="BP17" s="6">
        <v>1</v>
      </c>
      <c r="BQ17" s="6">
        <v>0.8761329305135952</v>
      </c>
      <c r="BR17" s="6">
        <v>0.88</v>
      </c>
      <c r="BS17" s="6">
        <v>1.0846473029045642</v>
      </c>
      <c r="BT17" s="6">
        <v>0.97255574614065177</v>
      </c>
      <c r="BU17" s="6">
        <v>1.0541711809317442</v>
      </c>
      <c r="BV17" s="6">
        <v>0.96004939347715557</v>
      </c>
      <c r="BW17" s="6">
        <v>0.7162412134665187</v>
      </c>
      <c r="BX17" s="6">
        <v>1.3625</v>
      </c>
      <c r="BY17" s="6" t="s">
        <v>277</v>
      </c>
      <c r="BZ17" s="6">
        <v>0.96213542555005971</v>
      </c>
      <c r="CA17" s="6">
        <v>1.080078125</v>
      </c>
      <c r="CB17" s="6">
        <v>1.0909351958205196</v>
      </c>
    </row>
    <row r="18" spans="1:80">
      <c r="A18" s="6" t="s">
        <v>177</v>
      </c>
      <c r="B18" s="6" t="s">
        <v>0</v>
      </c>
      <c r="C18" s="6">
        <v>0.91687053527742446</v>
      </c>
      <c r="D18" s="6">
        <v>0.98552472858866103</v>
      </c>
      <c r="E18" s="6">
        <v>1.0470085470085471</v>
      </c>
      <c r="F18" s="6">
        <v>1.0260832982751367</v>
      </c>
      <c r="G18" s="6">
        <v>0.99268887083671808</v>
      </c>
      <c r="H18" s="6">
        <v>0.71156330749354002</v>
      </c>
      <c r="I18" s="6">
        <v>1.0031128404669261</v>
      </c>
      <c r="J18" s="6">
        <v>1.06</v>
      </c>
      <c r="K18" s="6">
        <v>0.85664335664335667</v>
      </c>
      <c r="L18" s="6">
        <v>0.79252704031465093</v>
      </c>
      <c r="M18" s="6">
        <v>0.94849785407725318</v>
      </c>
      <c r="N18" s="6">
        <v>1.0064538043478262</v>
      </c>
      <c r="O18" s="6">
        <v>1.0165667959111737</v>
      </c>
      <c r="P18" s="6">
        <v>0.73333333333333328</v>
      </c>
      <c r="Q18" s="6">
        <v>1.3065047701647876</v>
      </c>
      <c r="R18" s="6">
        <v>0.90816326530612246</v>
      </c>
      <c r="S18" s="6">
        <v>0.62677165354330711</v>
      </c>
      <c r="T18" s="6">
        <v>0.6</v>
      </c>
      <c r="U18" s="6">
        <v>0.97507190795781395</v>
      </c>
      <c r="V18" s="6">
        <v>1.8985507246376812</v>
      </c>
      <c r="W18" s="6">
        <v>0.93910614525139668</v>
      </c>
      <c r="X18" s="6">
        <v>1.1976190476190476</v>
      </c>
      <c r="Y18" s="6">
        <v>1.4575399497948938</v>
      </c>
      <c r="Z18" s="6">
        <v>1.0072202166064983</v>
      </c>
      <c r="AA18" s="6">
        <v>1.4921553821629332</v>
      </c>
      <c r="AB18" s="6">
        <v>1.6248608534322819</v>
      </c>
      <c r="AC18" s="6">
        <v>1.2773702031602709</v>
      </c>
      <c r="AD18" s="6">
        <v>1.4121600977696303</v>
      </c>
      <c r="AE18" s="6">
        <v>0.80273972602739729</v>
      </c>
      <c r="AF18" s="6">
        <v>0.85</v>
      </c>
      <c r="AG18" s="6">
        <v>0.91803278688524592</v>
      </c>
      <c r="AH18" s="6">
        <v>0.55384615384615388</v>
      </c>
      <c r="AI18" s="6">
        <v>1.1698352344740177</v>
      </c>
      <c r="AJ18" s="6">
        <v>1.0229007633587786</v>
      </c>
      <c r="AK18" s="6">
        <v>1.056640625</v>
      </c>
      <c r="AL18" s="6">
        <v>0.99681020733652315</v>
      </c>
      <c r="AM18" s="6">
        <v>1.2424009234320892</v>
      </c>
      <c r="AN18" s="6">
        <v>1.1079136690647482</v>
      </c>
      <c r="AO18" s="6">
        <v>1.3823529411764706</v>
      </c>
      <c r="AP18" s="6">
        <v>1.441860465116279</v>
      </c>
      <c r="AQ18" s="6">
        <v>1.124113475177305</v>
      </c>
      <c r="AR18" s="6">
        <v>1.0774299835255354</v>
      </c>
      <c r="AS18" s="6">
        <v>1.076916673603596</v>
      </c>
      <c r="AT18" s="6">
        <v>0.88053097345132747</v>
      </c>
      <c r="AU18" s="6">
        <v>1.1586206896551725</v>
      </c>
      <c r="AV18" s="6">
        <v>1.0172413793103448</v>
      </c>
      <c r="AW18" s="6">
        <v>0.91753926701570676</v>
      </c>
      <c r="AX18" s="6">
        <v>0.9662921348314607</v>
      </c>
      <c r="AY18" s="6">
        <v>1.0349819059107359</v>
      </c>
      <c r="AZ18" s="6">
        <v>0.86043829296424457</v>
      </c>
      <c r="BA18" s="6">
        <v>1.1377564614974687</v>
      </c>
      <c r="BB18" s="6">
        <v>1.1128404669260701</v>
      </c>
      <c r="BC18" s="6">
        <v>1.097978616772469</v>
      </c>
      <c r="BD18" s="6">
        <v>1.1967914438502674</v>
      </c>
      <c r="BE18" s="6">
        <v>1.1996630160067396</v>
      </c>
      <c r="BF18" s="6">
        <v>1.3357664233576643</v>
      </c>
      <c r="BG18" s="6">
        <v>1.0905109489051095</v>
      </c>
      <c r="BH18" s="6">
        <v>1.0771276595744681</v>
      </c>
      <c r="BI18" s="6">
        <v>0.92433061699650754</v>
      </c>
      <c r="BJ18" s="6">
        <v>0.99089134677944046</v>
      </c>
      <c r="BK18" s="6">
        <v>1.0861413731948315</v>
      </c>
      <c r="BL18" s="6">
        <v>1.2666666666666666</v>
      </c>
      <c r="BM18" s="6">
        <v>1.0081743869209809</v>
      </c>
      <c r="BN18" s="6">
        <v>1.1717171717171717</v>
      </c>
      <c r="BO18" s="6">
        <v>0.99242424242424243</v>
      </c>
      <c r="BP18" s="6">
        <v>1.1428571428571428</v>
      </c>
      <c r="BQ18" s="6">
        <v>0.93448275862068964</v>
      </c>
      <c r="BR18" s="6">
        <v>1</v>
      </c>
      <c r="BS18" s="6">
        <v>1.1476664116296864</v>
      </c>
      <c r="BT18" s="6">
        <v>0.59611992945326275</v>
      </c>
      <c r="BU18" s="6">
        <v>1.0385405960945528</v>
      </c>
      <c r="BV18" s="6">
        <v>1.0895815994552471</v>
      </c>
      <c r="BW18" s="6">
        <v>1.0418388429752066</v>
      </c>
      <c r="BX18" s="6">
        <v>1.036697247706422</v>
      </c>
      <c r="BY18" s="6" t="s">
        <v>277</v>
      </c>
      <c r="BZ18" s="6">
        <v>1.0322637830171955</v>
      </c>
      <c r="CA18" s="6">
        <v>1.1665461121157323</v>
      </c>
      <c r="CB18" s="6">
        <v>1.1809158296044084</v>
      </c>
    </row>
    <row r="19" spans="1:80">
      <c r="A19" s="6" t="s">
        <v>178</v>
      </c>
      <c r="B19" s="6" t="s">
        <v>0</v>
      </c>
      <c r="C19" s="6">
        <v>1.0708148780617963</v>
      </c>
      <c r="D19" s="6">
        <v>1.0783353733170136</v>
      </c>
      <c r="E19" s="6">
        <v>1.0326530612244897</v>
      </c>
      <c r="F19" s="6">
        <v>0.99384993849938497</v>
      </c>
      <c r="G19" s="6">
        <v>1</v>
      </c>
      <c r="H19" s="6">
        <v>1.1786200635497051</v>
      </c>
      <c r="I19" s="6">
        <v>1.1272304111714508</v>
      </c>
      <c r="J19" s="6">
        <v>1.3113207547169812</v>
      </c>
      <c r="K19" s="6">
        <v>0.88571428571428568</v>
      </c>
      <c r="L19" s="6">
        <v>1.0843672456575681</v>
      </c>
      <c r="M19" s="6">
        <v>0.99321266968325794</v>
      </c>
      <c r="N19" s="6">
        <v>1.0155248059399258</v>
      </c>
      <c r="O19" s="6">
        <v>1.0027739251040222</v>
      </c>
      <c r="P19" s="6">
        <v>1.5064935064935066</v>
      </c>
      <c r="Q19" s="6">
        <v>1.3008497079129049</v>
      </c>
      <c r="R19" s="6">
        <v>1.0609951845906902</v>
      </c>
      <c r="S19" s="6">
        <v>0.91959798994974873</v>
      </c>
      <c r="T19" s="6">
        <v>0</v>
      </c>
      <c r="U19" s="6">
        <v>1.1238938053097345</v>
      </c>
      <c r="V19" s="6">
        <v>1.2061068702290076</v>
      </c>
      <c r="W19" s="6">
        <v>1.0157644259369423</v>
      </c>
      <c r="X19" s="6">
        <v>1.0775347912524851</v>
      </c>
      <c r="Y19" s="6">
        <v>1.3720910694782829</v>
      </c>
      <c r="Z19" s="6">
        <v>0.8530465949820788</v>
      </c>
      <c r="AA19" s="6">
        <v>1.1059038515603037</v>
      </c>
      <c r="AB19" s="6">
        <v>1.0667732358986071</v>
      </c>
      <c r="AC19" s="6">
        <v>1.0837199028053899</v>
      </c>
      <c r="AD19" s="6">
        <v>1.3340545218520121</v>
      </c>
      <c r="AE19" s="6">
        <v>0.98293515358361772</v>
      </c>
      <c r="AF19" s="6">
        <v>1.0098039215686274</v>
      </c>
      <c r="AG19" s="6">
        <v>1.1607142857142858</v>
      </c>
      <c r="AH19" s="6">
        <v>0.3611111111111111</v>
      </c>
      <c r="AI19" s="6">
        <v>1.0688747871846462</v>
      </c>
      <c r="AJ19" s="6">
        <v>1.1716417910447761</v>
      </c>
      <c r="AK19" s="6">
        <v>1.1977818853974123</v>
      </c>
      <c r="AL19" s="6">
        <v>1.0256000000000001</v>
      </c>
      <c r="AM19" s="6">
        <v>1.0684422421802415</v>
      </c>
      <c r="AN19" s="6">
        <v>1.0497835497835497</v>
      </c>
      <c r="AO19" s="6">
        <v>0.78723404255319152</v>
      </c>
      <c r="AP19" s="6">
        <v>0.86774193548387102</v>
      </c>
      <c r="AQ19" s="6">
        <v>1.113564668769716</v>
      </c>
      <c r="AR19" s="6">
        <v>1.1513761467889909</v>
      </c>
      <c r="AS19" s="6">
        <v>1.3362448790291412</v>
      </c>
      <c r="AT19" s="6">
        <v>1.0527638190954773</v>
      </c>
      <c r="AU19" s="6">
        <v>1.0833333333333333</v>
      </c>
      <c r="AV19" s="6">
        <v>0.85593220338983056</v>
      </c>
      <c r="AW19" s="6">
        <v>1.028530670470756</v>
      </c>
      <c r="AX19" s="6">
        <v>0.96279069767441861</v>
      </c>
      <c r="AY19" s="6">
        <v>1.0442890442890442</v>
      </c>
      <c r="AZ19" s="6">
        <v>1.4235924932975872</v>
      </c>
      <c r="BA19" s="6">
        <v>1.453512880562061</v>
      </c>
      <c r="BB19" s="6">
        <v>1.1398601398601398</v>
      </c>
      <c r="BC19" s="6">
        <v>0.98881704069988585</v>
      </c>
      <c r="BD19" s="6">
        <v>1.1546023235031277</v>
      </c>
      <c r="BE19" s="6">
        <v>1.0105337078651686</v>
      </c>
      <c r="BF19" s="6">
        <v>0.96721311475409832</v>
      </c>
      <c r="BG19" s="6">
        <v>1.0769745649263722</v>
      </c>
      <c r="BH19" s="6">
        <v>1.0386831275720165</v>
      </c>
      <c r="BI19" s="6">
        <v>0.96221662468513858</v>
      </c>
      <c r="BJ19" s="6">
        <v>1.0755088640840447</v>
      </c>
      <c r="BK19" s="6">
        <v>0.8947982271985071</v>
      </c>
      <c r="BL19" s="6">
        <v>0.89292196007259528</v>
      </c>
      <c r="BM19" s="6">
        <v>1.0817567567567568</v>
      </c>
      <c r="BN19" s="6">
        <v>0.93103448275862066</v>
      </c>
      <c r="BO19" s="6">
        <v>1.0763358778625953</v>
      </c>
      <c r="BP19" s="6">
        <v>1.0416666666666667</v>
      </c>
      <c r="BQ19" s="6">
        <v>0.90036900369003692</v>
      </c>
      <c r="BR19" s="6">
        <v>0.97727272727272729</v>
      </c>
      <c r="BS19" s="6">
        <v>1.1273333333333333</v>
      </c>
      <c r="BT19" s="6">
        <v>1.0591715976331362</v>
      </c>
      <c r="BU19" s="6">
        <v>1.0816427511133102</v>
      </c>
      <c r="BV19" s="6">
        <v>1.3799736129435456</v>
      </c>
      <c r="BW19" s="6">
        <v>1.3366385721368368</v>
      </c>
      <c r="BX19" s="6">
        <v>1.336283185840708</v>
      </c>
      <c r="BY19" s="6" t="s">
        <v>277</v>
      </c>
      <c r="BZ19" s="6">
        <v>1.571870170015456</v>
      </c>
      <c r="CA19" s="6">
        <v>1.2198108820337932</v>
      </c>
      <c r="CB19" s="6">
        <v>1.1774014955421339</v>
      </c>
    </row>
    <row r="20" spans="1:80">
      <c r="A20" s="6" t="s">
        <v>179</v>
      </c>
      <c r="B20" s="6" t="s">
        <v>0</v>
      </c>
      <c r="C20" s="6">
        <v>0.8685836738762085</v>
      </c>
      <c r="D20" s="6">
        <v>1.0533484676503972</v>
      </c>
      <c r="E20" s="6">
        <v>0.93506493506493504</v>
      </c>
      <c r="F20" s="6">
        <v>1.0045379537953796</v>
      </c>
      <c r="G20" s="6">
        <v>0.90834697217675942</v>
      </c>
      <c r="H20" s="6">
        <v>0.64740997496630082</v>
      </c>
      <c r="I20" s="6">
        <v>0.88437715072264278</v>
      </c>
      <c r="J20" s="6">
        <v>0.80215827338129497</v>
      </c>
      <c r="K20" s="6">
        <v>1.1797235023041475</v>
      </c>
      <c r="L20" s="6">
        <v>0.87070938215102978</v>
      </c>
      <c r="M20" s="6">
        <v>1.0113895216400912</v>
      </c>
      <c r="N20" s="6">
        <v>1.0790960451977401</v>
      </c>
      <c r="O20" s="6">
        <v>1.072268326417704</v>
      </c>
      <c r="P20" s="6">
        <v>1.2672413793103448</v>
      </c>
      <c r="Q20" s="6">
        <v>1.073178199632578</v>
      </c>
      <c r="R20" s="6">
        <v>1.1104387291981845</v>
      </c>
      <c r="S20" s="6">
        <v>0.4098360655737705</v>
      </c>
      <c r="T20" s="6" t="s">
        <v>277</v>
      </c>
      <c r="U20" s="6">
        <v>1.0971128608923884</v>
      </c>
      <c r="V20" s="6">
        <v>1.4367088607594938</v>
      </c>
      <c r="W20" s="6">
        <v>0.97774524158125919</v>
      </c>
      <c r="X20" s="6">
        <v>1.0018450184501846</v>
      </c>
      <c r="Y20" s="6">
        <v>1.090068577026696</v>
      </c>
      <c r="Z20" s="6">
        <v>0.8529411764705882</v>
      </c>
      <c r="AA20" s="6">
        <v>0.97282456720136257</v>
      </c>
      <c r="AB20" s="6">
        <v>0.89373635312754207</v>
      </c>
      <c r="AC20" s="6">
        <v>1.1425805136567468</v>
      </c>
      <c r="AD20" s="6">
        <v>1.001946156341226</v>
      </c>
      <c r="AE20" s="6">
        <v>1.2604166666666667</v>
      </c>
      <c r="AF20" s="6">
        <v>1.3689320388349515</v>
      </c>
      <c r="AG20" s="6">
        <v>1.0461538461538462</v>
      </c>
      <c r="AH20" s="6">
        <v>1</v>
      </c>
      <c r="AI20" s="6">
        <v>1.1442224152910512</v>
      </c>
      <c r="AJ20" s="6">
        <v>1.0191082802547771</v>
      </c>
      <c r="AK20" s="6">
        <v>1.2561728395061729</v>
      </c>
      <c r="AL20" s="6">
        <v>0.96099843993759748</v>
      </c>
      <c r="AM20" s="6">
        <v>1.1443478260869566</v>
      </c>
      <c r="AN20" s="6">
        <v>1.0948453608247424</v>
      </c>
      <c r="AO20" s="6">
        <v>1.75</v>
      </c>
      <c r="AP20" s="6">
        <v>1.3866171003717471</v>
      </c>
      <c r="AQ20" s="6">
        <v>0.98866855524079322</v>
      </c>
      <c r="AR20" s="6">
        <v>1.1261620185922976</v>
      </c>
      <c r="AS20" s="6">
        <v>1.0747960895470585</v>
      </c>
      <c r="AT20" s="6">
        <v>0.90930787589498807</v>
      </c>
      <c r="AU20" s="6">
        <v>1.3351648351648351</v>
      </c>
      <c r="AV20" s="6">
        <v>0.82673267326732669</v>
      </c>
      <c r="AW20" s="6">
        <v>0.98335644937586686</v>
      </c>
      <c r="AX20" s="6">
        <v>0.99033816425120769</v>
      </c>
      <c r="AY20" s="6">
        <v>0.8571428571428571</v>
      </c>
      <c r="AZ20" s="6">
        <v>1.1327683615819208</v>
      </c>
      <c r="BA20" s="6">
        <v>1.0990091033593814</v>
      </c>
      <c r="BB20" s="6">
        <v>1.0797546012269938</v>
      </c>
      <c r="BC20" s="6">
        <v>1.0593168179719956</v>
      </c>
      <c r="BD20" s="6">
        <v>0.90479876160990713</v>
      </c>
      <c r="BE20" s="6">
        <v>1.1952744961779014</v>
      </c>
      <c r="BF20" s="6">
        <v>1.152542372881356</v>
      </c>
      <c r="BG20" s="6">
        <v>1.0348042262274704</v>
      </c>
      <c r="BH20" s="6">
        <v>0.91521394611727414</v>
      </c>
      <c r="BI20" s="6">
        <v>1.1505235602094241</v>
      </c>
      <c r="BJ20" s="6">
        <v>1.1275946275946276</v>
      </c>
      <c r="BK20" s="6">
        <v>1.0675182481751824</v>
      </c>
      <c r="BL20" s="6">
        <v>1.0528455284552845</v>
      </c>
      <c r="BM20" s="6">
        <v>1.0541328336456381</v>
      </c>
      <c r="BN20" s="6">
        <v>1.2685185185185186</v>
      </c>
      <c r="BO20" s="6">
        <v>0.78014184397163122</v>
      </c>
      <c r="BP20" s="6">
        <v>1.2</v>
      </c>
      <c r="BQ20" s="6">
        <v>0.98770491803278693</v>
      </c>
      <c r="BR20" s="6">
        <v>1.0465116279069768</v>
      </c>
      <c r="BS20" s="6">
        <v>1.070963926670609</v>
      </c>
      <c r="BT20" s="6">
        <v>0.8966480446927374</v>
      </c>
      <c r="BU20" s="6">
        <v>1.0823421774931381</v>
      </c>
      <c r="BV20" s="6">
        <v>1.0923363357318976</v>
      </c>
      <c r="BW20" s="6">
        <v>0.50074183976261133</v>
      </c>
      <c r="BX20" s="6">
        <v>1.3841059602649006</v>
      </c>
      <c r="BY20" s="6" t="s">
        <v>277</v>
      </c>
      <c r="BZ20" s="6">
        <v>1.2412323828253031</v>
      </c>
      <c r="CA20" s="6">
        <v>1.1170415554708348</v>
      </c>
      <c r="CB20" s="6">
        <v>1.028292611433073</v>
      </c>
    </row>
    <row r="21" spans="1:80">
      <c r="A21" s="6" t="s">
        <v>180</v>
      </c>
      <c r="B21" s="6" t="s">
        <v>0</v>
      </c>
      <c r="C21" s="6">
        <v>1.2515347983246314</v>
      </c>
      <c r="D21" s="6">
        <v>1.2058189655172413</v>
      </c>
      <c r="E21" s="6">
        <v>1.0865036231884058</v>
      </c>
      <c r="F21" s="6">
        <v>1.0903490759753593</v>
      </c>
      <c r="G21" s="6">
        <v>0.99639639639639643</v>
      </c>
      <c r="H21" s="6">
        <v>1.8138013087447948</v>
      </c>
      <c r="I21" s="6">
        <v>1.0949416342412452</v>
      </c>
      <c r="J21" s="6">
        <v>1.0717488789237668</v>
      </c>
      <c r="K21" s="6">
        <v>1.05078125</v>
      </c>
      <c r="L21" s="6">
        <v>1.4704336399474376</v>
      </c>
      <c r="M21" s="6">
        <v>1.367117117117117</v>
      </c>
      <c r="N21" s="6">
        <v>0.854635047736372</v>
      </c>
      <c r="O21" s="6">
        <v>0.85424056755885203</v>
      </c>
      <c r="P21" s="6">
        <v>0.85034013605442171</v>
      </c>
      <c r="Q21" s="6">
        <v>1.3375891583452211</v>
      </c>
      <c r="R21" s="6">
        <v>0.98092643051771122</v>
      </c>
      <c r="S21" s="6">
        <v>2.6333333333333333</v>
      </c>
      <c r="T21" s="6">
        <v>3.6666666666666665</v>
      </c>
      <c r="U21" s="6">
        <v>1.0956937799043063</v>
      </c>
      <c r="V21" s="6">
        <v>1.2863436123348018</v>
      </c>
      <c r="W21" s="6">
        <v>0.83348307876609762</v>
      </c>
      <c r="X21" s="6">
        <v>0.73664825046040516</v>
      </c>
      <c r="Y21" s="6">
        <v>1.4055215413132618</v>
      </c>
      <c r="Z21" s="6">
        <v>1.1970443349753694</v>
      </c>
      <c r="AA21" s="6">
        <v>1.8580798578446744</v>
      </c>
      <c r="AB21" s="6">
        <v>2.2451736526946107</v>
      </c>
      <c r="AC21" s="6">
        <v>1.2316474890732316</v>
      </c>
      <c r="AD21" s="6">
        <v>1.6885723535124635</v>
      </c>
      <c r="AE21" s="6">
        <v>1.5757575757575757</v>
      </c>
      <c r="AF21" s="6">
        <v>1.3900709219858156</v>
      </c>
      <c r="AG21" s="6">
        <v>2.4558823529411766</v>
      </c>
      <c r="AH21" s="6">
        <v>1</v>
      </c>
      <c r="AI21" s="6">
        <v>1.0713743356112377</v>
      </c>
      <c r="AJ21" s="6">
        <v>1.15625</v>
      </c>
      <c r="AK21" s="6">
        <v>0.94348894348894352</v>
      </c>
      <c r="AL21" s="6">
        <v>0.94805194805194803</v>
      </c>
      <c r="AM21" s="6">
        <v>1.008611955420466</v>
      </c>
      <c r="AN21" s="6">
        <v>1.1167608286252355</v>
      </c>
      <c r="AO21" s="6">
        <v>2.5057915057915059</v>
      </c>
      <c r="AP21" s="6">
        <v>0.88739946380697055</v>
      </c>
      <c r="AQ21" s="6">
        <v>1.0372492836676217</v>
      </c>
      <c r="AR21" s="6">
        <v>1.1945754716981132</v>
      </c>
      <c r="AS21" s="6">
        <v>0.96969860064585578</v>
      </c>
      <c r="AT21" s="6">
        <v>0.85301837270341208</v>
      </c>
      <c r="AU21" s="6">
        <v>1.1358024691358024</v>
      </c>
      <c r="AV21" s="6">
        <v>0.9760479041916168</v>
      </c>
      <c r="AW21" s="6">
        <v>1.0112834978843441</v>
      </c>
      <c r="AX21" s="6">
        <v>0.92439024390243907</v>
      </c>
      <c r="AY21" s="6">
        <v>1.0598958333333333</v>
      </c>
      <c r="AZ21" s="6">
        <v>1.4172901080631755</v>
      </c>
      <c r="BA21" s="6">
        <v>0.915848116112007</v>
      </c>
      <c r="BB21" s="6">
        <v>1.0795454545454546</v>
      </c>
      <c r="BC21" s="6">
        <v>1.110247657781974</v>
      </c>
      <c r="BD21" s="6">
        <v>0.90419161676646709</v>
      </c>
      <c r="BE21" s="6">
        <v>1.0883720930232559</v>
      </c>
      <c r="BF21" s="6">
        <v>0.99019607843137258</v>
      </c>
      <c r="BG21" s="6">
        <v>1.0972972972972972</v>
      </c>
      <c r="BH21" s="6">
        <v>1.0311688311688312</v>
      </c>
      <c r="BI21" s="6">
        <v>1.1763367463026166</v>
      </c>
      <c r="BJ21" s="6">
        <v>1.0054141851651326</v>
      </c>
      <c r="BK21" s="6">
        <v>1.1824175824175824</v>
      </c>
      <c r="BL21" s="6">
        <v>1.3523166023166022</v>
      </c>
      <c r="BM21" s="6">
        <v>1.0598459411416157</v>
      </c>
      <c r="BN21" s="6">
        <v>0.97810218978102192</v>
      </c>
      <c r="BO21" s="6">
        <v>1.0727272727272728</v>
      </c>
      <c r="BP21" s="6">
        <v>1.0666666666666667</v>
      </c>
      <c r="BQ21" s="6">
        <v>1.049792531120332</v>
      </c>
      <c r="BR21" s="6">
        <v>1.1333333333333333</v>
      </c>
      <c r="BS21" s="6">
        <v>1.1402540033130868</v>
      </c>
      <c r="BT21" s="6">
        <v>1.0996884735202492</v>
      </c>
      <c r="BU21" s="6">
        <v>1</v>
      </c>
      <c r="BV21" s="6">
        <v>1.044776119402985</v>
      </c>
      <c r="BW21" s="6">
        <v>1.0088888888888889</v>
      </c>
      <c r="BX21" s="6">
        <v>1.9856459330143541</v>
      </c>
      <c r="BY21" s="6" t="s">
        <v>277</v>
      </c>
      <c r="BZ21" s="6">
        <v>1.258515975706364</v>
      </c>
      <c r="CA21" s="6">
        <v>0.75119453924914681</v>
      </c>
      <c r="CB21" s="6">
        <v>1.3204245008492392</v>
      </c>
    </row>
    <row r="22" spans="1:80">
      <c r="A22" s="6" t="s">
        <v>181</v>
      </c>
      <c r="B22" s="6" t="s">
        <v>0</v>
      </c>
      <c r="C22" s="6">
        <v>0.99133544216751479</v>
      </c>
      <c r="D22" s="6">
        <v>1.028596961572833</v>
      </c>
      <c r="E22" s="6">
        <v>0.92191190773933585</v>
      </c>
      <c r="F22" s="6">
        <v>0.80489642184557442</v>
      </c>
      <c r="G22" s="6">
        <v>0.93490054249547916</v>
      </c>
      <c r="H22" s="6">
        <v>1.0631354542472942</v>
      </c>
      <c r="I22" s="6">
        <v>1.2004264392324093</v>
      </c>
      <c r="J22" s="6">
        <v>1.1380753138075315</v>
      </c>
      <c r="K22" s="6">
        <v>1.1301115241635689</v>
      </c>
      <c r="L22" s="6">
        <v>1.1286863270777481</v>
      </c>
      <c r="M22" s="6">
        <v>1.0790774299835255</v>
      </c>
      <c r="N22" s="6">
        <v>0.93333333333333335</v>
      </c>
      <c r="O22" s="6">
        <v>0.92940732351830879</v>
      </c>
      <c r="P22" s="6">
        <v>1.032</v>
      </c>
      <c r="Q22" s="6">
        <v>0.91231625162196273</v>
      </c>
      <c r="R22" s="6">
        <v>0.72638888888888886</v>
      </c>
      <c r="S22" s="6">
        <v>1.9367088607594938</v>
      </c>
      <c r="T22" s="6">
        <v>1.0909090909090908</v>
      </c>
      <c r="U22" s="6">
        <v>0.79330422125181954</v>
      </c>
      <c r="V22" s="6">
        <v>0.71917808219178081</v>
      </c>
      <c r="W22" s="6">
        <v>0.87172116421128276</v>
      </c>
      <c r="X22" s="6">
        <v>0.72250000000000003</v>
      </c>
      <c r="Y22" s="6">
        <v>0.91513637726046559</v>
      </c>
      <c r="Z22" s="6">
        <v>0.87654320987654322</v>
      </c>
      <c r="AA22" s="6">
        <v>0.8133745868785599</v>
      </c>
      <c r="AB22" s="6">
        <v>0.8449688486814031</v>
      </c>
      <c r="AC22" s="6">
        <v>0.69524913093858631</v>
      </c>
      <c r="AD22" s="6">
        <v>0.82735812883435578</v>
      </c>
      <c r="AE22" s="6">
        <v>0.77797202797202802</v>
      </c>
      <c r="AF22" s="6">
        <v>0.69387755102040816</v>
      </c>
      <c r="AG22" s="6">
        <v>0.9640718562874252</v>
      </c>
      <c r="AH22" s="6">
        <v>1.1538461538461537</v>
      </c>
      <c r="AI22" s="6">
        <v>0.95582329317269077</v>
      </c>
      <c r="AJ22" s="6">
        <v>0.83243243243243248</v>
      </c>
      <c r="AK22" s="6">
        <v>0.67447916666666663</v>
      </c>
      <c r="AL22" s="6">
        <v>1.1575342465753424</v>
      </c>
      <c r="AM22" s="6">
        <v>1.0223505775991963</v>
      </c>
      <c r="AN22" s="6">
        <v>1.0151770657672849</v>
      </c>
      <c r="AO22" s="6">
        <v>0.62403697996918339</v>
      </c>
      <c r="AP22" s="6">
        <v>0.7643504531722054</v>
      </c>
      <c r="AQ22" s="6">
        <v>1.1574585635359116</v>
      </c>
      <c r="AR22" s="6">
        <v>0.98321816386969396</v>
      </c>
      <c r="AS22" s="6">
        <v>0.76155852805683522</v>
      </c>
      <c r="AT22" s="6">
        <v>0.76615384615384619</v>
      </c>
      <c r="AU22" s="6">
        <v>0.73550724637681164</v>
      </c>
      <c r="AV22" s="6">
        <v>0.95705521472392641</v>
      </c>
      <c r="AW22" s="6">
        <v>0.91631799163179917</v>
      </c>
      <c r="AX22" s="6">
        <v>0.81266490765171506</v>
      </c>
      <c r="AY22" s="6">
        <v>1.020884520884521</v>
      </c>
      <c r="AZ22" s="6">
        <v>0.50439882697947214</v>
      </c>
      <c r="BA22" s="6">
        <v>0.7514006723227149</v>
      </c>
      <c r="BB22" s="6">
        <v>0.93859649122807021</v>
      </c>
      <c r="BC22" s="6">
        <v>0.77857002682017395</v>
      </c>
      <c r="BD22" s="6">
        <v>0.74266792809839166</v>
      </c>
      <c r="BE22" s="6">
        <v>0.99519230769230771</v>
      </c>
      <c r="BF22" s="6">
        <v>0.72277227722772275</v>
      </c>
      <c r="BG22" s="6">
        <v>0.96551724137931039</v>
      </c>
      <c r="BH22" s="6">
        <v>0.85558354324097396</v>
      </c>
      <c r="BI22" s="6">
        <v>0.97292069632495159</v>
      </c>
      <c r="BJ22" s="6">
        <v>0.82660204631125467</v>
      </c>
      <c r="BK22" s="6">
        <v>0.51652209830648488</v>
      </c>
      <c r="BL22" s="6">
        <v>0.91720199857244822</v>
      </c>
      <c r="BM22" s="6">
        <v>0.9444651509504286</v>
      </c>
      <c r="BN22" s="6">
        <v>1.0671641791044777</v>
      </c>
      <c r="BO22" s="6">
        <v>0.9152542372881356</v>
      </c>
      <c r="BP22" s="6">
        <v>1.03125</v>
      </c>
      <c r="BQ22" s="6">
        <v>0.91304347826086951</v>
      </c>
      <c r="BR22" s="6">
        <v>0.84313725490196079</v>
      </c>
      <c r="BS22" s="6">
        <v>1.0130750605326877</v>
      </c>
      <c r="BT22" s="6">
        <v>0.94050991501416425</v>
      </c>
      <c r="BU22" s="6">
        <v>0.88165680473372776</v>
      </c>
      <c r="BV22" s="6">
        <v>1.0561287477954144</v>
      </c>
      <c r="BW22" s="6">
        <v>1.4273127753303965</v>
      </c>
      <c r="BX22" s="6">
        <v>1.3277108433734939</v>
      </c>
      <c r="BY22" s="6" t="s">
        <v>277</v>
      </c>
      <c r="BZ22" s="6">
        <v>1.0527346482025459</v>
      </c>
      <c r="CA22" s="6">
        <v>0.97077086172951688</v>
      </c>
      <c r="CB22" s="6">
        <v>0.88402948623960498</v>
      </c>
    </row>
    <row r="23" spans="1:80">
      <c r="A23" s="6" t="s">
        <v>182</v>
      </c>
      <c r="B23" s="6" t="s">
        <v>0</v>
      </c>
      <c r="C23" s="6">
        <v>0.96536256011838695</v>
      </c>
      <c r="D23" s="6">
        <v>0.99478714161598614</v>
      </c>
      <c r="E23" s="6">
        <v>1.0111529766390355</v>
      </c>
      <c r="F23" s="6">
        <v>1.0107627515208235</v>
      </c>
      <c r="G23" s="6">
        <v>0.98549323017408119</v>
      </c>
      <c r="H23" s="6">
        <v>0.90421101341971311</v>
      </c>
      <c r="I23" s="6">
        <v>0.9206631142687981</v>
      </c>
      <c r="J23" s="6">
        <v>1.2389705882352942</v>
      </c>
      <c r="K23" s="6">
        <v>0.9375</v>
      </c>
      <c r="L23" s="6">
        <v>0.79968329374505143</v>
      </c>
      <c r="M23" s="6">
        <v>1.2183206106870228</v>
      </c>
      <c r="N23" s="6">
        <v>0.93397683397683395</v>
      </c>
      <c r="O23" s="6">
        <v>0.93095044679122663</v>
      </c>
      <c r="P23" s="6">
        <v>0.98449612403100772</v>
      </c>
      <c r="Q23" s="6">
        <v>1.4788411331488913</v>
      </c>
      <c r="R23" s="6">
        <v>1.3766730401529637</v>
      </c>
      <c r="S23" s="6">
        <v>0.76339869281045747</v>
      </c>
      <c r="T23" s="6">
        <v>1.25</v>
      </c>
      <c r="U23" s="6">
        <v>1.1155963302752294</v>
      </c>
      <c r="V23" s="6">
        <v>1.2571428571428571</v>
      </c>
      <c r="W23" s="6">
        <v>1.3676834295136027</v>
      </c>
      <c r="X23" s="6">
        <v>1.2491349480968859</v>
      </c>
      <c r="Y23" s="6">
        <v>1.5112450325341718</v>
      </c>
      <c r="Z23" s="6">
        <v>0.971830985915493</v>
      </c>
      <c r="AA23" s="6">
        <v>1.1513616322296187</v>
      </c>
      <c r="AB23" s="6">
        <v>1.0889601535275997</v>
      </c>
      <c r="AC23" s="6">
        <v>1.3496874999999999</v>
      </c>
      <c r="AD23" s="6">
        <v>1.2174719036032904</v>
      </c>
      <c r="AE23" s="6">
        <v>1.0584269662921348</v>
      </c>
      <c r="AF23" s="6">
        <v>1.125</v>
      </c>
      <c r="AG23" s="6">
        <v>0.94409937888198758</v>
      </c>
      <c r="AH23" s="6">
        <v>0.8</v>
      </c>
      <c r="AI23" s="6">
        <v>0.99864063272367776</v>
      </c>
      <c r="AJ23" s="6">
        <v>1.1883116883116882</v>
      </c>
      <c r="AK23" s="6">
        <v>1.0926640926640927</v>
      </c>
      <c r="AL23" s="6">
        <v>0.98076923076923073</v>
      </c>
      <c r="AM23" s="6">
        <v>0.98206828788995337</v>
      </c>
      <c r="AN23" s="6">
        <v>1.084717607973422</v>
      </c>
      <c r="AO23" s="6">
        <v>0.80493827160493825</v>
      </c>
      <c r="AP23" s="6">
        <v>1.3715415019762847</v>
      </c>
      <c r="AQ23" s="6">
        <v>0.82577565632458239</v>
      </c>
      <c r="AR23" s="6">
        <v>1.001004016064257</v>
      </c>
      <c r="AS23" s="6">
        <v>1.1117994315283142</v>
      </c>
      <c r="AT23" s="6">
        <v>1.1084337349397591</v>
      </c>
      <c r="AU23" s="6">
        <v>0.9211822660098522</v>
      </c>
      <c r="AV23" s="6">
        <v>0.96794871794871795</v>
      </c>
      <c r="AW23" s="6">
        <v>1.2115677321156773</v>
      </c>
      <c r="AX23" s="6">
        <v>0.86038961038961037</v>
      </c>
      <c r="AY23" s="6">
        <v>0.87605294825511437</v>
      </c>
      <c r="AZ23" s="6">
        <v>1.6325581395348838</v>
      </c>
      <c r="BA23" s="6">
        <v>1.105986365573072</v>
      </c>
      <c r="BB23" s="6">
        <v>0.99065420560747663</v>
      </c>
      <c r="BC23" s="6">
        <v>1.0273903545622585</v>
      </c>
      <c r="BD23" s="6">
        <v>1.0624203821656051</v>
      </c>
      <c r="BE23" s="6">
        <v>1.0214707461084274</v>
      </c>
      <c r="BF23" s="6">
        <v>0.93150684931506844</v>
      </c>
      <c r="BG23" s="6">
        <v>1.0170068027210883</v>
      </c>
      <c r="BH23" s="6">
        <v>1.1599607458292445</v>
      </c>
      <c r="BI23" s="6">
        <v>0.92743538767395628</v>
      </c>
      <c r="BJ23" s="6">
        <v>1.006514657980456</v>
      </c>
      <c r="BK23" s="6">
        <v>1.1571371451419432</v>
      </c>
      <c r="BL23" s="6">
        <v>0.78443579766536964</v>
      </c>
      <c r="BM23" s="6">
        <v>0.9611286503551697</v>
      </c>
      <c r="BN23" s="6">
        <v>1.0069930069930071</v>
      </c>
      <c r="BO23" s="6">
        <v>0.93518518518518523</v>
      </c>
      <c r="BP23" s="6">
        <v>0.93939393939393945</v>
      </c>
      <c r="BQ23" s="6">
        <v>1.0432900432900434</v>
      </c>
      <c r="BR23" s="6">
        <v>0.97674418604651159</v>
      </c>
      <c r="BS23" s="6">
        <v>0.93116634799235176</v>
      </c>
      <c r="BT23" s="6">
        <v>0.8012048192771084</v>
      </c>
      <c r="BU23" s="6">
        <v>1.0067114093959733</v>
      </c>
      <c r="BV23" s="6">
        <v>1.020874211998497</v>
      </c>
      <c r="BW23" s="6">
        <v>0.81121399176954734</v>
      </c>
      <c r="BX23" s="6">
        <v>1.0326678765880217</v>
      </c>
      <c r="BY23" s="6" t="s">
        <v>277</v>
      </c>
      <c r="BZ23" s="6">
        <v>0.95907520595269735</v>
      </c>
      <c r="CA23" s="6">
        <v>1.2271450858034321</v>
      </c>
      <c r="CB23" s="6">
        <v>1.1759651193552982</v>
      </c>
    </row>
    <row r="24" spans="1:80">
      <c r="A24" s="6" t="s">
        <v>183</v>
      </c>
      <c r="B24" s="6" t="s">
        <v>0</v>
      </c>
      <c r="C24" s="6">
        <v>1.1587065868263473</v>
      </c>
      <c r="D24" s="6">
        <v>0.93624454148471614</v>
      </c>
      <c r="E24" s="6">
        <v>1.0627515277984796</v>
      </c>
      <c r="F24" s="6">
        <v>1.0055555555555555</v>
      </c>
      <c r="G24" s="6">
        <v>1.0431795878312071</v>
      </c>
      <c r="H24" s="6">
        <v>1.4483111566018423</v>
      </c>
      <c r="I24" s="6">
        <v>1.0752411575562701</v>
      </c>
      <c r="J24" s="6">
        <v>0.97922848664688422</v>
      </c>
      <c r="K24" s="6">
        <v>1.0315789473684212</v>
      </c>
      <c r="L24" s="6">
        <v>1.0653465346534654</v>
      </c>
      <c r="M24" s="6">
        <v>1.1152882205513786</v>
      </c>
      <c r="N24" s="6">
        <v>0.91360066143034313</v>
      </c>
      <c r="O24" s="6">
        <v>0.91099476439790572</v>
      </c>
      <c r="P24" s="6">
        <v>0.952755905511811</v>
      </c>
      <c r="Q24" s="6">
        <v>1.2619132313610792</v>
      </c>
      <c r="R24" s="6">
        <v>1.1805555555555556</v>
      </c>
      <c r="S24" s="6">
        <v>2.2380136986301369</v>
      </c>
      <c r="T24" s="6">
        <v>1.1333333333333333</v>
      </c>
      <c r="U24" s="6">
        <v>0.89802631578947367</v>
      </c>
      <c r="V24" s="6">
        <v>0.94318181818181823</v>
      </c>
      <c r="W24" s="6">
        <v>1.635623869801085</v>
      </c>
      <c r="X24" s="6">
        <v>1.1495844875346259</v>
      </c>
      <c r="Y24" s="6">
        <v>1.2457521817025949</v>
      </c>
      <c r="Z24" s="6">
        <v>0.97584541062801933</v>
      </c>
      <c r="AA24" s="6">
        <v>1.1021940560753278</v>
      </c>
      <c r="AB24" s="6">
        <v>1.0886492753623189</v>
      </c>
      <c r="AC24" s="6">
        <v>1.1110596588716524</v>
      </c>
      <c r="AD24" s="6">
        <v>1.146459840121812</v>
      </c>
      <c r="AE24" s="6">
        <v>1.2760084925690021</v>
      </c>
      <c r="AF24" s="6">
        <v>1.3496732026143792</v>
      </c>
      <c r="AG24" s="6">
        <v>1.1447368421052631</v>
      </c>
      <c r="AH24" s="6">
        <v>1</v>
      </c>
      <c r="AI24" s="6">
        <v>0.97685929959163464</v>
      </c>
      <c r="AJ24" s="6">
        <v>1.0327868852459017</v>
      </c>
      <c r="AK24" s="6">
        <v>1.0353356890459364</v>
      </c>
      <c r="AL24" s="6">
        <v>1.1689291101055808</v>
      </c>
      <c r="AM24" s="6">
        <v>0.93621810905452729</v>
      </c>
      <c r="AN24" s="6">
        <v>0.95405819295558958</v>
      </c>
      <c r="AO24" s="6">
        <v>1.2147239263803682</v>
      </c>
      <c r="AP24" s="6">
        <v>0.86743515850144093</v>
      </c>
      <c r="AQ24" s="6">
        <v>0.93930635838150289</v>
      </c>
      <c r="AR24" s="6">
        <v>0.96288866599799394</v>
      </c>
      <c r="AS24" s="6">
        <v>1.047590953785644</v>
      </c>
      <c r="AT24" s="6">
        <v>0.87681159420289856</v>
      </c>
      <c r="AU24" s="6">
        <v>1.0909090909090908</v>
      </c>
      <c r="AV24" s="6">
        <v>0.77483443708609268</v>
      </c>
      <c r="AW24" s="6">
        <v>1.0653266331658291</v>
      </c>
      <c r="AX24" s="6">
        <v>0.99622641509433962</v>
      </c>
      <c r="AY24" s="6">
        <v>0.89697802197802201</v>
      </c>
      <c r="AZ24" s="6">
        <v>0.87891737891737887</v>
      </c>
      <c r="BA24" s="6">
        <v>1.0956370991043052</v>
      </c>
      <c r="BB24" s="6">
        <v>0.98113207547169812</v>
      </c>
      <c r="BC24" s="6">
        <v>1.0292770690219168</v>
      </c>
      <c r="BD24" s="6">
        <v>1.1522781774580335</v>
      </c>
      <c r="BE24" s="6">
        <v>1.024172359432475</v>
      </c>
      <c r="BF24" s="6">
        <v>1.1838235294117647</v>
      </c>
      <c r="BG24" s="6">
        <v>1.0228539576365663</v>
      </c>
      <c r="BH24" s="6">
        <v>0.97377326565143829</v>
      </c>
      <c r="BI24" s="6">
        <v>1.0439442658092175</v>
      </c>
      <c r="BJ24" s="6">
        <v>1.007766990291262</v>
      </c>
      <c r="BK24" s="6">
        <v>0.87802349689011749</v>
      </c>
      <c r="BL24" s="6">
        <v>1.4474206349206349</v>
      </c>
      <c r="BM24" s="6">
        <v>1.0638472592896735</v>
      </c>
      <c r="BN24" s="6">
        <v>0.81944444444444442</v>
      </c>
      <c r="BO24" s="6">
        <v>0.97029702970297027</v>
      </c>
      <c r="BP24" s="6">
        <v>1</v>
      </c>
      <c r="BQ24" s="6">
        <v>1.0373443983402491</v>
      </c>
      <c r="BR24" s="6">
        <v>1.2380952380952381</v>
      </c>
      <c r="BS24" s="6">
        <v>0.99537987679671458</v>
      </c>
      <c r="BT24" s="6">
        <v>0.97744360902255634</v>
      </c>
      <c r="BU24" s="6">
        <v>1.1614285714285715</v>
      </c>
      <c r="BV24" s="6">
        <v>0.97681266102318731</v>
      </c>
      <c r="BW24" s="6">
        <v>0.81293595434369059</v>
      </c>
      <c r="BX24" s="6">
        <v>1.5746924428822495</v>
      </c>
      <c r="BY24" s="6" t="s">
        <v>277</v>
      </c>
      <c r="BZ24" s="6">
        <v>1.0442643391521198</v>
      </c>
      <c r="CA24" s="6">
        <v>0.84235952199338926</v>
      </c>
      <c r="CB24" s="6">
        <v>1.1321865684879058</v>
      </c>
    </row>
    <row r="25" spans="1:80">
      <c r="A25" s="6" t="s">
        <v>184</v>
      </c>
      <c r="B25" s="6" t="s">
        <v>0</v>
      </c>
      <c r="C25" s="6">
        <v>1.0444848685298496</v>
      </c>
      <c r="D25" s="6">
        <v>0.97854477611940294</v>
      </c>
      <c r="E25" s="6">
        <v>1.0099579242636747</v>
      </c>
      <c r="F25" s="6">
        <v>0.99907918968692444</v>
      </c>
      <c r="G25" s="6">
        <v>0.89651928504233303</v>
      </c>
      <c r="H25" s="6">
        <v>1.0644287396937573</v>
      </c>
      <c r="I25" s="6">
        <v>1.2452153110047848</v>
      </c>
      <c r="J25" s="6">
        <v>0.89393939393939392</v>
      </c>
      <c r="K25" s="6">
        <v>0.86054421768707479</v>
      </c>
      <c r="L25" s="6">
        <v>1.2100371747211895</v>
      </c>
      <c r="M25" s="6">
        <v>1.0269662921348315</v>
      </c>
      <c r="N25" s="6">
        <v>0.97375565610859727</v>
      </c>
      <c r="O25" s="6">
        <v>0.99137931034482762</v>
      </c>
      <c r="P25" s="6">
        <v>0.68595041322314054</v>
      </c>
      <c r="Q25" s="6">
        <v>0.90029545952830881</v>
      </c>
      <c r="R25" s="6">
        <v>0.96235294117647063</v>
      </c>
      <c r="S25" s="6">
        <v>1.3749043611323641</v>
      </c>
      <c r="T25" s="6">
        <v>1.2941176470588236</v>
      </c>
      <c r="U25" s="6">
        <v>0.81318681318681318</v>
      </c>
      <c r="V25" s="6">
        <v>0.94779116465863456</v>
      </c>
      <c r="W25" s="6">
        <v>0.96075179657269205</v>
      </c>
      <c r="X25" s="6">
        <v>1.0313253012048194</v>
      </c>
      <c r="Y25" s="6">
        <v>0.88807831038842044</v>
      </c>
      <c r="Z25" s="6">
        <v>1.2722772277227723</v>
      </c>
      <c r="AA25" s="6">
        <v>0.95844346949341908</v>
      </c>
      <c r="AB25" s="6">
        <v>0.88536252875521859</v>
      </c>
      <c r="AC25" s="6">
        <v>0.99235898860794669</v>
      </c>
      <c r="AD25" s="6">
        <v>1.2029550925541628</v>
      </c>
      <c r="AE25" s="6">
        <v>0.8452579034941764</v>
      </c>
      <c r="AF25" s="6">
        <v>0.82082324455205813</v>
      </c>
      <c r="AG25" s="6">
        <v>0.91379310344827591</v>
      </c>
      <c r="AH25" s="6">
        <v>0.83333333333333337</v>
      </c>
      <c r="AI25" s="6">
        <v>1.0667595642259944</v>
      </c>
      <c r="AJ25" s="6">
        <v>1.17989417989418</v>
      </c>
      <c r="AK25" s="6">
        <v>1.1911262798634812</v>
      </c>
      <c r="AL25" s="6">
        <v>0.86322580645161295</v>
      </c>
      <c r="AM25" s="6">
        <v>1.1544215869623298</v>
      </c>
      <c r="AN25" s="6">
        <v>1.0032102728731942</v>
      </c>
      <c r="AO25" s="6">
        <v>0.78030303030303028</v>
      </c>
      <c r="AP25" s="6">
        <v>1.0930232558139534</v>
      </c>
      <c r="AQ25" s="6">
        <v>0.96307692307692305</v>
      </c>
      <c r="AR25" s="6">
        <v>0.97499999999999998</v>
      </c>
      <c r="AS25" s="6">
        <v>0.86502721982354047</v>
      </c>
      <c r="AT25" s="6">
        <v>0.80991735537190079</v>
      </c>
      <c r="AU25" s="6">
        <v>1.0294117647058822</v>
      </c>
      <c r="AV25" s="6">
        <v>0.81196581196581197</v>
      </c>
      <c r="AW25" s="6">
        <v>0.94575471698113212</v>
      </c>
      <c r="AX25" s="6">
        <v>0.93560606060606055</v>
      </c>
      <c r="AY25" s="6">
        <v>0.93415007656967841</v>
      </c>
      <c r="AZ25" s="6">
        <v>0.57536466774716366</v>
      </c>
      <c r="BA25" s="6">
        <v>0.86840717299578063</v>
      </c>
      <c r="BB25" s="6">
        <v>1.0317307692307693</v>
      </c>
      <c r="BC25" s="6">
        <v>1.0569680597489273</v>
      </c>
      <c r="BD25" s="6">
        <v>0.87721123829344438</v>
      </c>
      <c r="BE25" s="6">
        <v>1.0903027193432528</v>
      </c>
      <c r="BF25" s="6">
        <v>1.0559006211180124</v>
      </c>
      <c r="BG25" s="6">
        <v>1.0299727520435968</v>
      </c>
      <c r="BH25" s="6">
        <v>0.96350999131190274</v>
      </c>
      <c r="BI25" s="6">
        <v>1.0349075975359343</v>
      </c>
      <c r="BJ25" s="6">
        <v>1.0141297366730893</v>
      </c>
      <c r="BK25" s="6">
        <v>1.1896890987800079</v>
      </c>
      <c r="BL25" s="6">
        <v>1.067854694996573</v>
      </c>
      <c r="BM25" s="6">
        <v>0.94982632188344274</v>
      </c>
      <c r="BN25" s="6">
        <v>1.1440677966101696</v>
      </c>
      <c r="BO25" s="6">
        <v>0.84693877551020413</v>
      </c>
      <c r="BP25" s="6">
        <v>1.1612903225806452</v>
      </c>
      <c r="BQ25" s="6">
        <v>1.024</v>
      </c>
      <c r="BR25" s="6">
        <v>0.94230769230769229</v>
      </c>
      <c r="BS25" s="6">
        <v>0.93347086126869516</v>
      </c>
      <c r="BT25" s="6">
        <v>0.91538461538461535</v>
      </c>
      <c r="BU25" s="6">
        <v>0.94792947929479299</v>
      </c>
      <c r="BV25" s="6">
        <v>0.95340366742024618</v>
      </c>
      <c r="BW25" s="6">
        <v>0.80655226209048358</v>
      </c>
      <c r="BX25" s="6">
        <v>0.8169642857142857</v>
      </c>
      <c r="BY25" s="6" t="s">
        <v>277</v>
      </c>
      <c r="BZ25" s="6">
        <v>1.0299170812603649</v>
      </c>
      <c r="CA25" s="6">
        <v>0.82749773619076361</v>
      </c>
      <c r="CB25" s="6">
        <v>0.94670171992800833</v>
      </c>
    </row>
    <row r="26" spans="1:80">
      <c r="A26" s="6" t="s">
        <v>185</v>
      </c>
      <c r="B26" s="6" t="s">
        <v>0</v>
      </c>
      <c r="C26" s="6">
        <v>1.0731871437618745</v>
      </c>
      <c r="D26" s="6">
        <v>0.98760724499523356</v>
      </c>
      <c r="E26" s="6">
        <v>1.2013609220941537</v>
      </c>
      <c r="F26" s="6">
        <v>1.0622119815668203</v>
      </c>
      <c r="G26" s="6">
        <v>1.074501573976915</v>
      </c>
      <c r="H26" s="6">
        <v>1.0046475600309837</v>
      </c>
      <c r="I26" s="6">
        <v>1.0662824207492796</v>
      </c>
      <c r="J26" s="6">
        <v>0.97288135593220337</v>
      </c>
      <c r="K26" s="6">
        <v>1.0118577075098814</v>
      </c>
      <c r="L26" s="6">
        <v>0.89400921658986177</v>
      </c>
      <c r="M26" s="6">
        <v>1.1958424507658643</v>
      </c>
      <c r="N26" s="6">
        <v>0.97676579925650553</v>
      </c>
      <c r="O26" s="6">
        <v>0.98840579710144927</v>
      </c>
      <c r="P26" s="6">
        <v>0.67469879518072284</v>
      </c>
      <c r="Q26" s="6">
        <v>1.1800470817436479</v>
      </c>
      <c r="R26" s="6">
        <v>1.2591687041564792</v>
      </c>
      <c r="S26" s="6">
        <v>1.4151363383416806</v>
      </c>
      <c r="T26" s="6">
        <v>0.86363636363636365</v>
      </c>
      <c r="U26" s="6">
        <v>1.0957207207207207</v>
      </c>
      <c r="V26" s="6">
        <v>0.97881355932203384</v>
      </c>
      <c r="W26" s="6">
        <v>1.0140007671653242</v>
      </c>
      <c r="X26" s="6">
        <v>0.7570093457943925</v>
      </c>
      <c r="Y26" s="6">
        <v>1.1893144924318606</v>
      </c>
      <c r="Z26" s="6">
        <v>1.1089494163424125</v>
      </c>
      <c r="AA26" s="6">
        <v>0.95975491868531781</v>
      </c>
      <c r="AB26" s="6">
        <v>0.96254150026463936</v>
      </c>
      <c r="AC26" s="6">
        <v>0.82479350412991737</v>
      </c>
      <c r="AD26" s="6">
        <v>1.0848054098813138</v>
      </c>
      <c r="AE26" s="6">
        <v>1.2677165354330708</v>
      </c>
      <c r="AF26" s="6">
        <v>1.1946902654867257</v>
      </c>
      <c r="AG26" s="6">
        <v>1.3647798742138364</v>
      </c>
      <c r="AH26" s="6">
        <v>2.2000000000000002</v>
      </c>
      <c r="AI26" s="6">
        <v>0.92506828167676047</v>
      </c>
      <c r="AJ26" s="6">
        <v>0.75336322869955152</v>
      </c>
      <c r="AK26" s="6">
        <v>1.1991404011461317</v>
      </c>
      <c r="AL26" s="6">
        <v>1.0284005979073243</v>
      </c>
      <c r="AM26" s="6">
        <v>0.82457764406387413</v>
      </c>
      <c r="AN26" s="6">
        <v>1.1024</v>
      </c>
      <c r="AO26" s="6">
        <v>0.66990291262135926</v>
      </c>
      <c r="AP26" s="6">
        <v>0.88753799392097266</v>
      </c>
      <c r="AQ26" s="6">
        <v>1.0447284345047922</v>
      </c>
      <c r="AR26" s="6">
        <v>1.0865384615384615</v>
      </c>
      <c r="AS26" s="6">
        <v>1.0471643518518519</v>
      </c>
      <c r="AT26" s="6">
        <v>1.1071428571428572</v>
      </c>
      <c r="AU26" s="6">
        <v>0.95238095238095233</v>
      </c>
      <c r="AV26" s="6">
        <v>0.78947368421052633</v>
      </c>
      <c r="AW26" s="6">
        <v>1.1658354114713216</v>
      </c>
      <c r="AX26" s="6">
        <v>0.94331983805668018</v>
      </c>
      <c r="AY26" s="6">
        <v>1.3524590163934427</v>
      </c>
      <c r="AZ26" s="6">
        <v>0.9746478873239437</v>
      </c>
      <c r="BA26" s="6">
        <v>1.0352262374734285</v>
      </c>
      <c r="BB26" s="6">
        <v>0.99534016775396084</v>
      </c>
      <c r="BC26" s="6">
        <v>1.0234533563857777</v>
      </c>
      <c r="BD26" s="6">
        <v>1.066429418742586</v>
      </c>
      <c r="BE26" s="6">
        <v>0.93176470588235294</v>
      </c>
      <c r="BF26" s="6">
        <v>0.95882352941176474</v>
      </c>
      <c r="BG26" s="6">
        <v>1.0068783068783069</v>
      </c>
      <c r="BH26" s="6">
        <v>1.1424706943192064</v>
      </c>
      <c r="BI26" s="6">
        <v>1.1259920634920635</v>
      </c>
      <c r="BJ26" s="6">
        <v>0.9385687143761875</v>
      </c>
      <c r="BK26" s="6">
        <v>1.0145550777373471</v>
      </c>
      <c r="BL26" s="6">
        <v>1.1065468549422337</v>
      </c>
      <c r="BM26" s="6">
        <v>1.0233644859813085</v>
      </c>
      <c r="BN26" s="6">
        <v>1.2370370370370369</v>
      </c>
      <c r="BO26" s="6">
        <v>1.036144578313253</v>
      </c>
      <c r="BP26" s="6">
        <v>1.0833333333333333</v>
      </c>
      <c r="BQ26" s="6">
        <v>0.9296875</v>
      </c>
      <c r="BR26" s="6">
        <v>1.1632653061224489</v>
      </c>
      <c r="BS26" s="6">
        <v>1.0348066298342542</v>
      </c>
      <c r="BT26" s="6">
        <v>1.0336134453781514</v>
      </c>
      <c r="BU26" s="6">
        <v>1.0082179930795847</v>
      </c>
      <c r="BV26" s="6">
        <v>0.96201642295701051</v>
      </c>
      <c r="BW26" s="6">
        <v>1.1073500967117988</v>
      </c>
      <c r="BX26" s="6">
        <v>1.4234972677595628</v>
      </c>
      <c r="BY26" s="6" t="s">
        <v>277</v>
      </c>
      <c r="BZ26" s="6">
        <v>0.89514363003993302</v>
      </c>
      <c r="CA26" s="6">
        <v>1.0618274667153018</v>
      </c>
      <c r="CB26" s="6">
        <v>1.0573524010187729</v>
      </c>
    </row>
    <row r="27" spans="1:80">
      <c r="A27" s="6" t="s">
        <v>186</v>
      </c>
      <c r="B27" s="6" t="s">
        <v>0</v>
      </c>
      <c r="C27" s="6">
        <v>1.1471618780658726</v>
      </c>
      <c r="D27" s="6">
        <v>1.5608108108108107</v>
      </c>
      <c r="E27" s="6">
        <v>1.3378800138712288</v>
      </c>
      <c r="F27" s="6">
        <v>1.1106290672451193</v>
      </c>
      <c r="G27" s="6">
        <v>1.181640625</v>
      </c>
      <c r="H27" s="6">
        <v>0.98854499394206408</v>
      </c>
      <c r="I27" s="6">
        <v>1.0644144144144143</v>
      </c>
      <c r="J27" s="6">
        <v>0.85017421602787457</v>
      </c>
      <c r="K27" s="6">
        <v>1.15625</v>
      </c>
      <c r="L27" s="6">
        <v>0.99828178694158076</v>
      </c>
      <c r="M27" s="6">
        <v>1.010978956999085</v>
      </c>
      <c r="N27" s="6">
        <v>1.0233111322549953</v>
      </c>
      <c r="O27" s="6">
        <v>1.0195503421309873</v>
      </c>
      <c r="P27" s="6">
        <v>1.1428571428571428</v>
      </c>
      <c r="Q27" s="6">
        <v>0.95751727119959906</v>
      </c>
      <c r="R27" s="6">
        <v>0.99708737864077668</v>
      </c>
      <c r="S27" s="6">
        <v>0.63979551710578053</v>
      </c>
      <c r="T27" s="6">
        <v>0.73684210526315785</v>
      </c>
      <c r="U27" s="6">
        <v>1.2949640287769784</v>
      </c>
      <c r="V27" s="6">
        <v>1.0173160173160174</v>
      </c>
      <c r="W27" s="6">
        <v>0.85114431624739928</v>
      </c>
      <c r="X27" s="6">
        <v>1.3487654320987654</v>
      </c>
      <c r="Y27" s="6">
        <v>0.96643130881658557</v>
      </c>
      <c r="Z27" s="6">
        <v>1.1473684210526316</v>
      </c>
      <c r="AA27" s="6">
        <v>1.0444062624975932</v>
      </c>
      <c r="AB27" s="6">
        <v>0.95461021270214197</v>
      </c>
      <c r="AC27" s="6">
        <v>1.1373164728846643</v>
      </c>
      <c r="AD27" s="6">
        <v>1.2032949557916164</v>
      </c>
      <c r="AE27" s="6">
        <v>1.0062111801242235</v>
      </c>
      <c r="AF27" s="6">
        <v>1.0419753086419754</v>
      </c>
      <c r="AG27" s="6">
        <v>0.96313364055299544</v>
      </c>
      <c r="AH27" s="6">
        <v>0.86363636363636365</v>
      </c>
      <c r="AI27" s="6">
        <v>0.94249037227214383</v>
      </c>
      <c r="AJ27" s="6">
        <v>1</v>
      </c>
      <c r="AK27" s="6">
        <v>0.95579450418160095</v>
      </c>
      <c r="AL27" s="6">
        <v>1.132267441860465</v>
      </c>
      <c r="AM27" s="6">
        <v>0.82037608756665736</v>
      </c>
      <c r="AN27" s="6">
        <v>1.0435413642960814</v>
      </c>
      <c r="AO27" s="6">
        <v>1.1690821256038648</v>
      </c>
      <c r="AP27" s="6">
        <v>1.1335616438356164</v>
      </c>
      <c r="AQ27" s="6">
        <v>1.0550458715596329</v>
      </c>
      <c r="AR27" s="6">
        <v>1.0117994100294985</v>
      </c>
      <c r="AS27" s="6">
        <v>1.0614810721193699</v>
      </c>
      <c r="AT27" s="6">
        <v>1.1105990783410138</v>
      </c>
      <c r="AU27" s="6">
        <v>1.04</v>
      </c>
      <c r="AV27" s="6">
        <v>1.3466666666666667</v>
      </c>
      <c r="AW27" s="6">
        <v>1.053475935828877</v>
      </c>
      <c r="AX27" s="6">
        <v>1.0214592274678111</v>
      </c>
      <c r="AY27" s="6">
        <v>1.1272727272727272</v>
      </c>
      <c r="AZ27" s="6">
        <v>0.97687861271676302</v>
      </c>
      <c r="BA27" s="6">
        <v>1.0666862227437177</v>
      </c>
      <c r="BB27" s="6">
        <v>1.0093632958801497</v>
      </c>
      <c r="BC27" s="6">
        <v>1.0803525523319868</v>
      </c>
      <c r="BD27" s="6">
        <v>1.0177975528364849</v>
      </c>
      <c r="BE27" s="6">
        <v>1.0040404040404041</v>
      </c>
      <c r="BF27" s="6">
        <v>1.1595092024539877</v>
      </c>
      <c r="BG27" s="6">
        <v>1.0394114555964267</v>
      </c>
      <c r="BH27" s="6">
        <v>1.2083662194159432</v>
      </c>
      <c r="BI27" s="6">
        <v>1.1867841409691631</v>
      </c>
      <c r="BJ27" s="6">
        <v>1.0418353576248314</v>
      </c>
      <c r="BK27" s="6">
        <v>0.97685034235409196</v>
      </c>
      <c r="BL27" s="6">
        <v>1.2906032482598608</v>
      </c>
      <c r="BM27" s="6">
        <v>1.0698828667857851</v>
      </c>
      <c r="BN27" s="6">
        <v>0.87425149700598803</v>
      </c>
      <c r="BO27" s="6">
        <v>1.1627906976744187</v>
      </c>
      <c r="BP27" s="6">
        <v>1.1282051282051282</v>
      </c>
      <c r="BQ27" s="6">
        <v>1.0378151260504203</v>
      </c>
      <c r="BR27" s="6">
        <v>1.1929824561403508</v>
      </c>
      <c r="BS27" s="6">
        <v>1.1356113187399892</v>
      </c>
      <c r="BT27" s="6">
        <v>1.1626016260162602</v>
      </c>
      <c r="BU27" s="6">
        <v>1.0175890175890177</v>
      </c>
      <c r="BV27" s="6">
        <v>0.97092386342888437</v>
      </c>
      <c r="BW27" s="6">
        <v>1.1283842794759826</v>
      </c>
      <c r="BX27" s="6">
        <v>0.68138195777351251</v>
      </c>
      <c r="BY27" s="6" t="s">
        <v>277</v>
      </c>
      <c r="BZ27" s="6">
        <v>0.96841272125485678</v>
      </c>
      <c r="CA27" s="6">
        <v>0.99742356578495361</v>
      </c>
      <c r="CB27" s="6">
        <v>1.0151360141702106</v>
      </c>
    </row>
    <row r="28" spans="1:80">
      <c r="A28" s="6" t="s">
        <v>187</v>
      </c>
      <c r="B28" s="6" t="s">
        <v>0</v>
      </c>
      <c r="C28" s="6">
        <v>1.1461916856894834</v>
      </c>
      <c r="D28" s="6">
        <v>1.1731601731601731</v>
      </c>
      <c r="E28" s="6">
        <v>1.1351304648349749</v>
      </c>
      <c r="F28" s="6">
        <v>0.93281250000000004</v>
      </c>
      <c r="G28" s="6">
        <v>1.1537190082644628</v>
      </c>
      <c r="H28" s="6">
        <v>1.0405571030640668</v>
      </c>
      <c r="I28" s="6">
        <v>1.6479052052475667</v>
      </c>
      <c r="J28" s="6">
        <v>1.151639344262295</v>
      </c>
      <c r="K28" s="6">
        <v>1.1081081081081081</v>
      </c>
      <c r="L28" s="6">
        <v>1.0395869191049913</v>
      </c>
      <c r="M28" s="6">
        <v>1.6099547511312218</v>
      </c>
      <c r="N28" s="6">
        <v>1.1724779172477917</v>
      </c>
      <c r="O28" s="6">
        <v>1.1768935762224353</v>
      </c>
      <c r="P28" s="6">
        <v>1.03125</v>
      </c>
      <c r="Q28" s="6">
        <v>0.83684675068763081</v>
      </c>
      <c r="R28" s="6">
        <v>0.99610516066212274</v>
      </c>
      <c r="S28" s="6">
        <v>0.98709280885064532</v>
      </c>
      <c r="T28" s="6">
        <v>0.7857142857142857</v>
      </c>
      <c r="U28" s="6">
        <v>1.2325396825396826</v>
      </c>
      <c r="V28" s="6">
        <v>1.0808510638297872</v>
      </c>
      <c r="W28" s="6">
        <v>0.90466666666666662</v>
      </c>
      <c r="X28" s="6">
        <v>1.3592677345537758</v>
      </c>
      <c r="Y28" s="6">
        <v>0.81752073627996824</v>
      </c>
      <c r="Z28" s="6">
        <v>1.4709480122324159</v>
      </c>
      <c r="AA28" s="6">
        <v>0.88281261079831519</v>
      </c>
      <c r="AB28" s="6">
        <v>0.97164401853742832</v>
      </c>
      <c r="AC28" s="6">
        <v>0.60331318558316549</v>
      </c>
      <c r="AD28" s="6">
        <v>0.901517153882751</v>
      </c>
      <c r="AE28" s="6">
        <v>1.0108024691358024</v>
      </c>
      <c r="AF28" s="6">
        <v>0.93127962085308058</v>
      </c>
      <c r="AG28" s="6">
        <v>1.1291866028708133</v>
      </c>
      <c r="AH28" s="6">
        <v>1.3157894736842106</v>
      </c>
      <c r="AI28" s="6">
        <v>0.99891037864342136</v>
      </c>
      <c r="AJ28" s="6">
        <v>1.2321428571428572</v>
      </c>
      <c r="AK28" s="6">
        <v>1.04</v>
      </c>
      <c r="AL28" s="6">
        <v>1.0847240051347882</v>
      </c>
      <c r="AM28" s="6">
        <v>0.84604858022579543</v>
      </c>
      <c r="AN28" s="6">
        <v>1.1446453407510431</v>
      </c>
      <c r="AO28" s="6">
        <v>1.5</v>
      </c>
      <c r="AP28" s="6">
        <v>1.0996978851963746</v>
      </c>
      <c r="AQ28" s="6">
        <v>1.0898550724637681</v>
      </c>
      <c r="AR28" s="6">
        <v>1.0194363459669582</v>
      </c>
      <c r="AS28" s="6">
        <v>0.95756865807627234</v>
      </c>
      <c r="AT28" s="6">
        <v>1.045643153526971</v>
      </c>
      <c r="AU28" s="6">
        <v>1.1634615384615385</v>
      </c>
      <c r="AV28" s="6">
        <v>1.0198019801980198</v>
      </c>
      <c r="AW28" s="6">
        <v>1.0182741116751268</v>
      </c>
      <c r="AX28" s="6">
        <v>1.1848739495798319</v>
      </c>
      <c r="AY28" s="6">
        <v>1.1612903225806452</v>
      </c>
      <c r="AZ28" s="6">
        <v>1.0059171597633136</v>
      </c>
      <c r="BA28" s="6">
        <v>0.91685764048033735</v>
      </c>
      <c r="BB28" s="6">
        <v>0.99443413729128016</v>
      </c>
      <c r="BC28" s="6">
        <v>1.0903528451968183</v>
      </c>
      <c r="BD28" s="6">
        <v>1.0907103825136613</v>
      </c>
      <c r="BE28" s="6">
        <v>0.97484909456740443</v>
      </c>
      <c r="BF28" s="6">
        <v>0.84656084656084651</v>
      </c>
      <c r="BG28" s="6">
        <v>1.0935288169868553</v>
      </c>
      <c r="BH28" s="6">
        <v>1.1469627694317439</v>
      </c>
      <c r="BI28" s="6">
        <v>1.265033407572383</v>
      </c>
      <c r="BJ28" s="6">
        <v>1.0660621761658031</v>
      </c>
      <c r="BK28" s="6">
        <v>1.1144859813084111</v>
      </c>
      <c r="BL28" s="6">
        <v>1.0476404494382023</v>
      </c>
      <c r="BM28" s="6">
        <v>1.1694191872332529</v>
      </c>
      <c r="BN28" s="6">
        <v>1.2602739726027397</v>
      </c>
      <c r="BO28" s="6">
        <v>1.28</v>
      </c>
      <c r="BP28" s="6">
        <v>1.0227272727272727</v>
      </c>
      <c r="BQ28" s="6">
        <v>1.2267206477732793</v>
      </c>
      <c r="BR28" s="6">
        <v>1.2058823529411764</v>
      </c>
      <c r="BS28" s="6">
        <v>1.1438645980253879</v>
      </c>
      <c r="BT28" s="6">
        <v>1.3636363636363635</v>
      </c>
      <c r="BU28" s="6">
        <v>1.1534569983136593</v>
      </c>
      <c r="BV28" s="6">
        <v>1.0630905928259131</v>
      </c>
      <c r="BW28" s="6">
        <v>1.0077399380804954</v>
      </c>
      <c r="BX28" s="6">
        <v>1.1802816901408451</v>
      </c>
      <c r="BY28" s="6">
        <v>5</v>
      </c>
      <c r="BZ28" s="6">
        <v>1.077643212720113</v>
      </c>
      <c r="CA28" s="6">
        <v>1.0268641294988807</v>
      </c>
      <c r="CB28" s="6">
        <v>0.93866645607939136</v>
      </c>
    </row>
    <row r="29" spans="1:80">
      <c r="A29" s="6" t="s">
        <v>188</v>
      </c>
      <c r="B29" s="6" t="s">
        <v>0</v>
      </c>
      <c r="C29" s="6">
        <v>0.9150350631136045</v>
      </c>
      <c r="D29" s="6">
        <v>0.98787559304164474</v>
      </c>
      <c r="E29" s="6">
        <v>0.84396407367940329</v>
      </c>
      <c r="F29" s="6">
        <v>0.92462311557788945</v>
      </c>
      <c r="G29" s="6">
        <v>0.98782234957020054</v>
      </c>
      <c r="H29" s="6">
        <v>0.8116500696005996</v>
      </c>
      <c r="I29" s="6">
        <v>1.0665125834617359</v>
      </c>
      <c r="J29" s="6">
        <v>1.1352313167259787</v>
      </c>
      <c r="K29" s="6">
        <v>1.1067073170731707</v>
      </c>
      <c r="L29" s="6">
        <v>0.97185430463576161</v>
      </c>
      <c r="M29" s="6">
        <v>1.3929173693086003</v>
      </c>
      <c r="N29" s="6">
        <v>1.0622521808088818</v>
      </c>
      <c r="O29" s="6">
        <v>1.0631364562118126</v>
      </c>
      <c r="P29" s="6">
        <v>1.0303030303030303</v>
      </c>
      <c r="Q29" s="6">
        <v>1.0255337936447591</v>
      </c>
      <c r="R29" s="6">
        <v>0.80840664711632448</v>
      </c>
      <c r="S29" s="6">
        <v>0.88107098381070981</v>
      </c>
      <c r="T29" s="6">
        <v>0.63636363636363635</v>
      </c>
      <c r="U29" s="6">
        <v>1.1390856406954282</v>
      </c>
      <c r="V29" s="6">
        <v>0.952755905511811</v>
      </c>
      <c r="W29" s="6">
        <v>1.1599115696389093</v>
      </c>
      <c r="X29" s="6">
        <v>1.1195286195286196</v>
      </c>
      <c r="Y29" s="6">
        <v>1.0214593467685893</v>
      </c>
      <c r="Z29" s="6">
        <v>0.98960498960498966</v>
      </c>
      <c r="AA29" s="6">
        <v>1.0876172728441074</v>
      </c>
      <c r="AB29" s="6">
        <v>1.1391269199676637</v>
      </c>
      <c r="AC29" s="6">
        <v>0.85912183055040203</v>
      </c>
      <c r="AD29" s="6">
        <v>1.0836167468042688</v>
      </c>
      <c r="AE29" s="6">
        <v>1.0305343511450382</v>
      </c>
      <c r="AF29" s="6">
        <v>1.0737913486005088</v>
      </c>
      <c r="AG29" s="6">
        <v>0.91949152542372881</v>
      </c>
      <c r="AH29" s="6">
        <v>1.48</v>
      </c>
      <c r="AI29" s="6">
        <v>1.140850831742569</v>
      </c>
      <c r="AJ29" s="6">
        <v>1.0966183574879227</v>
      </c>
      <c r="AK29" s="6">
        <v>0.78966346153846156</v>
      </c>
      <c r="AL29" s="6">
        <v>1.0023668639053254</v>
      </c>
      <c r="AM29" s="6">
        <v>1.4096239385361908</v>
      </c>
      <c r="AN29" s="6">
        <v>1.1968408262454435</v>
      </c>
      <c r="AO29" s="6">
        <v>1.0165289256198347</v>
      </c>
      <c r="AP29" s="6">
        <v>0.86538461538461542</v>
      </c>
      <c r="AQ29" s="6">
        <v>1.1117021276595744</v>
      </c>
      <c r="AR29" s="6">
        <v>1.0152526215443278</v>
      </c>
      <c r="AS29" s="6">
        <v>0.91110507000135921</v>
      </c>
      <c r="AT29" s="6">
        <v>0.73015873015873012</v>
      </c>
      <c r="AU29" s="6">
        <v>1.0165289256198347</v>
      </c>
      <c r="AV29" s="6">
        <v>1.0776699029126213</v>
      </c>
      <c r="AW29" s="6">
        <v>0.98105682951146556</v>
      </c>
      <c r="AX29" s="6">
        <v>0.95035460992907805</v>
      </c>
      <c r="AY29" s="6">
        <v>0.98148148148148151</v>
      </c>
      <c r="AZ29" s="6">
        <v>0.88529411764705879</v>
      </c>
      <c r="BA29" s="6">
        <v>0.88402319536092777</v>
      </c>
      <c r="BB29" s="6">
        <v>1.0326492537313432</v>
      </c>
      <c r="BC29" s="6">
        <v>0.95940890385334832</v>
      </c>
      <c r="BD29" s="6">
        <v>0.87374749498997994</v>
      </c>
      <c r="BE29" s="6">
        <v>0.96594427244582048</v>
      </c>
      <c r="BF29" s="6">
        <v>1.0062500000000001</v>
      </c>
      <c r="BG29" s="6">
        <v>1.0490060101710588</v>
      </c>
      <c r="BH29" s="6">
        <v>0.87813211845102501</v>
      </c>
      <c r="BI29" s="6">
        <v>1.028169014084507</v>
      </c>
      <c r="BJ29" s="6">
        <v>1.0273390036452006</v>
      </c>
      <c r="BK29" s="6">
        <v>0.88050314465408808</v>
      </c>
      <c r="BL29" s="6">
        <v>0.98241098241098246</v>
      </c>
      <c r="BM29" s="6">
        <v>1.0406220247540463</v>
      </c>
      <c r="BN29" s="6">
        <v>0.73913043478260865</v>
      </c>
      <c r="BO29" s="6">
        <v>1.0390625</v>
      </c>
      <c r="BP29" s="6">
        <v>1.4222222222222223</v>
      </c>
      <c r="BQ29" s="6">
        <v>1.0825082508250825</v>
      </c>
      <c r="BR29" s="6">
        <v>1.1219512195121952</v>
      </c>
      <c r="BS29" s="6">
        <v>1.0406905055487052</v>
      </c>
      <c r="BT29" s="6">
        <v>1.0487179487179488</v>
      </c>
      <c r="BU29" s="6">
        <v>1.0460526315789473</v>
      </c>
      <c r="BV29" s="6">
        <v>1.2139919515323043</v>
      </c>
      <c r="BW29" s="6">
        <v>1.2004608294930876</v>
      </c>
      <c r="BX29" s="6">
        <v>1.1801909307875895</v>
      </c>
      <c r="BY29" s="6">
        <v>0.2</v>
      </c>
      <c r="BZ29" s="6">
        <v>1.3001241036955322</v>
      </c>
      <c r="CA29" s="6">
        <v>1.0134160657387221</v>
      </c>
      <c r="CB29" s="6">
        <v>1.0354789213702813</v>
      </c>
    </row>
    <row r="30" spans="1:80">
      <c r="A30" s="6" t="s">
        <v>189</v>
      </c>
      <c r="B30" s="6" t="s">
        <v>0</v>
      </c>
      <c r="C30" s="6">
        <v>1.1218540204162963</v>
      </c>
      <c r="D30" s="6">
        <v>0.86339381003201709</v>
      </c>
      <c r="E30" s="6">
        <v>1.0672799422799424</v>
      </c>
      <c r="F30" s="6">
        <v>1.0620471014492754</v>
      </c>
      <c r="G30" s="6">
        <v>1.0326323422770123</v>
      </c>
      <c r="H30" s="6">
        <v>1.2316622691292876</v>
      </c>
      <c r="I30" s="6">
        <v>1.2277871418251867</v>
      </c>
      <c r="J30" s="6">
        <v>1.0344827586206897</v>
      </c>
      <c r="K30" s="6">
        <v>1.0165289256198347</v>
      </c>
      <c r="L30" s="6">
        <v>1.0477001703577513</v>
      </c>
      <c r="M30" s="6">
        <v>1.215092816787732</v>
      </c>
      <c r="N30" s="6">
        <v>1.1313923105636432</v>
      </c>
      <c r="O30" s="6">
        <v>1.1348659003831418</v>
      </c>
      <c r="P30" s="6">
        <v>0.98529411764705888</v>
      </c>
      <c r="Q30" s="6">
        <v>1.189569605721051</v>
      </c>
      <c r="R30" s="6">
        <v>0.97702539298669888</v>
      </c>
      <c r="S30" s="6">
        <v>1.3469964664310954</v>
      </c>
      <c r="T30" s="6">
        <v>0</v>
      </c>
      <c r="U30" s="6">
        <v>1.1164499717354437</v>
      </c>
      <c r="V30" s="6">
        <v>1.1446280991735538</v>
      </c>
      <c r="W30" s="6">
        <v>1.2393053790766624</v>
      </c>
      <c r="X30" s="6">
        <v>2.3684210526315788</v>
      </c>
      <c r="Y30" s="6">
        <v>1.1780961711160094</v>
      </c>
      <c r="Z30" s="6">
        <v>1.0420168067226891</v>
      </c>
      <c r="AA30" s="6">
        <v>1.346326548698709</v>
      </c>
      <c r="AB30" s="6">
        <v>1.3515246138196957</v>
      </c>
      <c r="AC30" s="6">
        <v>1.1030809098761878</v>
      </c>
      <c r="AD30" s="6">
        <v>1.4261363636363635</v>
      </c>
      <c r="AE30" s="6">
        <v>1.0074074074074073</v>
      </c>
      <c r="AF30" s="6">
        <v>0.92417061611374407</v>
      </c>
      <c r="AG30" s="6">
        <v>1.1105990783410138</v>
      </c>
      <c r="AH30" s="6">
        <v>1.3243243243243243</v>
      </c>
      <c r="AI30" s="6">
        <v>1.032986733596271</v>
      </c>
      <c r="AJ30" s="6">
        <v>0.87665198237885467</v>
      </c>
      <c r="AK30" s="6">
        <v>1.0684931506849316</v>
      </c>
      <c r="AL30" s="6">
        <v>1.1322314049586777</v>
      </c>
      <c r="AM30" s="6">
        <v>0.99770510613884111</v>
      </c>
      <c r="AN30" s="6">
        <v>1.1979695431472082</v>
      </c>
      <c r="AO30" s="6">
        <v>0.71815718157181574</v>
      </c>
      <c r="AP30" s="6">
        <v>1.0761904761904761</v>
      </c>
      <c r="AQ30" s="6">
        <v>1.0598086124401913</v>
      </c>
      <c r="AR30" s="6">
        <v>1.0065727699530516</v>
      </c>
      <c r="AS30" s="6">
        <v>1.1001790243174698</v>
      </c>
      <c r="AT30" s="6">
        <v>0.90217391304347827</v>
      </c>
      <c r="AU30" s="6">
        <v>1.1951219512195121</v>
      </c>
      <c r="AV30" s="6">
        <v>1.0360360360360361</v>
      </c>
      <c r="AW30" s="6">
        <v>1.0294715447154472</v>
      </c>
      <c r="AX30" s="6">
        <v>1.0223880597014925</v>
      </c>
      <c r="AY30" s="6">
        <v>0.85094339622641513</v>
      </c>
      <c r="AZ30" s="6">
        <v>1.5232558139534884</v>
      </c>
      <c r="BA30" s="6">
        <v>1.1261026916987107</v>
      </c>
      <c r="BB30" s="6">
        <v>1.0063233965672991</v>
      </c>
      <c r="BC30" s="6">
        <v>0.95132254500552416</v>
      </c>
      <c r="BD30" s="6">
        <v>0.8509174311926605</v>
      </c>
      <c r="BE30" s="6">
        <v>1.0074786324786325</v>
      </c>
      <c r="BF30" s="6">
        <v>1.1677018633540373</v>
      </c>
      <c r="BG30" s="6">
        <v>0.96562362274129576</v>
      </c>
      <c r="BH30" s="6">
        <v>0.79507133592736701</v>
      </c>
      <c r="BI30" s="6">
        <v>1.1484018264840183</v>
      </c>
      <c r="BJ30" s="6">
        <v>1.0922531046717918</v>
      </c>
      <c r="BK30" s="6">
        <v>0.7700680272108843</v>
      </c>
      <c r="BL30" s="6">
        <v>0.99694323144104802</v>
      </c>
      <c r="BM30" s="6">
        <v>1.0455931686489783</v>
      </c>
      <c r="BN30" s="6">
        <v>1.0588235294117647</v>
      </c>
      <c r="BO30" s="6">
        <v>1.0601503759398496</v>
      </c>
      <c r="BP30" s="6">
        <v>1.09375</v>
      </c>
      <c r="BQ30" s="6">
        <v>1</v>
      </c>
      <c r="BR30" s="6">
        <v>1.25</v>
      </c>
      <c r="BS30" s="6">
        <v>1.0343601895734598</v>
      </c>
      <c r="BT30" s="6">
        <v>1.0440097799511003</v>
      </c>
      <c r="BU30" s="6">
        <v>1.054157931516422</v>
      </c>
      <c r="BV30" s="6">
        <v>0.92973189567244641</v>
      </c>
      <c r="BW30" s="6">
        <v>0.94305822136916184</v>
      </c>
      <c r="BX30" s="6">
        <v>0.68452982810920127</v>
      </c>
      <c r="BY30" s="6">
        <v>1</v>
      </c>
      <c r="BZ30" s="6">
        <v>0.9344010181895317</v>
      </c>
      <c r="CA30" s="6">
        <v>0.95134866788019201</v>
      </c>
      <c r="CB30" s="6">
        <v>1.1658419384916567</v>
      </c>
    </row>
    <row r="31" spans="1:80">
      <c r="A31" s="6" t="s">
        <v>190</v>
      </c>
      <c r="B31" s="6" t="s">
        <v>0</v>
      </c>
      <c r="C31" s="6">
        <v>0.96379385725215871</v>
      </c>
      <c r="D31" s="6">
        <v>1.1279357231149567</v>
      </c>
      <c r="E31" s="6">
        <v>1.1496535406455974</v>
      </c>
      <c r="F31" s="6">
        <v>1.0579957356076759</v>
      </c>
      <c r="G31" s="6">
        <v>1.0316011235955056</v>
      </c>
      <c r="H31" s="6">
        <v>0.78470437017994854</v>
      </c>
      <c r="I31" s="6">
        <v>0.69954893116297312</v>
      </c>
      <c r="J31" s="6">
        <v>0.90909090909090906</v>
      </c>
      <c r="K31" s="6">
        <v>1.065040650406504</v>
      </c>
      <c r="L31" s="6">
        <v>1.1048780487804879</v>
      </c>
      <c r="M31" s="6">
        <v>0.9784124875456659</v>
      </c>
      <c r="N31" s="6">
        <v>1.1141537446387331</v>
      </c>
      <c r="O31" s="6">
        <v>1.1201890614449697</v>
      </c>
      <c r="P31" s="6">
        <v>0.88059701492537312</v>
      </c>
      <c r="Q31" s="6">
        <v>1.074452363958059</v>
      </c>
      <c r="R31" s="6">
        <v>0.90470297029702973</v>
      </c>
      <c r="S31" s="6">
        <v>0.73347324239244494</v>
      </c>
      <c r="T31" s="6" t="s">
        <v>277</v>
      </c>
      <c r="U31" s="6">
        <v>1.1230379746835444</v>
      </c>
      <c r="V31" s="6">
        <v>0.8592057761732852</v>
      </c>
      <c r="W31" s="6">
        <v>1.1062884483937117</v>
      </c>
      <c r="X31" s="6">
        <v>1.3396825396825396</v>
      </c>
      <c r="Y31" s="6">
        <v>1.0754074125405679</v>
      </c>
      <c r="Z31" s="6">
        <v>1.1774193548387097</v>
      </c>
      <c r="AA31" s="6">
        <v>1.3414189952714786</v>
      </c>
      <c r="AB31" s="6">
        <v>1.1700418322160573</v>
      </c>
      <c r="AC31" s="6">
        <v>1.4605847037327069</v>
      </c>
      <c r="AD31" s="6">
        <v>1.6782014797951053</v>
      </c>
      <c r="AE31" s="6">
        <v>0.97499999999999998</v>
      </c>
      <c r="AF31" s="6">
        <v>0.94358974358974357</v>
      </c>
      <c r="AG31" s="6">
        <v>0.99585062240663902</v>
      </c>
      <c r="AH31" s="6">
        <v>1.1224489795918366</v>
      </c>
      <c r="AI31" s="6">
        <v>1.2160129584634964</v>
      </c>
      <c r="AJ31" s="6">
        <v>1.0100502512562815</v>
      </c>
      <c r="AK31" s="6">
        <v>1.3347578347578348</v>
      </c>
      <c r="AL31" s="6">
        <v>1.0729927007299269</v>
      </c>
      <c r="AM31" s="6">
        <v>1.3657274295572168</v>
      </c>
      <c r="AN31" s="6">
        <v>1.1406779661016948</v>
      </c>
      <c r="AO31" s="6">
        <v>1.2075471698113207</v>
      </c>
      <c r="AP31" s="6">
        <v>0.87905604719764008</v>
      </c>
      <c r="AQ31" s="6">
        <v>1</v>
      </c>
      <c r="AR31" s="6">
        <v>1.1054104477611941</v>
      </c>
      <c r="AS31" s="6">
        <v>1.1547223540579021</v>
      </c>
      <c r="AT31" s="6">
        <v>1</v>
      </c>
      <c r="AU31" s="6">
        <v>1.0442176870748299</v>
      </c>
      <c r="AV31" s="6">
        <v>0.84347826086956523</v>
      </c>
      <c r="AW31" s="6">
        <v>1.1303060217176704</v>
      </c>
      <c r="AX31" s="6">
        <v>0.9963503649635036</v>
      </c>
      <c r="AY31" s="6">
        <v>1.0277161862527717</v>
      </c>
      <c r="AZ31" s="6">
        <v>1.1221374045801527</v>
      </c>
      <c r="BA31" s="6">
        <v>1.1874058451340765</v>
      </c>
      <c r="BB31" s="6">
        <v>1.1355475763016158</v>
      </c>
      <c r="BC31" s="6">
        <v>1.0487771553490914</v>
      </c>
      <c r="BD31" s="6">
        <v>1.2654986522911051</v>
      </c>
      <c r="BE31" s="6">
        <v>0.97189819724284199</v>
      </c>
      <c r="BF31" s="6">
        <v>1.4627659574468086</v>
      </c>
      <c r="BG31" s="6">
        <v>1.0479233226837061</v>
      </c>
      <c r="BH31" s="6">
        <v>1.0473083197389885</v>
      </c>
      <c r="BI31" s="6">
        <v>0.99801192842942343</v>
      </c>
      <c r="BJ31" s="6">
        <v>1.1250676773145643</v>
      </c>
      <c r="BK31" s="6">
        <v>0.74779151943462896</v>
      </c>
      <c r="BL31" s="6">
        <v>1.2899693385895752</v>
      </c>
      <c r="BM31" s="6">
        <v>1.0628554761557532</v>
      </c>
      <c r="BN31" s="6">
        <v>1.125</v>
      </c>
      <c r="BO31" s="6">
        <v>1.0780141843971631</v>
      </c>
      <c r="BP31" s="6">
        <v>1.1428571428571428</v>
      </c>
      <c r="BQ31" s="6">
        <v>1.024390243902439</v>
      </c>
      <c r="BR31" s="6">
        <v>1.0782608695652174</v>
      </c>
      <c r="BS31" s="6">
        <v>1.0557464681176021</v>
      </c>
      <c r="BT31" s="6">
        <v>1.0304449648711944</v>
      </c>
      <c r="BU31" s="6">
        <v>1.0709313887968179</v>
      </c>
      <c r="BV31" s="6">
        <v>1.0177095169063197</v>
      </c>
      <c r="BW31" s="6">
        <v>0.93012211668928091</v>
      </c>
      <c r="BX31" s="6">
        <v>1.2023633677991137</v>
      </c>
      <c r="BY31" s="6">
        <v>0</v>
      </c>
      <c r="BZ31" s="6">
        <v>1.086038592508513</v>
      </c>
      <c r="CA31" s="6">
        <v>0.8090102626543747</v>
      </c>
      <c r="CB31" s="6">
        <v>1.1436313193997358</v>
      </c>
    </row>
    <row r="32" spans="1:80">
      <c r="A32" s="6" t="s">
        <v>191</v>
      </c>
      <c r="B32" s="6" t="s">
        <v>0</v>
      </c>
      <c r="C32" s="6">
        <v>1.0674208273085537</v>
      </c>
      <c r="D32" s="6">
        <v>1.1649315068493151</v>
      </c>
      <c r="E32" s="6">
        <v>1.2099963248805585</v>
      </c>
      <c r="F32" s="6">
        <v>1.0028214429665459</v>
      </c>
      <c r="G32" s="6">
        <v>1.0408441116405718</v>
      </c>
      <c r="H32" s="6">
        <v>0.80412230412230412</v>
      </c>
      <c r="I32" s="6">
        <v>1.1527894589290721</v>
      </c>
      <c r="J32" s="6">
        <v>0.89333333333333331</v>
      </c>
      <c r="K32" s="6">
        <v>1.0814249363867685</v>
      </c>
      <c r="L32" s="6">
        <v>1.011037527593819</v>
      </c>
      <c r="M32" s="6">
        <v>1.0105227427019687</v>
      </c>
      <c r="N32" s="6">
        <v>1.0607047675451584</v>
      </c>
      <c r="O32" s="6">
        <v>1.0617842073538275</v>
      </c>
      <c r="P32" s="6">
        <v>1</v>
      </c>
      <c r="Q32" s="6">
        <v>1.2763498909982316</v>
      </c>
      <c r="R32" s="6">
        <v>0.79206566347469221</v>
      </c>
      <c r="S32" s="6">
        <v>0.75178826895565098</v>
      </c>
      <c r="T32" s="6">
        <v>1.3333333333333333</v>
      </c>
      <c r="U32" s="6">
        <v>1.0031559963931469</v>
      </c>
      <c r="V32" s="6">
        <v>0.76890756302521013</v>
      </c>
      <c r="W32" s="6">
        <v>0.74822366388631445</v>
      </c>
      <c r="X32" s="6">
        <v>0.81374407582938391</v>
      </c>
      <c r="Y32" s="6">
        <v>1.3447353724546782</v>
      </c>
      <c r="Z32" s="6">
        <v>1</v>
      </c>
      <c r="AA32" s="6">
        <v>1.0328701469710229</v>
      </c>
      <c r="AB32" s="6">
        <v>0.95651328386787937</v>
      </c>
      <c r="AC32" s="6">
        <v>1.0923063175766241</v>
      </c>
      <c r="AD32" s="6">
        <v>1.1332835922132538</v>
      </c>
      <c r="AE32" s="6">
        <v>0.97586726998491702</v>
      </c>
      <c r="AF32" s="6">
        <v>0.97554347826086951</v>
      </c>
      <c r="AG32" s="6">
        <v>1.0125</v>
      </c>
      <c r="AH32" s="6">
        <v>0.8545454545454545</v>
      </c>
      <c r="AI32" s="6">
        <v>1.139010466222645</v>
      </c>
      <c r="AJ32" s="6">
        <v>1.0547263681592041</v>
      </c>
      <c r="AK32" s="6">
        <v>0.80469583778014941</v>
      </c>
      <c r="AL32" s="6">
        <v>0.97959183673469385</v>
      </c>
      <c r="AM32" s="6">
        <v>1.315578947368421</v>
      </c>
      <c r="AN32" s="6">
        <v>1.138187221396731</v>
      </c>
      <c r="AO32" s="6">
        <v>0.81874999999999998</v>
      </c>
      <c r="AP32" s="6">
        <v>1.1006711409395973</v>
      </c>
      <c r="AQ32" s="6">
        <v>0.89616252821670428</v>
      </c>
      <c r="AR32" s="6">
        <v>1.0337552742616034</v>
      </c>
      <c r="AS32" s="6">
        <v>1.0314720216076567</v>
      </c>
      <c r="AT32" s="6">
        <v>0.8493975903614458</v>
      </c>
      <c r="AU32" s="6">
        <v>1.0586319218241043</v>
      </c>
      <c r="AV32" s="6">
        <v>1.1134020618556701</v>
      </c>
      <c r="AW32" s="6">
        <v>0.95545851528384285</v>
      </c>
      <c r="AX32" s="6">
        <v>1.1172161172161172</v>
      </c>
      <c r="AY32" s="6">
        <v>1.0841423948220066</v>
      </c>
      <c r="AZ32" s="6">
        <v>1.1827016520894071</v>
      </c>
      <c r="BA32" s="6">
        <v>1.0148862386873043</v>
      </c>
      <c r="BB32" s="6">
        <v>1.0845849802371541</v>
      </c>
      <c r="BC32" s="6">
        <v>1.1068264721208962</v>
      </c>
      <c r="BD32" s="6">
        <v>1.1331203407880723</v>
      </c>
      <c r="BE32" s="6">
        <v>1.0698308783415167</v>
      </c>
      <c r="BF32" s="6">
        <v>0.69818181818181824</v>
      </c>
      <c r="BG32" s="6">
        <v>1.0696864111498259</v>
      </c>
      <c r="BH32" s="6">
        <v>1.0981308411214954</v>
      </c>
      <c r="BI32" s="6">
        <v>1.3232071713147411</v>
      </c>
      <c r="BJ32" s="6">
        <v>1.0255052935514919</v>
      </c>
      <c r="BK32" s="6">
        <v>1.1334908446544596</v>
      </c>
      <c r="BL32" s="6">
        <v>1.0893039049235993</v>
      </c>
      <c r="BM32" s="6">
        <v>1.1262349066959385</v>
      </c>
      <c r="BN32" s="6">
        <v>0.96913580246913578</v>
      </c>
      <c r="BO32" s="6">
        <v>1.1973684210526316</v>
      </c>
      <c r="BP32" s="6">
        <v>1.175</v>
      </c>
      <c r="BQ32" s="6">
        <v>1.1220238095238095</v>
      </c>
      <c r="BR32" s="6">
        <v>0.9838709677419355</v>
      </c>
      <c r="BS32" s="6">
        <v>1.4126582278481012</v>
      </c>
      <c r="BT32" s="6">
        <v>1.0590909090909091</v>
      </c>
      <c r="BU32" s="6">
        <v>0.89786443825441042</v>
      </c>
      <c r="BV32" s="6">
        <v>1.1804042348411934</v>
      </c>
      <c r="BW32" s="6">
        <v>0.90371991247264771</v>
      </c>
      <c r="BX32" s="6">
        <v>1.0577395577395576</v>
      </c>
      <c r="BY32" s="6" t="s">
        <v>277</v>
      </c>
      <c r="BZ32" s="6">
        <v>1.2213628762541806</v>
      </c>
      <c r="CA32" s="6">
        <v>1.1154590410664373</v>
      </c>
      <c r="CB32" s="6">
        <v>1.131642557636783</v>
      </c>
    </row>
    <row r="33" spans="1:80">
      <c r="A33" s="6" t="s">
        <v>192</v>
      </c>
      <c r="B33" s="6" t="s">
        <v>0</v>
      </c>
      <c r="C33" s="6">
        <v>0.94631995537730085</v>
      </c>
      <c r="D33" s="6">
        <v>0.91674506114769516</v>
      </c>
      <c r="E33" s="6">
        <v>0.89326934758838539</v>
      </c>
      <c r="F33" s="6">
        <v>1.022508038585209</v>
      </c>
      <c r="G33" s="6">
        <v>0.80379332897318512</v>
      </c>
      <c r="H33" s="6">
        <v>1.0931930062807673</v>
      </c>
      <c r="I33" s="6">
        <v>1.003647859922179</v>
      </c>
      <c r="J33" s="6">
        <v>1.0559701492537314</v>
      </c>
      <c r="K33" s="6">
        <v>1.0517647058823529</v>
      </c>
      <c r="L33" s="6">
        <v>0.95342066957787486</v>
      </c>
      <c r="M33" s="6">
        <v>0.87033926771918035</v>
      </c>
      <c r="N33" s="6">
        <v>0.91652707984366277</v>
      </c>
      <c r="O33" s="6">
        <v>0.92137382912290666</v>
      </c>
      <c r="P33" s="6">
        <v>0.6271186440677966</v>
      </c>
      <c r="Q33" s="6">
        <v>1.1140123886669355</v>
      </c>
      <c r="R33" s="6">
        <v>0.71502590673575128</v>
      </c>
      <c r="S33" s="6">
        <v>1.1255946717411989</v>
      </c>
      <c r="T33" s="6">
        <v>0.5</v>
      </c>
      <c r="U33" s="6">
        <v>0.75011235955056177</v>
      </c>
      <c r="V33" s="6">
        <v>0.93989071038251371</v>
      </c>
      <c r="W33" s="6">
        <v>0.56544178364987618</v>
      </c>
      <c r="X33" s="6">
        <v>0.67734420500873616</v>
      </c>
      <c r="Y33" s="6">
        <v>1.1506017841882901</v>
      </c>
      <c r="Z33" s="6">
        <v>0.94349315068493156</v>
      </c>
      <c r="AA33" s="6">
        <v>0.70332098061573545</v>
      </c>
      <c r="AB33" s="6">
        <v>0.67823462254265654</v>
      </c>
      <c r="AC33" s="6">
        <v>0.63440772251308897</v>
      </c>
      <c r="AD33" s="6">
        <v>0.75211475540659167</v>
      </c>
      <c r="AE33" s="6">
        <v>1.1761978361669243</v>
      </c>
      <c r="AF33" s="6">
        <v>1.2367688022284122</v>
      </c>
      <c r="AG33" s="6">
        <v>1.1604938271604939</v>
      </c>
      <c r="AH33" s="6">
        <v>0.7021276595744681</v>
      </c>
      <c r="AI33" s="6">
        <v>0.92657255032996411</v>
      </c>
      <c r="AJ33" s="6">
        <v>1.070754716981132</v>
      </c>
      <c r="AK33" s="6">
        <v>0.85013262599469497</v>
      </c>
      <c r="AL33" s="6">
        <v>0.88690476190476186</v>
      </c>
      <c r="AM33" s="6">
        <v>0.88766202592414789</v>
      </c>
      <c r="AN33" s="6">
        <v>1.0378590078328982</v>
      </c>
      <c r="AO33" s="6">
        <v>1.2595419847328244</v>
      </c>
      <c r="AP33" s="6">
        <v>0.70731707317073167</v>
      </c>
      <c r="AQ33" s="6">
        <v>0.78337531486146095</v>
      </c>
      <c r="AR33" s="6">
        <v>1.0816326530612246</v>
      </c>
      <c r="AS33" s="6">
        <v>0.837251665053794</v>
      </c>
      <c r="AT33" s="6">
        <v>0.79432624113475181</v>
      </c>
      <c r="AU33" s="6">
        <v>0.8</v>
      </c>
      <c r="AV33" s="6">
        <v>0.95370370370370372</v>
      </c>
      <c r="AW33" s="6">
        <v>0.8537477148080439</v>
      </c>
      <c r="AX33" s="6">
        <v>0.90491803278688521</v>
      </c>
      <c r="AY33" s="6">
        <v>0.73233830845771142</v>
      </c>
      <c r="AZ33" s="6">
        <v>0.7559572719802794</v>
      </c>
      <c r="BA33" s="6">
        <v>0.85132094341195097</v>
      </c>
      <c r="BB33" s="6">
        <v>0.84110787172011658</v>
      </c>
      <c r="BC33" s="6">
        <v>0.86381826741996237</v>
      </c>
      <c r="BD33" s="6">
        <v>1.0037593984962405</v>
      </c>
      <c r="BE33" s="6">
        <v>0.90209077001529836</v>
      </c>
      <c r="BF33" s="6">
        <v>0.71875</v>
      </c>
      <c r="BG33" s="6">
        <v>0.88110749185667747</v>
      </c>
      <c r="BH33" s="6">
        <v>0.92198581560283688</v>
      </c>
      <c r="BI33" s="6">
        <v>0.84719608581106509</v>
      </c>
      <c r="BJ33" s="6">
        <v>0.94134209291412485</v>
      </c>
      <c r="BK33" s="6">
        <v>0.83272537780093803</v>
      </c>
      <c r="BL33" s="6">
        <v>0.74407730673316708</v>
      </c>
      <c r="BM33" s="6">
        <v>0.89863547758284601</v>
      </c>
      <c r="BN33" s="6">
        <v>1.0254777070063694</v>
      </c>
      <c r="BO33" s="6">
        <v>0.74725274725274726</v>
      </c>
      <c r="BP33" s="6">
        <v>1.1914893617021276</v>
      </c>
      <c r="BQ33" s="6">
        <v>1.0265251989389921</v>
      </c>
      <c r="BR33" s="6">
        <v>1.0573770491803278</v>
      </c>
      <c r="BS33" s="6">
        <v>0.90271377368151562</v>
      </c>
      <c r="BT33" s="6">
        <v>0.92703862660944203</v>
      </c>
      <c r="BU33" s="6">
        <v>0.85970355049982761</v>
      </c>
      <c r="BV33" s="6">
        <v>1.122207364404292</v>
      </c>
      <c r="BW33" s="6">
        <v>0.85794995964487486</v>
      </c>
      <c r="BX33" s="6">
        <v>1.5133565621370499</v>
      </c>
      <c r="BY33" s="6" t="s">
        <v>277</v>
      </c>
      <c r="BZ33" s="6">
        <v>1.0907068286838952</v>
      </c>
      <c r="CA33" s="6">
        <v>1.26272166538165</v>
      </c>
      <c r="CB33" s="6">
        <v>0.93011710826937721</v>
      </c>
    </row>
    <row r="34" spans="1:80">
      <c r="A34" s="6" t="s">
        <v>193</v>
      </c>
      <c r="B34" s="6" t="s">
        <v>0</v>
      </c>
      <c r="C34" s="6">
        <v>1.2220725272257775</v>
      </c>
      <c r="D34" s="6">
        <v>0.84453565931246788</v>
      </c>
      <c r="E34" s="6">
        <v>1.0065283917035022</v>
      </c>
      <c r="F34" s="6">
        <v>1.1584119496855345</v>
      </c>
      <c r="G34" s="6">
        <v>0.98209926769731493</v>
      </c>
      <c r="H34" s="6">
        <v>2.1902173913043477</v>
      </c>
      <c r="I34" s="6">
        <v>1.0932881027380663</v>
      </c>
      <c r="J34" s="6">
        <v>1.1236749116607774</v>
      </c>
      <c r="K34" s="6">
        <v>1.0648769574944073</v>
      </c>
      <c r="L34" s="6">
        <v>1.0870229007633587</v>
      </c>
      <c r="M34" s="6">
        <v>0.81242763411810115</v>
      </c>
      <c r="N34" s="6">
        <v>0.76850441669204994</v>
      </c>
      <c r="O34" s="6">
        <v>0.77110289587184222</v>
      </c>
      <c r="P34" s="6">
        <v>0.56756756756756754</v>
      </c>
      <c r="Q34" s="6">
        <v>1.3040837544746262</v>
      </c>
      <c r="R34" s="6">
        <v>1.2173913043478262</v>
      </c>
      <c r="S34" s="6">
        <v>2.676246830092984</v>
      </c>
      <c r="T34" s="6">
        <v>1.1000000000000001</v>
      </c>
      <c r="U34" s="6">
        <v>0.80167765128819657</v>
      </c>
      <c r="V34" s="6">
        <v>1.5465116279069768</v>
      </c>
      <c r="W34" s="6">
        <v>1.8550565899963489</v>
      </c>
      <c r="X34" s="6">
        <v>1.6749785038693035</v>
      </c>
      <c r="Y34" s="6">
        <v>1.2859135963572756</v>
      </c>
      <c r="Z34" s="6">
        <v>1.1125226860254083</v>
      </c>
      <c r="AA34" s="6">
        <v>1.4230305896128168</v>
      </c>
      <c r="AB34" s="6">
        <v>1.4643392441257177</v>
      </c>
      <c r="AC34" s="6">
        <v>1.5106382978723405</v>
      </c>
      <c r="AD34" s="6">
        <v>1.3575691662908831</v>
      </c>
      <c r="AE34" s="6">
        <v>1.4257555847568988</v>
      </c>
      <c r="AF34" s="6">
        <v>1.5067567567567568</v>
      </c>
      <c r="AG34" s="6">
        <v>1.2765957446808511</v>
      </c>
      <c r="AH34" s="6">
        <v>1.6363636363636365</v>
      </c>
      <c r="AI34" s="6">
        <v>0.9062387306166606</v>
      </c>
      <c r="AJ34" s="6">
        <v>1.052863436123348</v>
      </c>
      <c r="AK34" s="6">
        <v>1.2605304212168487</v>
      </c>
      <c r="AL34" s="6">
        <v>1.1588366890380313</v>
      </c>
      <c r="AM34" s="6">
        <v>0.65440778799350996</v>
      </c>
      <c r="AN34" s="6">
        <v>1.0459119496855347</v>
      </c>
      <c r="AO34" s="6">
        <v>1.4848484848484849</v>
      </c>
      <c r="AP34" s="6">
        <v>1.5862068965517242</v>
      </c>
      <c r="AQ34" s="6">
        <v>1.1093247588424437</v>
      </c>
      <c r="AR34" s="6">
        <v>1.1124528301886794</v>
      </c>
      <c r="AS34" s="6">
        <v>1.1356404677726408</v>
      </c>
      <c r="AT34" s="6">
        <v>1.4285714285714286</v>
      </c>
      <c r="AU34" s="6">
        <v>0.9884615384615385</v>
      </c>
      <c r="AV34" s="6">
        <v>0.93203883495145634</v>
      </c>
      <c r="AW34" s="6">
        <v>1.0149892933618843</v>
      </c>
      <c r="AX34" s="6">
        <v>1.2065217391304348</v>
      </c>
      <c r="AY34" s="6">
        <v>0.77445652173913049</v>
      </c>
      <c r="AZ34" s="6">
        <v>0.8619565217391304</v>
      </c>
      <c r="BA34" s="6">
        <v>1.2068526676456193</v>
      </c>
      <c r="BB34" s="6">
        <v>1.0571923743500866</v>
      </c>
      <c r="BC34" s="6">
        <v>1.003406458645592</v>
      </c>
      <c r="BD34" s="6">
        <v>0.81647940074906367</v>
      </c>
      <c r="BE34" s="6">
        <v>0.94855850763143024</v>
      </c>
      <c r="BF34" s="6">
        <v>1.2681159420289856</v>
      </c>
      <c r="BG34" s="6">
        <v>1.0304990757855823</v>
      </c>
      <c r="BH34" s="6">
        <v>1.0584615384615386</v>
      </c>
      <c r="BI34" s="6">
        <v>1.0355397601066192</v>
      </c>
      <c r="BJ34" s="6">
        <v>1.1101694915254237</v>
      </c>
      <c r="BK34" s="6">
        <v>1.1595744680851063</v>
      </c>
      <c r="BL34" s="6">
        <v>0.83284457478005869</v>
      </c>
      <c r="BM34" s="6">
        <v>1.0894793926247288</v>
      </c>
      <c r="BN34" s="6">
        <v>1.2608695652173914</v>
      </c>
      <c r="BO34" s="6">
        <v>1.0661764705882353</v>
      </c>
      <c r="BP34" s="6">
        <v>1.0357142857142858</v>
      </c>
      <c r="BQ34" s="6">
        <v>1.2403100775193798</v>
      </c>
      <c r="BR34" s="6">
        <v>0.92248062015503873</v>
      </c>
      <c r="BS34" s="6">
        <v>1.0989790130459445</v>
      </c>
      <c r="BT34" s="6">
        <v>1.0486111111111112</v>
      </c>
      <c r="BU34" s="6">
        <v>1.0609462710505213</v>
      </c>
      <c r="BV34" s="6">
        <v>1.0733840967216925</v>
      </c>
      <c r="BW34" s="6">
        <v>1.6829727187206021</v>
      </c>
      <c r="BX34" s="6">
        <v>1.9769762087490406</v>
      </c>
      <c r="BY34" s="6">
        <v>1</v>
      </c>
      <c r="BZ34" s="6">
        <v>0.91326690726502435</v>
      </c>
      <c r="CA34" s="6">
        <v>1.417035567088994</v>
      </c>
      <c r="CB34" s="6">
        <v>1.2631172669327981</v>
      </c>
    </row>
    <row r="35" spans="1:80">
      <c r="A35" s="6" t="s">
        <v>194</v>
      </c>
      <c r="B35" s="6" t="s">
        <v>0</v>
      </c>
      <c r="C35" s="6">
        <v>1.2200734956361965</v>
      </c>
      <c r="D35" s="6">
        <v>0.92223572296476308</v>
      </c>
      <c r="E35" s="6">
        <v>1.1215458414971962</v>
      </c>
      <c r="F35" s="6">
        <v>1.1486257210722768</v>
      </c>
      <c r="G35" s="6">
        <v>0.9983429991714996</v>
      </c>
      <c r="H35" s="6">
        <v>1.4655795817086139</v>
      </c>
      <c r="I35" s="6">
        <v>1.1141400709219857</v>
      </c>
      <c r="J35" s="6">
        <v>1.0094339622641511</v>
      </c>
      <c r="K35" s="6">
        <v>1.0861344537815125</v>
      </c>
      <c r="L35" s="6">
        <v>1.2071629213483146</v>
      </c>
      <c r="M35" s="6">
        <v>1.0261282660332542</v>
      </c>
      <c r="N35" s="6">
        <v>1.0194213238208483</v>
      </c>
      <c r="O35" s="6">
        <v>1.0199760287654813</v>
      </c>
      <c r="P35" s="6">
        <v>0.90476190476190477</v>
      </c>
      <c r="Q35" s="6">
        <v>0.95013094222899497</v>
      </c>
      <c r="R35" s="6">
        <v>0.90079365079365081</v>
      </c>
      <c r="S35" s="6">
        <v>2.4516740366392926</v>
      </c>
      <c r="T35" s="6">
        <v>0.81818181818181823</v>
      </c>
      <c r="U35" s="6">
        <v>1.1382660687593422</v>
      </c>
      <c r="V35" s="6">
        <v>1.1541353383458646</v>
      </c>
      <c r="W35" s="6">
        <v>1.5174178311356032</v>
      </c>
      <c r="X35" s="6">
        <v>6.3572895277207389</v>
      </c>
      <c r="Y35" s="6">
        <v>0.84989663120280257</v>
      </c>
      <c r="Z35" s="6">
        <v>1.128874388254486</v>
      </c>
      <c r="AA35" s="6">
        <v>1.988480556984058</v>
      </c>
      <c r="AB35" s="6">
        <v>2.2415123456790123</v>
      </c>
      <c r="AC35" s="6">
        <v>1.4802390098164746</v>
      </c>
      <c r="AD35" s="6">
        <v>1.7907344809394479</v>
      </c>
      <c r="AE35" s="6">
        <v>1.5502304147465438</v>
      </c>
      <c r="AF35" s="6">
        <v>1.6143497757847534</v>
      </c>
      <c r="AG35" s="6">
        <v>1.4944444444444445</v>
      </c>
      <c r="AH35" s="6">
        <v>1.1851851851851851</v>
      </c>
      <c r="AI35" s="6">
        <v>1.2509948269001194</v>
      </c>
      <c r="AJ35" s="6">
        <v>1.0251046025104602</v>
      </c>
      <c r="AK35" s="6">
        <v>2.0730198019801982</v>
      </c>
      <c r="AL35" s="6">
        <v>1.0308880308880308</v>
      </c>
      <c r="AM35" s="6">
        <v>1.1922865013774104</v>
      </c>
      <c r="AN35" s="6">
        <v>1.0631389055923031</v>
      </c>
      <c r="AO35" s="6">
        <v>1.4918367346938775</v>
      </c>
      <c r="AP35" s="6">
        <v>0.82336956521739135</v>
      </c>
      <c r="AQ35" s="6">
        <v>1.3072463768115943</v>
      </c>
      <c r="AR35" s="6">
        <v>1.3616010854816825</v>
      </c>
      <c r="AS35" s="6">
        <v>1.163323953780758</v>
      </c>
      <c r="AT35" s="6">
        <v>0.92500000000000004</v>
      </c>
      <c r="AU35" s="6">
        <v>1.4124513618677044</v>
      </c>
      <c r="AV35" s="6">
        <v>1</v>
      </c>
      <c r="AW35" s="6">
        <v>1.0696202531645569</v>
      </c>
      <c r="AX35" s="6">
        <v>1.0690690690690692</v>
      </c>
      <c r="AY35" s="6">
        <v>1.0596491228070175</v>
      </c>
      <c r="AZ35" s="6">
        <v>1.6897856242118536</v>
      </c>
      <c r="BA35" s="6">
        <v>1.1419532770927969</v>
      </c>
      <c r="BB35" s="6">
        <v>1.1721311475409837</v>
      </c>
      <c r="BC35" s="6">
        <v>1.121401412275937</v>
      </c>
      <c r="BD35" s="6">
        <v>1.1777522935779816</v>
      </c>
      <c r="BE35" s="6">
        <v>1.1388557806912991</v>
      </c>
      <c r="BF35" s="6">
        <v>1.4857142857142858</v>
      </c>
      <c r="BG35" s="6">
        <v>1.1161434977578475</v>
      </c>
      <c r="BH35" s="6">
        <v>1.1228197674418605</v>
      </c>
      <c r="BI35" s="6">
        <v>1.0025740025740026</v>
      </c>
      <c r="BJ35" s="6">
        <v>1.2088010776829816</v>
      </c>
      <c r="BK35" s="6">
        <v>1.0863464651915813</v>
      </c>
      <c r="BL35" s="6">
        <v>1.1292756539235413</v>
      </c>
      <c r="BM35" s="6">
        <v>1.1295420607267297</v>
      </c>
      <c r="BN35" s="6">
        <v>0.86206896551724133</v>
      </c>
      <c r="BO35" s="6">
        <v>1.1448275862068966</v>
      </c>
      <c r="BP35" s="6">
        <v>1.7327586206896552</v>
      </c>
      <c r="BQ35" s="6">
        <v>1.3520833333333333</v>
      </c>
      <c r="BR35" s="6">
        <v>1.1848739495798319</v>
      </c>
      <c r="BS35" s="6">
        <v>1.1378064516129032</v>
      </c>
      <c r="BT35" s="6">
        <v>1.1169977924944812</v>
      </c>
      <c r="BU35" s="6">
        <v>1.0710506424792139</v>
      </c>
      <c r="BV35" s="6">
        <v>1.0628706035253026</v>
      </c>
      <c r="BW35" s="6">
        <v>0.42705422023476802</v>
      </c>
      <c r="BX35" s="6">
        <v>1.1824534161490683</v>
      </c>
      <c r="BY35" s="6">
        <v>4.5</v>
      </c>
      <c r="BZ35" s="6">
        <v>1.0100081611614622</v>
      </c>
      <c r="CA35" s="6">
        <v>1.2841753743401918</v>
      </c>
      <c r="CB35" s="6">
        <v>1.2961730195037628</v>
      </c>
    </row>
    <row r="36" spans="1:80">
      <c r="A36" s="6" t="s">
        <v>195</v>
      </c>
      <c r="B36" s="6" t="s">
        <v>0</v>
      </c>
      <c r="C36" s="6">
        <v>1.0306276119122022</v>
      </c>
      <c r="D36" s="6">
        <v>0.81422924901185767</v>
      </c>
      <c r="E36" s="6">
        <v>1.0721686746987953</v>
      </c>
      <c r="F36" s="6">
        <v>0.88626292466765144</v>
      </c>
      <c r="G36" s="6">
        <v>1.1170124481327801</v>
      </c>
      <c r="H36" s="6">
        <v>0.99787151702786381</v>
      </c>
      <c r="I36" s="6">
        <v>1.1718718917843645</v>
      </c>
      <c r="J36" s="6">
        <v>0.92523364485981308</v>
      </c>
      <c r="K36" s="6">
        <v>0.98452611218568664</v>
      </c>
      <c r="L36" s="6">
        <v>1.0104712041884816</v>
      </c>
      <c r="M36" s="6">
        <v>1.0712962962962962</v>
      </c>
      <c r="N36" s="6">
        <v>0.99066874027993779</v>
      </c>
      <c r="O36" s="6">
        <v>0.98864081472777121</v>
      </c>
      <c r="P36" s="6">
        <v>1.263157894736842</v>
      </c>
      <c r="Q36" s="6">
        <v>1.0778826953307559</v>
      </c>
      <c r="R36" s="6">
        <v>0.99339207048458145</v>
      </c>
      <c r="S36" s="6">
        <v>0.70961092501932488</v>
      </c>
      <c r="T36" s="6">
        <v>1.5555555555555556</v>
      </c>
      <c r="U36" s="6">
        <v>0.94221930400525278</v>
      </c>
      <c r="V36" s="6">
        <v>0.66123778501628661</v>
      </c>
      <c r="W36" s="6">
        <v>0.96070038910505839</v>
      </c>
      <c r="X36" s="6">
        <v>1.5386789405684755</v>
      </c>
      <c r="Y36" s="6">
        <v>1.0685419590856837</v>
      </c>
      <c r="Z36" s="6">
        <v>0.93930635838150289</v>
      </c>
      <c r="AA36" s="6">
        <v>0.77804435532001237</v>
      </c>
      <c r="AB36" s="6">
        <v>0.72591942112473218</v>
      </c>
      <c r="AC36" s="6">
        <v>0.90882878726717031</v>
      </c>
      <c r="AD36" s="6">
        <v>0.83423533519553073</v>
      </c>
      <c r="AE36" s="6">
        <v>0.9565992865636147</v>
      </c>
      <c r="AF36" s="6">
        <v>0.97499999999999998</v>
      </c>
      <c r="AG36" s="6">
        <v>0.7806691449814126</v>
      </c>
      <c r="AH36" s="6">
        <v>2.125</v>
      </c>
      <c r="AI36" s="6">
        <v>0.91324055666003978</v>
      </c>
      <c r="AJ36" s="6">
        <v>0.90204081632653066</v>
      </c>
      <c r="AK36" s="6">
        <v>0.75462686567164183</v>
      </c>
      <c r="AL36" s="6">
        <v>0.86142322097378277</v>
      </c>
      <c r="AM36" s="6">
        <v>1.0984288354898337</v>
      </c>
      <c r="AN36" s="6">
        <v>0.9536199095022625</v>
      </c>
      <c r="AO36" s="6">
        <v>0.46238030095759236</v>
      </c>
      <c r="AP36" s="6">
        <v>0.91419141914191415</v>
      </c>
      <c r="AQ36" s="6">
        <v>0.85365853658536583</v>
      </c>
      <c r="AR36" s="6">
        <v>0.81863477827603393</v>
      </c>
      <c r="AS36" s="6">
        <v>0.99619165251402397</v>
      </c>
      <c r="AT36" s="6">
        <v>0.73648648648648651</v>
      </c>
      <c r="AU36" s="6">
        <v>1.0936639118457301</v>
      </c>
      <c r="AV36" s="6">
        <v>1.0208333333333333</v>
      </c>
      <c r="AW36" s="6">
        <v>0.87573964497041423</v>
      </c>
      <c r="AX36" s="6">
        <v>1.0224719101123596</v>
      </c>
      <c r="AY36" s="6">
        <v>1.4139072847682119</v>
      </c>
      <c r="AZ36" s="6">
        <v>0.93731343283582091</v>
      </c>
      <c r="BA36" s="6">
        <v>0.9909077994033243</v>
      </c>
      <c r="BB36" s="6">
        <v>1.0083916083916085</v>
      </c>
      <c r="BC36" s="6">
        <v>1.1264228626786146</v>
      </c>
      <c r="BD36" s="6">
        <v>1.2687439143135346</v>
      </c>
      <c r="BE36" s="6">
        <v>1.1057038199895344</v>
      </c>
      <c r="BF36" s="6">
        <v>1.0461538461538462</v>
      </c>
      <c r="BG36" s="6">
        <v>1.2229811169144236</v>
      </c>
      <c r="BH36" s="6">
        <v>0.96375404530744335</v>
      </c>
      <c r="BI36" s="6">
        <v>1.1454856653829697</v>
      </c>
      <c r="BJ36" s="6">
        <v>1.0973254086181279</v>
      </c>
      <c r="BK36" s="6">
        <v>1.0829607550919027</v>
      </c>
      <c r="BL36" s="6">
        <v>1.1465478841870824</v>
      </c>
      <c r="BM36" s="6">
        <v>1.1586427233667511</v>
      </c>
      <c r="BN36" s="6">
        <v>0.97142857142857142</v>
      </c>
      <c r="BO36" s="6">
        <v>1.1325301204819278</v>
      </c>
      <c r="BP36" s="6">
        <v>0.93532338308457708</v>
      </c>
      <c r="BQ36" s="6">
        <v>1.0878274268104777</v>
      </c>
      <c r="BR36" s="6">
        <v>1.2836879432624113</v>
      </c>
      <c r="BS36" s="6">
        <v>1.1047856656838286</v>
      </c>
      <c r="BT36" s="6">
        <v>1.1383399209486167</v>
      </c>
      <c r="BU36" s="6">
        <v>1.2829922371206774</v>
      </c>
      <c r="BV36" s="6">
        <v>1.0507451280091709</v>
      </c>
      <c r="BW36" s="6">
        <v>0.80104712041884818</v>
      </c>
      <c r="BX36" s="6">
        <v>0.6602101116217991</v>
      </c>
      <c r="BY36" s="6">
        <v>1.2222222222222223</v>
      </c>
      <c r="BZ36" s="6">
        <v>1.2057497660967933</v>
      </c>
      <c r="CA36" s="6">
        <v>0.86041439476553983</v>
      </c>
      <c r="CB36" s="6">
        <v>0.94065654652151587</v>
      </c>
    </row>
    <row r="37" spans="1:80">
      <c r="A37" s="6" t="s">
        <v>275</v>
      </c>
      <c r="B37" s="6" t="s">
        <v>0</v>
      </c>
      <c r="C37" s="6">
        <v>0.96290343202615569</v>
      </c>
      <c r="D37" s="6">
        <v>0.90129449838187703</v>
      </c>
      <c r="E37" s="6">
        <v>1.201202382290145</v>
      </c>
      <c r="F37" s="6">
        <v>1.1456666666666666</v>
      </c>
      <c r="G37" s="6">
        <v>0.91158989598811291</v>
      </c>
      <c r="H37" s="6">
        <v>0.6667636222610045</v>
      </c>
      <c r="I37" s="6">
        <v>1.2098115769818367</v>
      </c>
      <c r="J37" s="6">
        <v>1.0067340067340067</v>
      </c>
      <c r="K37" s="6">
        <v>1.0785854616895874</v>
      </c>
      <c r="L37" s="6">
        <v>0.90846286701208978</v>
      </c>
      <c r="M37" s="6">
        <v>0.97536732929991354</v>
      </c>
      <c r="N37" s="6">
        <v>1.250784929356358</v>
      </c>
      <c r="O37" s="6">
        <v>1.2547543581616483</v>
      </c>
      <c r="P37" s="6">
        <v>0.83333333333333337</v>
      </c>
      <c r="Q37" s="6">
        <v>0.88468720591640759</v>
      </c>
      <c r="R37" s="6">
        <v>1.1840354767184036</v>
      </c>
      <c r="S37" s="6">
        <v>0.90795206971677556</v>
      </c>
      <c r="T37" s="6">
        <v>1.4285714285714286</v>
      </c>
      <c r="U37" s="6">
        <v>1</v>
      </c>
      <c r="V37" s="6">
        <v>1.1970443349753694</v>
      </c>
      <c r="W37" s="6">
        <v>0.8776832725799919</v>
      </c>
      <c r="X37" s="6">
        <v>0.27063762791918133</v>
      </c>
      <c r="Y37" s="6">
        <v>0.9511896483063188</v>
      </c>
      <c r="Z37" s="6">
        <v>0.98</v>
      </c>
      <c r="AA37" s="6">
        <v>0.87666518366240687</v>
      </c>
      <c r="AB37" s="6">
        <v>0.83209298274477161</v>
      </c>
      <c r="AC37" s="6">
        <v>0.99828680203045683</v>
      </c>
      <c r="AD37" s="6">
        <v>0.91187087998325833</v>
      </c>
      <c r="AE37" s="6">
        <v>0.87010565568676201</v>
      </c>
      <c r="AF37" s="6">
        <v>0.82241215574548909</v>
      </c>
      <c r="AG37" s="6">
        <v>0.99285714285714288</v>
      </c>
      <c r="AH37" s="6">
        <v>0.86764705882352944</v>
      </c>
      <c r="AI37" s="6">
        <v>1.0700975269940787</v>
      </c>
      <c r="AJ37" s="6">
        <v>0.97285067873303166</v>
      </c>
      <c r="AK37" s="6">
        <v>0.75</v>
      </c>
      <c r="AL37" s="6">
        <v>1.2641304347826088</v>
      </c>
      <c r="AM37" s="6">
        <v>1.1333613798906184</v>
      </c>
      <c r="AN37" s="6">
        <v>1.0136417556346382</v>
      </c>
      <c r="AO37" s="6">
        <v>1.2928994082840237</v>
      </c>
      <c r="AP37" s="6">
        <v>1.0649819494584838</v>
      </c>
      <c r="AQ37" s="6">
        <v>1.07012987012987</v>
      </c>
      <c r="AR37" s="6">
        <v>1.0493000608642726</v>
      </c>
      <c r="AS37" s="6">
        <v>1.0620963992354187</v>
      </c>
      <c r="AT37" s="6">
        <v>1.0275229357798166</v>
      </c>
      <c r="AU37" s="6">
        <v>0.83879093198992438</v>
      </c>
      <c r="AV37" s="6">
        <v>1</v>
      </c>
      <c r="AW37" s="6">
        <v>1.0067567567567568</v>
      </c>
      <c r="AX37" s="6">
        <v>1.0769230769230769</v>
      </c>
      <c r="AY37" s="6">
        <v>0.69203747072599531</v>
      </c>
      <c r="AZ37" s="6">
        <v>1.0573248407643312</v>
      </c>
      <c r="BA37" s="6">
        <v>1.0992831541218637</v>
      </c>
      <c r="BB37" s="6">
        <v>1.0249653259361997</v>
      </c>
      <c r="BC37" s="6">
        <v>1.1045474091593206</v>
      </c>
      <c r="BD37" s="6">
        <v>1.0590943975441289</v>
      </c>
      <c r="BE37" s="6">
        <v>1.1145291055371509</v>
      </c>
      <c r="BF37" s="6">
        <v>1.0551470588235294</v>
      </c>
      <c r="BG37" s="6">
        <v>1.0275952693823915</v>
      </c>
      <c r="BH37" s="6">
        <v>1.0624580255204836</v>
      </c>
      <c r="BI37" s="6">
        <v>1.093761673515129</v>
      </c>
      <c r="BJ37" s="6">
        <v>1.0944482058226135</v>
      </c>
      <c r="BK37" s="6">
        <v>1.0463302752293577</v>
      </c>
      <c r="BL37" s="6">
        <v>1.3135198135198136</v>
      </c>
      <c r="BM37" s="6">
        <v>1.0459256441951126</v>
      </c>
      <c r="BN37" s="6">
        <v>1.1352941176470588</v>
      </c>
      <c r="BO37" s="6">
        <v>0.9042553191489362</v>
      </c>
      <c r="BP37" s="6">
        <v>0.94680851063829785</v>
      </c>
      <c r="BQ37" s="6">
        <v>1.0963172804532577</v>
      </c>
      <c r="BR37" s="6">
        <v>1.0552486187845305</v>
      </c>
      <c r="BS37" s="6">
        <v>0.83904742352699646</v>
      </c>
      <c r="BT37" s="6">
        <v>1.0607638888888888</v>
      </c>
      <c r="BU37" s="6">
        <v>1.3187568756875687</v>
      </c>
      <c r="BV37" s="6">
        <v>1.0949887264528329</v>
      </c>
      <c r="BW37" s="6">
        <v>0.92483660130718959</v>
      </c>
      <c r="BX37" s="6">
        <v>0.6663351566384883</v>
      </c>
      <c r="BY37" s="6">
        <v>2.0909090909090908</v>
      </c>
      <c r="BZ37" s="6">
        <v>1.2592762415349887</v>
      </c>
      <c r="CA37" s="6">
        <v>0.73452276494101587</v>
      </c>
      <c r="CB37" s="6">
        <v>0.92702412897428144</v>
      </c>
    </row>
    <row r="38" spans="1:80">
      <c r="A38" s="6" t="s">
        <v>161</v>
      </c>
      <c r="B38" s="6" t="s">
        <v>196</v>
      </c>
      <c r="C38" s="6">
        <v>1.1427725118483412</v>
      </c>
      <c r="D38" s="6">
        <v>0.98051948051948057</v>
      </c>
      <c r="E38" s="6">
        <v>1.2</v>
      </c>
      <c r="F38" s="6">
        <v>1.0666666666666667</v>
      </c>
      <c r="G38" s="6">
        <v>1.0862068965517242</v>
      </c>
      <c r="H38" s="6">
        <v>1.2463768115942029</v>
      </c>
      <c r="I38" s="6">
        <v>1.3397435897435896</v>
      </c>
      <c r="J38" s="6">
        <v>1.3243243243243243</v>
      </c>
      <c r="K38" s="6">
        <v>0.99442896935933145</v>
      </c>
      <c r="L38" s="6">
        <v>1.1166666666666667</v>
      </c>
      <c r="M38" s="6">
        <v>1.3163841807909604</v>
      </c>
      <c r="N38" s="6">
        <v>1.0653950953678475</v>
      </c>
      <c r="O38" s="6">
        <v>1.1287878787878789</v>
      </c>
      <c r="P38" s="6">
        <v>0.85436893203883491</v>
      </c>
      <c r="Q38" s="6">
        <v>1.0587458745874587</v>
      </c>
      <c r="R38" s="6">
        <v>0.76923076923076927</v>
      </c>
      <c r="S38" s="6">
        <v>0.76744186046511631</v>
      </c>
      <c r="T38" s="6">
        <v>0.92792792792792789</v>
      </c>
      <c r="U38" s="6">
        <v>1.1821946169772257</v>
      </c>
      <c r="V38" s="6">
        <v>1.0301724137931034</v>
      </c>
      <c r="W38" s="6">
        <v>0.85945945945945945</v>
      </c>
      <c r="X38" s="6">
        <v>0.96240601503759393</v>
      </c>
      <c r="Y38" s="6">
        <v>1.4567901234567902</v>
      </c>
      <c r="Z38" s="6">
        <v>1.1442307692307692</v>
      </c>
      <c r="AA38" s="6">
        <v>1.5525543159130946</v>
      </c>
      <c r="AB38" s="6">
        <v>7.666666666666667</v>
      </c>
      <c r="AC38" s="6">
        <v>1.5428233904311872</v>
      </c>
      <c r="AD38" s="6">
        <v>2.6666666666666665</v>
      </c>
      <c r="AE38" s="6">
        <v>1.0900900900900901</v>
      </c>
      <c r="AF38" s="6" t="s">
        <v>277</v>
      </c>
      <c r="AG38" s="6">
        <v>1.1382978723404256</v>
      </c>
      <c r="AH38" s="6">
        <v>1.0909090909090908</v>
      </c>
      <c r="AI38" s="6">
        <v>1.1188012074169902</v>
      </c>
      <c r="AJ38" s="6">
        <v>0.95819112627986347</v>
      </c>
      <c r="AK38" s="6">
        <v>1.2794612794612794</v>
      </c>
      <c r="AL38" s="6">
        <v>1.165</v>
      </c>
      <c r="AM38" s="6">
        <v>1.0756914119359535</v>
      </c>
      <c r="AN38" s="6">
        <v>1.211111111111111</v>
      </c>
      <c r="AO38" s="6">
        <v>1.327485380116959</v>
      </c>
      <c r="AP38" s="6">
        <v>1.170854271356784</v>
      </c>
      <c r="AQ38" s="6">
        <v>1.1472684085510689</v>
      </c>
      <c r="AR38" s="6">
        <v>1.1221804511278195</v>
      </c>
      <c r="AS38" s="6">
        <v>1.1803549319026001</v>
      </c>
      <c r="AT38" s="6">
        <v>0.97333333333333338</v>
      </c>
      <c r="AU38" s="6">
        <v>1.181964573268921</v>
      </c>
      <c r="AV38" s="6">
        <v>1.1355140186915889</v>
      </c>
      <c r="AW38" s="6">
        <v>1.1072607260726073</v>
      </c>
      <c r="AX38" s="6">
        <v>1.0701203558346415</v>
      </c>
      <c r="AY38" s="6">
        <v>1.2180790960451977</v>
      </c>
      <c r="AZ38" s="6">
        <v>1.3654708520179373</v>
      </c>
      <c r="BA38" s="6">
        <v>1.393939393939394</v>
      </c>
      <c r="BB38" s="6">
        <v>1.2479338842975207</v>
      </c>
      <c r="BC38" s="6">
        <v>1.3113223371540397</v>
      </c>
      <c r="BD38" s="6">
        <v>1.1041852181656278</v>
      </c>
      <c r="BE38" s="6">
        <v>1.2914124824026278</v>
      </c>
      <c r="BF38" s="6">
        <v>1.0960451977401129</v>
      </c>
      <c r="BG38" s="6">
        <v>1.2429062768701633</v>
      </c>
      <c r="BH38" s="6">
        <v>1.2180062090375992</v>
      </c>
      <c r="BI38" s="6">
        <v>1.2184057031756319</v>
      </c>
      <c r="BJ38" s="6">
        <v>1.1843651152281971</v>
      </c>
      <c r="BK38" s="6">
        <v>1.4010903426791277</v>
      </c>
      <c r="BL38" s="6">
        <v>1.912560721721027</v>
      </c>
      <c r="BM38" s="6">
        <v>1.1438643612556656</v>
      </c>
      <c r="BN38" s="6">
        <v>1.2068965517241379</v>
      </c>
      <c r="BO38" s="6">
        <v>1.3505976095617529</v>
      </c>
      <c r="BP38" s="6">
        <v>1.2285714285714286</v>
      </c>
      <c r="BQ38" s="6">
        <v>1.2114285714285715</v>
      </c>
      <c r="BR38" s="6">
        <v>1.125</v>
      </c>
      <c r="BS38" s="6">
        <v>1.1460221550855991</v>
      </c>
      <c r="BT38" s="6">
        <v>1.056356487549148</v>
      </c>
      <c r="BU38" s="6">
        <v>1.1234474971772677</v>
      </c>
      <c r="BV38" s="6">
        <v>0.77484472049689446</v>
      </c>
      <c r="BW38" s="6">
        <v>0.69625668449197864</v>
      </c>
      <c r="BX38" s="6">
        <v>1.4705882352941178</v>
      </c>
      <c r="BY38" s="6" t="s">
        <v>277</v>
      </c>
      <c r="BZ38" s="6">
        <v>1.8173076923076923</v>
      </c>
      <c r="CA38" s="6">
        <v>0.55458515283842791</v>
      </c>
      <c r="CB38" s="6">
        <v>1.219487469646604</v>
      </c>
    </row>
    <row r="39" spans="1:80">
      <c r="A39" s="6" t="s">
        <v>162</v>
      </c>
      <c r="B39" s="6" t="s">
        <v>196</v>
      </c>
      <c r="C39" s="6">
        <v>0.99222395023328147</v>
      </c>
      <c r="D39" s="6">
        <v>0.80132450331125826</v>
      </c>
      <c r="E39" s="6">
        <v>0.93333333333333335</v>
      </c>
      <c r="F39" s="6">
        <v>1.1979166666666667</v>
      </c>
      <c r="G39" s="6">
        <v>0.99319727891156462</v>
      </c>
      <c r="H39" s="6">
        <v>1.1744186046511629</v>
      </c>
      <c r="I39" s="6">
        <v>0.92822966507177029</v>
      </c>
      <c r="J39" s="6">
        <v>1.2448979591836735</v>
      </c>
      <c r="K39" s="6">
        <v>0.88515406162464982</v>
      </c>
      <c r="L39" s="6">
        <v>1.0298507462686568</v>
      </c>
      <c r="M39" s="6">
        <v>1.1931330472103003</v>
      </c>
      <c r="N39" s="6">
        <v>1.0306905370843991</v>
      </c>
      <c r="O39" s="6">
        <v>1.0100671140939597</v>
      </c>
      <c r="P39" s="6">
        <v>1.1590909090909092</v>
      </c>
      <c r="Q39" s="6">
        <v>0.87468827930174564</v>
      </c>
      <c r="R39" s="6">
        <v>1.4</v>
      </c>
      <c r="S39" s="6">
        <v>1.606060606060606</v>
      </c>
      <c r="T39" s="6">
        <v>0.80582524271844658</v>
      </c>
      <c r="U39" s="6">
        <v>0.79859894921190888</v>
      </c>
      <c r="V39" s="6">
        <v>0.86610878661087864</v>
      </c>
      <c r="W39" s="6">
        <v>0.8867924528301887</v>
      </c>
      <c r="X39" s="6">
        <v>0.7265625</v>
      </c>
      <c r="Y39" s="6">
        <v>1.2542372881355932</v>
      </c>
      <c r="Z39" s="6">
        <v>0.98319327731092432</v>
      </c>
      <c r="AA39" s="6">
        <v>1.063161875945537</v>
      </c>
      <c r="AB39" s="6">
        <v>0.13043478260869565</v>
      </c>
      <c r="AC39" s="6">
        <v>1.0669984686064318</v>
      </c>
      <c r="AD39" s="6">
        <v>2</v>
      </c>
      <c r="AE39" s="6">
        <v>1.0330578512396693</v>
      </c>
      <c r="AF39" s="6">
        <v>0</v>
      </c>
      <c r="AG39" s="6">
        <v>1.02803738317757</v>
      </c>
      <c r="AH39" s="6">
        <v>1</v>
      </c>
      <c r="AI39" s="6">
        <v>0.98862979379456539</v>
      </c>
      <c r="AJ39" s="6">
        <v>0.87622439893143367</v>
      </c>
      <c r="AK39" s="6">
        <v>0.91447368421052633</v>
      </c>
      <c r="AL39" s="6">
        <v>0.98283261802575106</v>
      </c>
      <c r="AM39" s="6">
        <v>1.2232746955345062</v>
      </c>
      <c r="AN39" s="6">
        <v>1.036697247706422</v>
      </c>
      <c r="AO39" s="6">
        <v>1.1497797356828194</v>
      </c>
      <c r="AP39" s="6">
        <v>0.87696709585121602</v>
      </c>
      <c r="AQ39" s="6">
        <v>0.9503105590062112</v>
      </c>
      <c r="AR39" s="6">
        <v>1.0804020100502512</v>
      </c>
      <c r="AS39" s="6">
        <v>0.8895104895104895</v>
      </c>
      <c r="AT39" s="6">
        <v>0.87671232876712324</v>
      </c>
      <c r="AU39" s="6">
        <v>0.95776566757493187</v>
      </c>
      <c r="AV39" s="6">
        <v>0.90946502057613166</v>
      </c>
      <c r="AW39" s="6">
        <v>0.93517138599105809</v>
      </c>
      <c r="AX39" s="6">
        <v>0.90757946210268947</v>
      </c>
      <c r="AY39" s="6">
        <v>0.92393320964749537</v>
      </c>
      <c r="AZ39" s="6">
        <v>0.68472906403940892</v>
      </c>
      <c r="BA39" s="6">
        <v>0.90096618357487923</v>
      </c>
      <c r="BB39" s="6">
        <v>0.92788815305371597</v>
      </c>
      <c r="BC39" s="6">
        <v>0.9542915618470984</v>
      </c>
      <c r="BD39" s="6">
        <v>1.0975806451612904</v>
      </c>
      <c r="BE39" s="6">
        <v>0.88880813953488369</v>
      </c>
      <c r="BF39" s="6">
        <v>0.91237113402061853</v>
      </c>
      <c r="BG39" s="6">
        <v>0.96471809062608094</v>
      </c>
      <c r="BH39" s="6">
        <v>0.98045879354290566</v>
      </c>
      <c r="BI39" s="6">
        <v>0.94574468085106378</v>
      </c>
      <c r="BJ39" s="6">
        <v>0.99771079740557034</v>
      </c>
      <c r="BK39" s="6">
        <v>0.89401519362608861</v>
      </c>
      <c r="BL39" s="6">
        <v>0.99818577648766327</v>
      </c>
      <c r="BM39" s="6">
        <v>1.0154094511300265</v>
      </c>
      <c r="BN39" s="6">
        <v>0.99285714285714288</v>
      </c>
      <c r="BO39" s="6">
        <v>0.92625368731563418</v>
      </c>
      <c r="BP39" s="6">
        <v>0.97209302325581393</v>
      </c>
      <c r="BQ39" s="6">
        <v>1.0778301886792452</v>
      </c>
      <c r="BR39" s="6">
        <v>1.0497076023391814</v>
      </c>
      <c r="BS39" s="6">
        <v>1.0149384885764499</v>
      </c>
      <c r="BT39" s="6">
        <v>0.97518610421836227</v>
      </c>
      <c r="BU39" s="6">
        <v>1.0190954773869347</v>
      </c>
      <c r="BV39" s="6">
        <v>1.092184368737475</v>
      </c>
      <c r="BW39" s="6">
        <v>0.75729646697388631</v>
      </c>
      <c r="BX39" s="6">
        <v>1.1200000000000001</v>
      </c>
      <c r="BY39" s="6">
        <v>2.3333333333333335</v>
      </c>
      <c r="BZ39" s="6">
        <v>2.2592592592592591</v>
      </c>
      <c r="CA39" s="6">
        <v>1.078740157480315</v>
      </c>
      <c r="CB39" s="6">
        <v>0.96290138612330123</v>
      </c>
    </row>
    <row r="40" spans="1:80">
      <c r="A40" s="6" t="s">
        <v>163</v>
      </c>
      <c r="B40" s="6" t="s">
        <v>196</v>
      </c>
      <c r="C40" s="6">
        <v>1.0454545454545454</v>
      </c>
      <c r="D40" s="6">
        <v>0.51239669421487599</v>
      </c>
      <c r="E40" s="6">
        <v>1.4285714285714286</v>
      </c>
      <c r="F40" s="6">
        <v>1.1565217391304348</v>
      </c>
      <c r="G40" s="6">
        <v>1.0342465753424657</v>
      </c>
      <c r="H40" s="6">
        <v>1.0693069306930694</v>
      </c>
      <c r="I40" s="6">
        <v>1.115979381443299</v>
      </c>
      <c r="J40" s="6">
        <v>0.93442622950819676</v>
      </c>
      <c r="K40" s="6">
        <v>0.98101265822784811</v>
      </c>
      <c r="L40" s="6">
        <v>1.2318840579710144</v>
      </c>
      <c r="M40" s="6">
        <v>1.1798561151079137</v>
      </c>
      <c r="N40" s="6">
        <v>0.96029776674937961</v>
      </c>
      <c r="O40" s="6">
        <v>0.95016611295681064</v>
      </c>
      <c r="P40" s="6">
        <v>1</v>
      </c>
      <c r="Q40" s="6">
        <v>0.8538845331432644</v>
      </c>
      <c r="R40" s="6">
        <v>0.6428571428571429</v>
      </c>
      <c r="S40" s="6">
        <v>1.0943396226415094</v>
      </c>
      <c r="T40" s="6">
        <v>0.95180722891566261</v>
      </c>
      <c r="U40" s="6">
        <v>0.95833333333333337</v>
      </c>
      <c r="V40" s="6">
        <v>0.6280193236714976</v>
      </c>
      <c r="W40" s="6">
        <v>0.95035460992907805</v>
      </c>
      <c r="X40" s="6">
        <v>0.66129032258064513</v>
      </c>
      <c r="Y40" s="6">
        <v>0.77702702702702697</v>
      </c>
      <c r="Z40" s="6">
        <v>0.94017094017094016</v>
      </c>
      <c r="AA40" s="6">
        <v>1.0505158306652438</v>
      </c>
      <c r="AB40" s="6">
        <v>1.3333333333333333</v>
      </c>
      <c r="AC40" s="6">
        <v>1.0541801219949767</v>
      </c>
      <c r="AD40" s="6">
        <v>0.4375</v>
      </c>
      <c r="AE40" s="6">
        <v>1.1120000000000001</v>
      </c>
      <c r="AF40" s="6" t="s">
        <v>277</v>
      </c>
      <c r="AG40" s="6">
        <v>1.1272727272727272</v>
      </c>
      <c r="AH40" s="6">
        <v>1.0833333333333333</v>
      </c>
      <c r="AI40" s="6">
        <v>1.0239766081871344</v>
      </c>
      <c r="AJ40" s="6">
        <v>1.0609756097560976</v>
      </c>
      <c r="AK40" s="6">
        <v>1.0330935251798561</v>
      </c>
      <c r="AL40" s="6">
        <v>1.0698689956331877</v>
      </c>
      <c r="AM40" s="6">
        <v>1.0365044247787611</v>
      </c>
      <c r="AN40" s="6">
        <v>1.0324483775811208</v>
      </c>
      <c r="AO40" s="6">
        <v>1.0881226053639848</v>
      </c>
      <c r="AP40" s="6">
        <v>0.98205546492659057</v>
      </c>
      <c r="AQ40" s="6">
        <v>0.98910675381263613</v>
      </c>
      <c r="AR40" s="6">
        <v>0.95813953488372094</v>
      </c>
      <c r="AS40" s="6">
        <v>0.99318658280922434</v>
      </c>
      <c r="AT40" s="6">
        <v>0.921875</v>
      </c>
      <c r="AU40" s="6">
        <v>1.0014224751066856</v>
      </c>
      <c r="AV40" s="6">
        <v>1.0180995475113122</v>
      </c>
      <c r="AW40" s="6">
        <v>0.96334661354581674</v>
      </c>
      <c r="AX40" s="6">
        <v>1.0274784482758621</v>
      </c>
      <c r="AY40" s="6">
        <v>0.92871485943775101</v>
      </c>
      <c r="AZ40" s="6">
        <v>1.0731414868105515</v>
      </c>
      <c r="BA40" s="6">
        <v>0.99463806970509383</v>
      </c>
      <c r="BB40" s="6">
        <v>0.9682791435368755</v>
      </c>
      <c r="BC40" s="6">
        <v>0.97783834502479783</v>
      </c>
      <c r="BD40" s="6">
        <v>0.96326230712711247</v>
      </c>
      <c r="BE40" s="6">
        <v>0.82706459525756337</v>
      </c>
      <c r="BF40" s="6">
        <v>0.88983050847457623</v>
      </c>
      <c r="BG40" s="6">
        <v>0.9910362136966655</v>
      </c>
      <c r="BH40" s="6">
        <v>0.98382437897169261</v>
      </c>
      <c r="BI40" s="6">
        <v>1.0253093363329584</v>
      </c>
      <c r="BJ40" s="6">
        <v>1.0114722753346079</v>
      </c>
      <c r="BK40" s="6">
        <v>0.88704663212435231</v>
      </c>
      <c r="BL40" s="6">
        <v>1.2064703744093057</v>
      </c>
      <c r="BM40" s="6">
        <v>1.0527532880474058</v>
      </c>
      <c r="BN40" s="6">
        <v>1.1079136690647482</v>
      </c>
      <c r="BO40" s="6">
        <v>0.95859872611464969</v>
      </c>
      <c r="BP40" s="6">
        <v>1.0574162679425838</v>
      </c>
      <c r="BQ40" s="6">
        <v>1.12363238512035</v>
      </c>
      <c r="BR40" s="6">
        <v>1.0696378830083566</v>
      </c>
      <c r="BS40" s="6">
        <v>1.0744588744588746</v>
      </c>
      <c r="BT40" s="6">
        <v>1.0089058524173029</v>
      </c>
      <c r="BU40" s="6">
        <v>1.0387902695595004</v>
      </c>
      <c r="BV40" s="6">
        <v>0.91467889908256883</v>
      </c>
      <c r="BW40" s="6">
        <v>5.6795131845841784E-2</v>
      </c>
      <c r="BX40" s="6">
        <v>0.39285714285714285</v>
      </c>
      <c r="BY40" s="6">
        <v>0</v>
      </c>
      <c r="BZ40" s="6">
        <v>2.0281030444964872</v>
      </c>
      <c r="CA40" s="6">
        <v>0.67883211678832112</v>
      </c>
      <c r="CB40" s="6">
        <v>0.99724943784131059</v>
      </c>
    </row>
    <row r="41" spans="1:80">
      <c r="A41" s="6" t="s">
        <v>164</v>
      </c>
      <c r="B41" s="6" t="s">
        <v>196</v>
      </c>
      <c r="C41" s="6">
        <v>1.0714642678660671</v>
      </c>
      <c r="D41" s="6">
        <v>0.95161290322580649</v>
      </c>
      <c r="E41" s="6">
        <v>0.97499999999999998</v>
      </c>
      <c r="F41" s="6">
        <v>1.1428571428571428</v>
      </c>
      <c r="G41" s="6">
        <v>1.0662251655629138</v>
      </c>
      <c r="H41" s="6">
        <v>1.212962962962963</v>
      </c>
      <c r="I41" s="6">
        <v>1.0969976905311778</v>
      </c>
      <c r="J41" s="6">
        <v>1.2807017543859649</v>
      </c>
      <c r="K41" s="6">
        <v>1.0580645161290323</v>
      </c>
      <c r="L41" s="6">
        <v>0.82352941176470584</v>
      </c>
      <c r="M41" s="6">
        <v>1.0304878048780488</v>
      </c>
      <c r="N41" s="6">
        <v>1.069767441860465</v>
      </c>
      <c r="O41" s="6">
        <v>1.0594405594405594</v>
      </c>
      <c r="P41" s="6">
        <v>1.0490196078431373</v>
      </c>
      <c r="Q41" s="6">
        <v>1.1886477462437395</v>
      </c>
      <c r="R41" s="6">
        <v>0</v>
      </c>
      <c r="S41" s="6">
        <v>1</v>
      </c>
      <c r="T41" s="6">
        <v>1.1772151898734178</v>
      </c>
      <c r="U41" s="6">
        <v>1.1807780320366132</v>
      </c>
      <c r="V41" s="6">
        <v>1.176923076923077</v>
      </c>
      <c r="W41" s="6">
        <v>1.0597014925373134</v>
      </c>
      <c r="X41" s="6">
        <v>1.2520325203252032</v>
      </c>
      <c r="Y41" s="6">
        <v>1.4782608695652173</v>
      </c>
      <c r="Z41" s="6">
        <v>1.209090909090909</v>
      </c>
      <c r="AA41" s="6">
        <v>1.0985438537080934</v>
      </c>
      <c r="AB41" s="6">
        <v>1.25</v>
      </c>
      <c r="AC41" s="6">
        <v>1.0966643975493533</v>
      </c>
      <c r="AD41" s="6">
        <v>2.1428571428571428</v>
      </c>
      <c r="AE41" s="6">
        <v>1.2661870503597121</v>
      </c>
      <c r="AF41" s="6" t="s">
        <v>277</v>
      </c>
      <c r="AG41" s="6">
        <v>1.2580645161290323</v>
      </c>
      <c r="AH41" s="6">
        <v>1.3846153846153846</v>
      </c>
      <c r="AI41" s="6">
        <v>1.1846563868265754</v>
      </c>
      <c r="AJ41" s="6">
        <v>1.2298850574712643</v>
      </c>
      <c r="AK41" s="6">
        <v>0.97493036211699169</v>
      </c>
      <c r="AL41" s="6">
        <v>1.2448979591836735</v>
      </c>
      <c r="AM41" s="6">
        <v>1.3607257203842049</v>
      </c>
      <c r="AN41" s="6">
        <v>1.2514285714285713</v>
      </c>
      <c r="AO41" s="6">
        <v>1.091549295774648</v>
      </c>
      <c r="AP41" s="6">
        <v>1.0797342192691031</v>
      </c>
      <c r="AQ41" s="6">
        <v>1.169603524229075</v>
      </c>
      <c r="AR41" s="6">
        <v>1.1763754045307444</v>
      </c>
      <c r="AS41" s="6">
        <v>1.1131926121372031</v>
      </c>
      <c r="AT41" s="6">
        <v>1.1186440677966101</v>
      </c>
      <c r="AU41" s="6">
        <v>1.109375</v>
      </c>
      <c r="AV41" s="6">
        <v>1.0888888888888888</v>
      </c>
      <c r="AW41" s="6">
        <v>1.1472291149710505</v>
      </c>
      <c r="AX41" s="6">
        <v>1.0959622443628736</v>
      </c>
      <c r="AY41" s="6">
        <v>1.107027027027027</v>
      </c>
      <c r="AZ41" s="6">
        <v>0.95642458100558658</v>
      </c>
      <c r="BA41" s="6">
        <v>1.1859838274932615</v>
      </c>
      <c r="BB41" s="6">
        <v>1.2104832104832104</v>
      </c>
      <c r="BC41" s="6">
        <v>1.0845784784098698</v>
      </c>
      <c r="BD41" s="6">
        <v>1.0259344012204423</v>
      </c>
      <c r="BE41" s="6">
        <v>1.161641127039051</v>
      </c>
      <c r="BF41" s="6">
        <v>0.99682539682539684</v>
      </c>
      <c r="BG41" s="6">
        <v>1.0463096960926195</v>
      </c>
      <c r="BH41" s="6">
        <v>1.1594245449207281</v>
      </c>
      <c r="BI41" s="6">
        <v>1.2002194185408668</v>
      </c>
      <c r="BJ41" s="6">
        <v>1.1693761814744801</v>
      </c>
      <c r="BK41" s="6">
        <v>1.3028037383177571</v>
      </c>
      <c r="BL41" s="6">
        <v>0.61012353118409157</v>
      </c>
      <c r="BM41" s="6">
        <v>1.1685886875343219</v>
      </c>
      <c r="BN41" s="6">
        <v>1.0779220779220779</v>
      </c>
      <c r="BO41" s="6">
        <v>1.1362126245847175</v>
      </c>
      <c r="BP41" s="6">
        <v>1.2352941176470589</v>
      </c>
      <c r="BQ41" s="6">
        <v>1.1762414800389485</v>
      </c>
      <c r="BR41" s="6">
        <v>1.2526041666666667</v>
      </c>
      <c r="BS41" s="6">
        <v>1.1635777598710717</v>
      </c>
      <c r="BT41" s="6">
        <v>1.1740226986128626</v>
      </c>
      <c r="BU41" s="6">
        <v>1.1613924050632911</v>
      </c>
      <c r="BV41" s="6">
        <v>1.2026078234704112</v>
      </c>
      <c r="BW41" s="6">
        <v>0.9642857142857143</v>
      </c>
      <c r="BX41" s="6">
        <v>9.0909090909090912E-2</v>
      </c>
      <c r="BY41" s="6" t="s">
        <v>277</v>
      </c>
      <c r="BZ41" s="6">
        <v>1.2748267898383372</v>
      </c>
      <c r="CA41" s="6">
        <v>0.70967741935483875</v>
      </c>
      <c r="CB41" s="6">
        <v>1.1175132371001189</v>
      </c>
    </row>
    <row r="42" spans="1:80">
      <c r="A42" s="6" t="s">
        <v>165</v>
      </c>
      <c r="B42" s="6" t="s">
        <v>196</v>
      </c>
      <c r="C42" s="6">
        <v>1.1128731343283582</v>
      </c>
      <c r="D42" s="6">
        <v>1.1016949152542372</v>
      </c>
      <c r="E42" s="6">
        <v>1</v>
      </c>
      <c r="F42" s="6">
        <v>1.0460526315789473</v>
      </c>
      <c r="G42" s="6">
        <v>1.1138716356107661</v>
      </c>
      <c r="H42" s="6">
        <v>1.0610687022900764</v>
      </c>
      <c r="I42" s="6">
        <v>1.0547368421052632</v>
      </c>
      <c r="J42" s="6">
        <v>1</v>
      </c>
      <c r="K42" s="6">
        <v>1.0914634146341464</v>
      </c>
      <c r="L42" s="6">
        <v>1.2428571428571429</v>
      </c>
      <c r="M42" s="6">
        <v>1.2485207100591715</v>
      </c>
      <c r="N42" s="6">
        <v>1.0966183574879227</v>
      </c>
      <c r="O42" s="6">
        <v>1.0495049504950495</v>
      </c>
      <c r="P42" s="6">
        <v>1.2429906542056075</v>
      </c>
      <c r="Q42" s="6">
        <v>1.086376404494382</v>
      </c>
      <c r="R42" s="6" t="s">
        <v>277</v>
      </c>
      <c r="S42" s="6">
        <v>1.1206896551724137</v>
      </c>
      <c r="T42" s="6">
        <v>1.1935483870967742</v>
      </c>
      <c r="U42" s="6">
        <v>1.2635658914728682</v>
      </c>
      <c r="V42" s="6">
        <v>0.92156862745098034</v>
      </c>
      <c r="W42" s="6">
        <v>1.0774647887323943</v>
      </c>
      <c r="X42" s="6">
        <v>0.90259740259740262</v>
      </c>
      <c r="Y42" s="6">
        <v>0.75294117647058822</v>
      </c>
      <c r="Z42" s="6">
        <v>1.1654135338345866</v>
      </c>
      <c r="AA42" s="6">
        <v>1.1781750924784218</v>
      </c>
      <c r="AB42" s="6">
        <v>3.2</v>
      </c>
      <c r="AC42" s="6">
        <v>1.1734947237740534</v>
      </c>
      <c r="AD42" s="6">
        <v>1.4666666666666666</v>
      </c>
      <c r="AE42" s="6">
        <v>1.125</v>
      </c>
      <c r="AF42" s="6" t="s">
        <v>277</v>
      </c>
      <c r="AG42" s="6">
        <v>1.1474358974358974</v>
      </c>
      <c r="AH42" s="6">
        <v>0.94444444444444442</v>
      </c>
      <c r="AI42" s="6">
        <v>1.0991483207456212</v>
      </c>
      <c r="AJ42" s="6">
        <v>1.1612149532710281</v>
      </c>
      <c r="AK42" s="6">
        <v>0.83142857142857141</v>
      </c>
      <c r="AL42" s="6">
        <v>1.098360655737705</v>
      </c>
      <c r="AM42" s="6">
        <v>1.0925490196078431</v>
      </c>
      <c r="AN42" s="6">
        <v>1.1210045662100456</v>
      </c>
      <c r="AO42" s="6">
        <v>1.2129032258064516</v>
      </c>
      <c r="AP42" s="6">
        <v>1.1200000000000001</v>
      </c>
      <c r="AQ42" s="6">
        <v>1.1412429378531073</v>
      </c>
      <c r="AR42" s="6">
        <v>1.156808803301238</v>
      </c>
      <c r="AS42" s="6">
        <v>1.0829580469305522</v>
      </c>
      <c r="AT42" s="6">
        <v>1.0378787878787878</v>
      </c>
      <c r="AU42" s="6">
        <v>1.1306017925736236</v>
      </c>
      <c r="AV42" s="6">
        <v>1.1183673469387756</v>
      </c>
      <c r="AW42" s="6">
        <v>1.0706560922855084</v>
      </c>
      <c r="AX42" s="6">
        <v>1.0564593301435408</v>
      </c>
      <c r="AY42" s="6">
        <v>1.013671875</v>
      </c>
      <c r="AZ42" s="6">
        <v>1.2126168224299065</v>
      </c>
      <c r="BA42" s="6">
        <v>1.0818181818181818</v>
      </c>
      <c r="BB42" s="6">
        <v>1.0811907983761839</v>
      </c>
      <c r="BC42" s="6">
        <v>1.1581142568250757</v>
      </c>
      <c r="BD42" s="6">
        <v>1.237918215613383</v>
      </c>
      <c r="BE42" s="6">
        <v>1.1561702127659574</v>
      </c>
      <c r="BF42" s="6">
        <v>1.0318471337579618</v>
      </c>
      <c r="BG42" s="6">
        <v>1.1843015214384509</v>
      </c>
      <c r="BH42" s="6">
        <v>1.158774373259053</v>
      </c>
      <c r="BI42" s="6">
        <v>1.1371115173674589</v>
      </c>
      <c r="BJ42" s="6">
        <v>1.2130617523440026</v>
      </c>
      <c r="BK42" s="6">
        <v>1.2006814921090387</v>
      </c>
      <c r="BL42" s="6">
        <v>0.91061728395061725</v>
      </c>
      <c r="BM42" s="6">
        <v>1.1063204887218046</v>
      </c>
      <c r="BN42" s="6">
        <v>1.0963855421686748</v>
      </c>
      <c r="BO42" s="6">
        <v>1.0789473684210527</v>
      </c>
      <c r="BP42" s="6">
        <v>0.99633699633699635</v>
      </c>
      <c r="BQ42" s="6">
        <v>1.2036423841059603</v>
      </c>
      <c r="BR42" s="6">
        <v>1.0706860706860706</v>
      </c>
      <c r="BS42" s="6">
        <v>1.1412742382271468</v>
      </c>
      <c r="BT42" s="6">
        <v>1.0998925886143931</v>
      </c>
      <c r="BU42" s="6">
        <v>1.0782016348773842</v>
      </c>
      <c r="BV42" s="6">
        <v>0.92410341951626351</v>
      </c>
      <c r="BW42" s="6">
        <v>1.3703703703703705</v>
      </c>
      <c r="BX42" s="6">
        <v>1</v>
      </c>
      <c r="BY42" s="6" t="s">
        <v>277</v>
      </c>
      <c r="BZ42" s="6">
        <v>0.90851449275362317</v>
      </c>
      <c r="CA42" s="6">
        <v>1.0303030303030303</v>
      </c>
      <c r="CB42" s="6">
        <v>1.1242163291777763</v>
      </c>
    </row>
    <row r="43" spans="1:80">
      <c r="A43" s="6" t="s">
        <v>166</v>
      </c>
      <c r="B43" s="6" t="s">
        <v>196</v>
      </c>
      <c r="C43" s="6">
        <v>1.0813076278290026</v>
      </c>
      <c r="D43" s="6">
        <v>1.2461538461538462</v>
      </c>
      <c r="E43" s="6">
        <v>1.0769230769230769</v>
      </c>
      <c r="F43" s="6">
        <v>1.0125786163522013</v>
      </c>
      <c r="G43" s="6">
        <v>1.0817843866171004</v>
      </c>
      <c r="H43" s="6">
        <v>1.064748201438849</v>
      </c>
      <c r="I43" s="6">
        <v>1.0059880239520957</v>
      </c>
      <c r="J43" s="6">
        <v>1.0273972602739727</v>
      </c>
      <c r="K43" s="6">
        <v>1.2206703910614525</v>
      </c>
      <c r="L43" s="6">
        <v>1.2298850574712643</v>
      </c>
      <c r="M43" s="6">
        <v>1.0568720379146919</v>
      </c>
      <c r="N43" s="6">
        <v>1.1013215859030836</v>
      </c>
      <c r="O43" s="6">
        <v>1.0628930817610063</v>
      </c>
      <c r="P43" s="6">
        <v>1.2255639097744362</v>
      </c>
      <c r="Q43" s="6">
        <v>1.0665804783451842</v>
      </c>
      <c r="R43" s="6">
        <v>1</v>
      </c>
      <c r="S43" s="6">
        <v>1.6153846153846154</v>
      </c>
      <c r="T43" s="6">
        <v>1.1531531531531531</v>
      </c>
      <c r="U43" s="6">
        <v>0.92791411042944782</v>
      </c>
      <c r="V43" s="6">
        <v>0.92907801418439717</v>
      </c>
      <c r="W43" s="6">
        <v>1.1372549019607843</v>
      </c>
      <c r="X43" s="6">
        <v>1.1726618705035972</v>
      </c>
      <c r="Y43" s="6">
        <v>1.3203125</v>
      </c>
      <c r="Z43" s="6">
        <v>1.1032258064516129</v>
      </c>
      <c r="AA43" s="6">
        <v>0.85400313971742547</v>
      </c>
      <c r="AB43" s="6">
        <v>1.625</v>
      </c>
      <c r="AC43" s="6">
        <v>0.84951071145199686</v>
      </c>
      <c r="AD43" s="6">
        <v>1.1818181818181819</v>
      </c>
      <c r="AE43" s="6">
        <v>1.0656565656565657</v>
      </c>
      <c r="AF43" s="6" t="s">
        <v>277</v>
      </c>
      <c r="AG43" s="6">
        <v>1.0446927374301676</v>
      </c>
      <c r="AH43" s="6">
        <v>1.1764705882352942</v>
      </c>
      <c r="AI43" s="6">
        <v>1.0752923976608186</v>
      </c>
      <c r="AJ43" s="6">
        <v>1.1441985244802146</v>
      </c>
      <c r="AK43" s="6">
        <v>0.79381443298969068</v>
      </c>
      <c r="AL43" s="6">
        <v>1.0597014925373134</v>
      </c>
      <c r="AM43" s="6">
        <v>1.0796841349605169</v>
      </c>
      <c r="AN43" s="6">
        <v>1.1140529531568228</v>
      </c>
      <c r="AO43" s="6">
        <v>1.178191489361702</v>
      </c>
      <c r="AP43" s="6">
        <v>1.1043956043956045</v>
      </c>
      <c r="AQ43" s="6">
        <v>1.0990099009900991</v>
      </c>
      <c r="AR43" s="6">
        <v>1.0368608799048751</v>
      </c>
      <c r="AS43" s="6">
        <v>1.0961917268548917</v>
      </c>
      <c r="AT43" s="6">
        <v>1.1386861313868613</v>
      </c>
      <c r="AU43" s="6">
        <v>1.130237825594564</v>
      </c>
      <c r="AV43" s="6">
        <v>1.1131386861313868</v>
      </c>
      <c r="AW43" s="6">
        <v>1.1037037037037036</v>
      </c>
      <c r="AX43" s="6">
        <v>1.0724637681159421</v>
      </c>
      <c r="AY43" s="6">
        <v>1.1021194605009634</v>
      </c>
      <c r="AZ43" s="6">
        <v>1.0606936416184971</v>
      </c>
      <c r="BA43" s="6">
        <v>1.2352941176470589</v>
      </c>
      <c r="BB43" s="6">
        <v>1.0763454317897372</v>
      </c>
      <c r="BC43" s="6">
        <v>1.1433300592964459</v>
      </c>
      <c r="BD43" s="6">
        <v>1.0564564564564565</v>
      </c>
      <c r="BE43" s="6">
        <v>1.229665071770335</v>
      </c>
      <c r="BF43" s="6">
        <v>1.345679012345679</v>
      </c>
      <c r="BG43" s="6">
        <v>1.1421897810218977</v>
      </c>
      <c r="BH43" s="6">
        <v>1.1365821678321679</v>
      </c>
      <c r="BI43" s="6">
        <v>1.155144694533762</v>
      </c>
      <c r="BJ43" s="6">
        <v>1.166044776119403</v>
      </c>
      <c r="BK43" s="6">
        <v>1.1893950709484691</v>
      </c>
      <c r="BL43" s="6">
        <v>0.84924078091106292</v>
      </c>
      <c r="BM43" s="6">
        <v>1.086333227142402</v>
      </c>
      <c r="BN43" s="6">
        <v>1.1318681318681318</v>
      </c>
      <c r="BO43" s="6">
        <v>1.1517615176151761</v>
      </c>
      <c r="BP43" s="6">
        <v>1.1544117647058822</v>
      </c>
      <c r="BQ43" s="6">
        <v>1.0639614855570838</v>
      </c>
      <c r="BR43" s="6">
        <v>1.0815533980582523</v>
      </c>
      <c r="BS43" s="6">
        <v>1.0691747572815533</v>
      </c>
      <c r="BT43" s="6">
        <v>1.11328125</v>
      </c>
      <c r="BU43" s="6">
        <v>1.0811220621683093</v>
      </c>
      <c r="BV43" s="6">
        <v>0.77978339350180503</v>
      </c>
      <c r="BW43" s="6">
        <v>0.67567567567567566</v>
      </c>
      <c r="BX43" s="6">
        <v>1</v>
      </c>
      <c r="BY43" s="6" t="s">
        <v>277</v>
      </c>
      <c r="BZ43" s="6">
        <v>0.77068793619142573</v>
      </c>
      <c r="CA43" s="6">
        <v>0.91176470588235292</v>
      </c>
      <c r="CB43" s="6">
        <v>1.0912776629328718</v>
      </c>
    </row>
    <row r="44" spans="1:80">
      <c r="A44" s="6" t="s">
        <v>167</v>
      </c>
      <c r="B44" s="6" t="s">
        <v>196</v>
      </c>
      <c r="C44" s="6">
        <v>1.1410852713178294</v>
      </c>
      <c r="D44" s="6">
        <v>1.308641975308642</v>
      </c>
      <c r="E44" s="6">
        <v>1.2142857142857142</v>
      </c>
      <c r="F44" s="6">
        <v>1.1490683229813665</v>
      </c>
      <c r="G44" s="6">
        <v>1.0274914089347078</v>
      </c>
      <c r="H44" s="6">
        <v>1.472972972972973</v>
      </c>
      <c r="I44" s="6">
        <v>1.1408730158730158</v>
      </c>
      <c r="J44" s="6">
        <v>1.1733333333333333</v>
      </c>
      <c r="K44" s="6">
        <v>1.2013729977116705</v>
      </c>
      <c r="L44" s="6">
        <v>0.9719626168224299</v>
      </c>
      <c r="M44" s="6">
        <v>1.1143497757847534</v>
      </c>
      <c r="N44" s="6">
        <v>1.006</v>
      </c>
      <c r="O44" s="6">
        <v>1.0088757396449703</v>
      </c>
      <c r="P44" s="6">
        <v>1</v>
      </c>
      <c r="Q44" s="6">
        <v>1.0612121212121213</v>
      </c>
      <c r="R44" s="6">
        <v>0.25</v>
      </c>
      <c r="S44" s="6">
        <v>1.2476190476190476</v>
      </c>
      <c r="T44" s="6">
        <v>1.296875</v>
      </c>
      <c r="U44" s="6">
        <v>0.86280991735537194</v>
      </c>
      <c r="V44" s="6">
        <v>1.5648854961832062</v>
      </c>
      <c r="W44" s="6">
        <v>1.0459770114942528</v>
      </c>
      <c r="X44" s="6">
        <v>0.96319018404907975</v>
      </c>
      <c r="Y44" s="6">
        <v>1.0769230769230769</v>
      </c>
      <c r="Z44" s="6">
        <v>1.1695906432748537</v>
      </c>
      <c r="AA44" s="6">
        <v>1.1908700980392157</v>
      </c>
      <c r="AB44" s="6">
        <v>0.53846153846153844</v>
      </c>
      <c r="AC44" s="6">
        <v>1.1902241594022416</v>
      </c>
      <c r="AD44" s="6">
        <v>1.9230769230769231</v>
      </c>
      <c r="AE44" s="6">
        <v>1.1895734597156398</v>
      </c>
      <c r="AF44" s="6">
        <v>1</v>
      </c>
      <c r="AG44" s="6">
        <v>1.2085561497326203</v>
      </c>
      <c r="AH44" s="6">
        <v>1.1499999999999999</v>
      </c>
      <c r="AI44" s="6">
        <v>1.1690006798096533</v>
      </c>
      <c r="AJ44" s="6">
        <v>1.0914419695193436</v>
      </c>
      <c r="AK44" s="6">
        <v>1.725108225108225</v>
      </c>
      <c r="AL44" s="6">
        <v>1.0422535211267605</v>
      </c>
      <c r="AM44" s="6">
        <v>1.1243351063829787</v>
      </c>
      <c r="AN44" s="6">
        <v>1.093235831809872</v>
      </c>
      <c r="AO44" s="6">
        <v>1.3182844243792324</v>
      </c>
      <c r="AP44" s="6">
        <v>1.2189054726368158</v>
      </c>
      <c r="AQ44" s="6">
        <v>1.1621621621621621</v>
      </c>
      <c r="AR44" s="6">
        <v>1.0814220183486238</v>
      </c>
      <c r="AS44" s="6">
        <v>1.1329739442946991</v>
      </c>
      <c r="AT44" s="6">
        <v>1.0769230769230769</v>
      </c>
      <c r="AU44" s="6">
        <v>1.0861723446893787</v>
      </c>
      <c r="AV44" s="6">
        <v>1.0721311475409836</v>
      </c>
      <c r="AW44" s="6">
        <v>1.24954240390482</v>
      </c>
      <c r="AX44" s="6">
        <v>1.0202702702702702</v>
      </c>
      <c r="AY44" s="6">
        <v>1.0585664335664335</v>
      </c>
      <c r="AZ44" s="6">
        <v>1.3251589464123523</v>
      </c>
      <c r="BA44" s="6">
        <v>1.1717687074829932</v>
      </c>
      <c r="BB44" s="6">
        <v>1.1343023255813953</v>
      </c>
      <c r="BC44" s="6">
        <v>1.1579751185211111</v>
      </c>
      <c r="BD44" s="6">
        <v>1.0488914155770324</v>
      </c>
      <c r="BE44" s="6">
        <v>1.1715055372642922</v>
      </c>
      <c r="BF44" s="6">
        <v>1.2798165137614679</v>
      </c>
      <c r="BG44" s="6">
        <v>1.1193762781186094</v>
      </c>
      <c r="BH44" s="6">
        <v>1.1476639107863873</v>
      </c>
      <c r="BI44" s="6">
        <v>1.2818371607515657</v>
      </c>
      <c r="BJ44" s="6">
        <v>1.2109714285714286</v>
      </c>
      <c r="BK44" s="6">
        <v>1.0590229812884591</v>
      </c>
      <c r="BL44" s="6">
        <v>1.4770114942528736</v>
      </c>
      <c r="BM44" s="6">
        <v>1.0716520039100683</v>
      </c>
      <c r="BN44" s="6">
        <v>1.058252427184466</v>
      </c>
      <c r="BO44" s="6">
        <v>1.0752941176470587</v>
      </c>
      <c r="BP44" s="6">
        <v>1.1433121019108281</v>
      </c>
      <c r="BQ44" s="6">
        <v>1.1008403361344539</v>
      </c>
      <c r="BR44" s="6">
        <v>1.0197486535008977</v>
      </c>
      <c r="BS44" s="6">
        <v>1.0709421112372304</v>
      </c>
      <c r="BT44" s="6">
        <v>1.0789473684210527</v>
      </c>
      <c r="BU44" s="6">
        <v>1.0614773258532024</v>
      </c>
      <c r="BV44" s="6">
        <v>0.95833333333333337</v>
      </c>
      <c r="BW44" s="6">
        <v>1.08</v>
      </c>
      <c r="BX44" s="6">
        <v>1</v>
      </c>
      <c r="BY44" s="6" t="s">
        <v>277</v>
      </c>
      <c r="BZ44" s="6">
        <v>0.94566623544631312</v>
      </c>
      <c r="CA44" s="6">
        <v>1.096774193548387</v>
      </c>
      <c r="CB44" s="6">
        <v>1.1375937972657455</v>
      </c>
    </row>
    <row r="45" spans="1:80">
      <c r="A45" s="6" t="s">
        <v>168</v>
      </c>
      <c r="B45" s="6" t="s">
        <v>196</v>
      </c>
      <c r="C45" s="6">
        <v>0.99116847826086951</v>
      </c>
      <c r="D45" s="6">
        <v>0.86792452830188682</v>
      </c>
      <c r="E45" s="6">
        <v>1.0980392156862746</v>
      </c>
      <c r="F45" s="6">
        <v>1.0864864864864865</v>
      </c>
      <c r="G45" s="6">
        <v>1.0117056856187292</v>
      </c>
      <c r="H45" s="6">
        <v>0.75688073394495414</v>
      </c>
      <c r="I45" s="6">
        <v>1.0382608695652173</v>
      </c>
      <c r="J45" s="6">
        <v>0.98863636363636365</v>
      </c>
      <c r="K45" s="6">
        <v>0.92190476190476189</v>
      </c>
      <c r="L45" s="6">
        <v>1.0096153846153846</v>
      </c>
      <c r="M45" s="6">
        <v>1.0603621730382293</v>
      </c>
      <c r="N45" s="6">
        <v>1.0159045725646123</v>
      </c>
      <c r="O45" s="6">
        <v>1</v>
      </c>
      <c r="P45" s="6">
        <v>1.0429447852760736</v>
      </c>
      <c r="Q45" s="6">
        <v>0.86350656767561396</v>
      </c>
      <c r="R45" s="6">
        <v>0</v>
      </c>
      <c r="S45" s="6">
        <v>0.76335877862595425</v>
      </c>
      <c r="T45" s="6">
        <v>0.86746987951807231</v>
      </c>
      <c r="U45" s="6">
        <v>0.80268199233716475</v>
      </c>
      <c r="V45" s="6">
        <v>0.75609756097560976</v>
      </c>
      <c r="W45" s="6">
        <v>0.91208791208791207</v>
      </c>
      <c r="X45" s="6">
        <v>0.83439490445859876</v>
      </c>
      <c r="Y45" s="6">
        <v>0.93956043956043955</v>
      </c>
      <c r="Z45" s="6">
        <v>1.085</v>
      </c>
      <c r="AA45" s="6">
        <v>1.260612297401595</v>
      </c>
      <c r="AB45" s="6">
        <v>1.0714285714285714</v>
      </c>
      <c r="AC45" s="6">
        <v>1.2555584619408842</v>
      </c>
      <c r="AD45" s="6">
        <v>1.66</v>
      </c>
      <c r="AE45" s="6">
        <v>1.0637450199203187</v>
      </c>
      <c r="AF45" s="6">
        <v>2</v>
      </c>
      <c r="AG45" s="6">
        <v>1.0442477876106195</v>
      </c>
      <c r="AH45" s="6">
        <v>1</v>
      </c>
      <c r="AI45" s="6">
        <v>1.0555943242614561</v>
      </c>
      <c r="AJ45" s="6">
        <v>1.0778732545649838</v>
      </c>
      <c r="AK45" s="6">
        <v>0.9974905897114178</v>
      </c>
      <c r="AL45" s="6">
        <v>1.0918918918918918</v>
      </c>
      <c r="AM45" s="6">
        <v>1.1454760496747487</v>
      </c>
      <c r="AN45" s="6">
        <v>1.0418060200668897</v>
      </c>
      <c r="AO45" s="6">
        <v>1.2773972602739727</v>
      </c>
      <c r="AP45" s="6">
        <v>0.88673469387755099</v>
      </c>
      <c r="AQ45" s="6">
        <v>0.92894056847545214</v>
      </c>
      <c r="AR45" s="6">
        <v>1.0371155885471899</v>
      </c>
      <c r="AS45" s="6">
        <v>0.93497224425059478</v>
      </c>
      <c r="AT45" s="6">
        <v>0.9464285714285714</v>
      </c>
      <c r="AU45" s="6">
        <v>1.0322878228782288</v>
      </c>
      <c r="AV45" s="6">
        <v>0.97553516819571862</v>
      </c>
      <c r="AW45" s="6">
        <v>0.8642578125</v>
      </c>
      <c r="AX45" s="6">
        <v>0.95985099337748347</v>
      </c>
      <c r="AY45" s="6">
        <v>0.99752270850536751</v>
      </c>
      <c r="AZ45" s="6">
        <v>0.86634681288553805</v>
      </c>
      <c r="BA45" s="6">
        <v>0.87227866473149496</v>
      </c>
      <c r="BB45" s="6">
        <v>0.94874423372629424</v>
      </c>
      <c r="BC45" s="6">
        <v>1.0114029785129417</v>
      </c>
      <c r="BD45" s="6">
        <v>1.1040650406504064</v>
      </c>
      <c r="BE45" s="6">
        <v>1.0493101686254471</v>
      </c>
      <c r="BF45" s="6">
        <v>1.086021505376344</v>
      </c>
      <c r="BG45" s="6">
        <v>1.042932176295958</v>
      </c>
      <c r="BH45" s="6">
        <v>0.98542469425364387</v>
      </c>
      <c r="BI45" s="6">
        <v>1.01085776330076</v>
      </c>
      <c r="BJ45" s="6">
        <v>0.96262740656851642</v>
      </c>
      <c r="BK45" s="6">
        <v>0.97746946519625277</v>
      </c>
      <c r="BL45" s="6">
        <v>1.1011673151750974</v>
      </c>
      <c r="BM45" s="6">
        <v>1.0083006476329472</v>
      </c>
      <c r="BN45" s="6">
        <v>1.0321100917431192</v>
      </c>
      <c r="BO45" s="6">
        <v>1.0831509846827134</v>
      </c>
      <c r="BP45" s="6">
        <v>0.95543175487465182</v>
      </c>
      <c r="BQ45" s="6">
        <v>1.0581327069876689</v>
      </c>
      <c r="BR45" s="6">
        <v>1.073943661971831</v>
      </c>
      <c r="BS45" s="6">
        <v>1.0026497085320614</v>
      </c>
      <c r="BT45" s="6">
        <v>1.0089430894308944</v>
      </c>
      <c r="BU45" s="6">
        <v>0.97929971371944502</v>
      </c>
      <c r="BV45" s="6">
        <v>0.90821256038647347</v>
      </c>
      <c r="BW45" s="6">
        <v>1.1481481481481481</v>
      </c>
      <c r="BX45" s="6">
        <v>9</v>
      </c>
      <c r="BY45" s="6" t="s">
        <v>277</v>
      </c>
      <c r="BZ45" s="6">
        <v>0.87961696306429549</v>
      </c>
      <c r="CA45" s="6">
        <v>1</v>
      </c>
      <c r="CB45" s="6">
        <v>1.0121467942015516</v>
      </c>
    </row>
    <row r="46" spans="1:80">
      <c r="A46" s="6" t="s">
        <v>169</v>
      </c>
      <c r="B46" s="6" t="s">
        <v>196</v>
      </c>
      <c r="C46" s="6">
        <v>1.092871830020562</v>
      </c>
      <c r="D46" s="6">
        <v>1.3043478260869565</v>
      </c>
      <c r="E46" s="6">
        <v>1.2321428571428572</v>
      </c>
      <c r="F46" s="6">
        <v>0.96019900497512434</v>
      </c>
      <c r="G46" s="6">
        <v>1.0429752066115703</v>
      </c>
      <c r="H46" s="6">
        <v>1.2363636363636363</v>
      </c>
      <c r="I46" s="6">
        <v>0.98827470686767172</v>
      </c>
      <c r="J46" s="6">
        <v>1.0344827586206897</v>
      </c>
      <c r="K46" s="6">
        <v>1.2024793388429753</v>
      </c>
      <c r="L46" s="6">
        <v>1.2761904761904761</v>
      </c>
      <c r="M46" s="6">
        <v>1.0986717267552182</v>
      </c>
      <c r="N46" s="6">
        <v>1.0626223091976517</v>
      </c>
      <c r="O46" s="6">
        <v>1.1759530791788857</v>
      </c>
      <c r="P46" s="6">
        <v>0.8411764705882353</v>
      </c>
      <c r="Q46" s="6">
        <v>1.0304232804232805</v>
      </c>
      <c r="R46" s="6" t="s">
        <v>277</v>
      </c>
      <c r="S46" s="6">
        <v>0.91</v>
      </c>
      <c r="T46" s="6">
        <v>0.90277777777777779</v>
      </c>
      <c r="U46" s="6">
        <v>1.1026252983293556</v>
      </c>
      <c r="V46" s="6">
        <v>0.8</v>
      </c>
      <c r="W46" s="6">
        <v>0.89759036144578308</v>
      </c>
      <c r="X46" s="6">
        <v>1.2595419847328244</v>
      </c>
      <c r="Y46" s="6">
        <v>1.1637426900584795</v>
      </c>
      <c r="Z46" s="6">
        <v>1.1105990783410138</v>
      </c>
      <c r="AA46" s="6">
        <v>1.0257142857142858</v>
      </c>
      <c r="AB46" s="6">
        <v>0.8666666666666667</v>
      </c>
      <c r="AC46" s="6">
        <v>1.0241666666666667</v>
      </c>
      <c r="AD46" s="6">
        <v>1.1325301204819278</v>
      </c>
      <c r="AE46" s="6">
        <v>1.0112359550561798</v>
      </c>
      <c r="AF46" s="6">
        <v>2.25</v>
      </c>
      <c r="AG46" s="6">
        <v>1.0169491525423728</v>
      </c>
      <c r="AH46" s="6">
        <v>0.91304347826086951</v>
      </c>
      <c r="AI46" s="6">
        <v>1.0353680035257822</v>
      </c>
      <c r="AJ46" s="6">
        <v>1.0313901345291481</v>
      </c>
      <c r="AK46" s="6">
        <v>0.79748427672955979</v>
      </c>
      <c r="AL46" s="6">
        <v>1.051980198019802</v>
      </c>
      <c r="AM46" s="6">
        <v>1.1435209086215798</v>
      </c>
      <c r="AN46" s="6">
        <v>1.0850722311396468</v>
      </c>
      <c r="AO46" s="6">
        <v>0.886058981233244</v>
      </c>
      <c r="AP46" s="6">
        <v>1.0655926352128884</v>
      </c>
      <c r="AQ46" s="6">
        <v>1.0486787204450625</v>
      </c>
      <c r="AR46" s="6">
        <v>1.0623721881390593</v>
      </c>
      <c r="AS46" s="6">
        <v>1.0865139949109415</v>
      </c>
      <c r="AT46" s="6">
        <v>1</v>
      </c>
      <c r="AU46" s="6">
        <v>1.0214477211796247</v>
      </c>
      <c r="AV46" s="6">
        <v>1.1536050156739812</v>
      </c>
      <c r="AW46" s="6">
        <v>1.035593220338983</v>
      </c>
      <c r="AX46" s="6">
        <v>1.0284605433376455</v>
      </c>
      <c r="AY46" s="6">
        <v>1.1059602649006623</v>
      </c>
      <c r="AZ46" s="6">
        <v>1.1598101265822784</v>
      </c>
      <c r="BA46" s="6">
        <v>1.1514143094841931</v>
      </c>
      <c r="BB46" s="6">
        <v>1.1620745542949757</v>
      </c>
      <c r="BC46" s="6">
        <v>1.0513189709038551</v>
      </c>
      <c r="BD46" s="6">
        <v>0.95827196858124697</v>
      </c>
      <c r="BE46" s="6">
        <v>0.98173849525200874</v>
      </c>
      <c r="BF46" s="6">
        <v>0.98349834983498352</v>
      </c>
      <c r="BG46" s="6">
        <v>1.103569082548719</v>
      </c>
      <c r="BH46" s="6">
        <v>1.1043862631757906</v>
      </c>
      <c r="BI46" s="6">
        <v>1.0107411385606875</v>
      </c>
      <c r="BJ46" s="6">
        <v>0.99705882352941178</v>
      </c>
      <c r="BK46" s="6">
        <v>1.1634113793521776</v>
      </c>
      <c r="BL46" s="6">
        <v>0.83981154299175498</v>
      </c>
      <c r="BM46" s="6">
        <v>1.1115433327302333</v>
      </c>
      <c r="BN46" s="6">
        <v>1.1466666666666667</v>
      </c>
      <c r="BO46" s="6">
        <v>1.2383838383838384</v>
      </c>
      <c r="BP46" s="6">
        <v>1.0437317784256559</v>
      </c>
      <c r="BQ46" s="6">
        <v>1.1370699223085461</v>
      </c>
      <c r="BR46" s="6">
        <v>1.0786885245901638</v>
      </c>
      <c r="BS46" s="6">
        <v>1.1300211416490487</v>
      </c>
      <c r="BT46" s="6">
        <v>1.0596293311845286</v>
      </c>
      <c r="BU46" s="6">
        <v>1.1011918147065438</v>
      </c>
      <c r="BV46" s="6">
        <v>1.2207446808510638</v>
      </c>
      <c r="BW46" s="6">
        <v>1.1935483870967742</v>
      </c>
      <c r="BX46" s="6">
        <v>1</v>
      </c>
      <c r="BY46" s="6" t="s">
        <v>277</v>
      </c>
      <c r="BZ46" s="6">
        <v>1.2379471228615864</v>
      </c>
      <c r="CA46" s="6">
        <v>1.1029411764705883</v>
      </c>
      <c r="CB46" s="6">
        <v>1.0638949113633465</v>
      </c>
    </row>
    <row r="47" spans="1:80">
      <c r="A47" s="6" t="s">
        <v>170</v>
      </c>
      <c r="B47" s="6" t="s">
        <v>196</v>
      </c>
      <c r="C47" s="6">
        <v>1.1486359360301035</v>
      </c>
      <c r="D47" s="6">
        <v>1</v>
      </c>
      <c r="E47" s="6">
        <v>0.85507246376811596</v>
      </c>
      <c r="F47" s="6">
        <v>1.2383419689119171</v>
      </c>
      <c r="G47" s="6">
        <v>1.1553090332805072</v>
      </c>
      <c r="H47" s="6">
        <v>1.1274509803921569</v>
      </c>
      <c r="I47" s="6">
        <v>1.1288135593220339</v>
      </c>
      <c r="J47" s="6">
        <v>1.1555555555555554</v>
      </c>
      <c r="K47" s="6">
        <v>1.1649484536082475</v>
      </c>
      <c r="L47" s="6">
        <v>1.1567164179104477</v>
      </c>
      <c r="M47" s="6">
        <v>1.1796200345423142</v>
      </c>
      <c r="N47" s="6">
        <v>1.0847145488029466</v>
      </c>
      <c r="O47" s="6">
        <v>1.0822942643391522</v>
      </c>
      <c r="P47" s="6">
        <v>1.083916083916084</v>
      </c>
      <c r="Q47" s="6">
        <v>1.0423620025673941</v>
      </c>
      <c r="R47" s="6">
        <v>0</v>
      </c>
      <c r="S47" s="6">
        <v>0.70329670329670335</v>
      </c>
      <c r="T47" s="6">
        <v>0.90769230769230769</v>
      </c>
      <c r="U47" s="6">
        <v>1.0389610389610389</v>
      </c>
      <c r="V47" s="6">
        <v>1.3951612903225807</v>
      </c>
      <c r="W47" s="6">
        <v>0.93288590604026844</v>
      </c>
      <c r="X47" s="6">
        <v>1.1575757575757575</v>
      </c>
      <c r="Y47" s="6">
        <v>1.0050251256281406</v>
      </c>
      <c r="Z47" s="6">
        <v>1.0746887966804979</v>
      </c>
      <c r="AA47" s="6">
        <v>0.86032630322323911</v>
      </c>
      <c r="AB47" s="6">
        <v>2.1538461538461537</v>
      </c>
      <c r="AC47" s="6">
        <v>0.85903173311635472</v>
      </c>
      <c r="AD47" s="6">
        <v>0.76595744680851063</v>
      </c>
      <c r="AE47" s="6">
        <v>1</v>
      </c>
      <c r="AF47" s="6">
        <v>0.66666666666666663</v>
      </c>
      <c r="AG47" s="6">
        <v>0.9916666666666667</v>
      </c>
      <c r="AH47" s="6">
        <v>1.1428571428571428</v>
      </c>
      <c r="AI47" s="6">
        <v>1.1742045333617113</v>
      </c>
      <c r="AJ47" s="6">
        <v>1.0942028985507246</v>
      </c>
      <c r="AK47" s="6">
        <v>1.2287066246056781</v>
      </c>
      <c r="AL47" s="6">
        <v>1.1105882352941177</v>
      </c>
      <c r="AM47" s="6">
        <v>1.2835214446952596</v>
      </c>
      <c r="AN47" s="6">
        <v>1.220414201183432</v>
      </c>
      <c r="AO47" s="6">
        <v>1.172465960665658</v>
      </c>
      <c r="AP47" s="6">
        <v>1.0907127429805616</v>
      </c>
      <c r="AQ47" s="6">
        <v>1.1551724137931034</v>
      </c>
      <c r="AR47" s="6">
        <v>1.1520692974013476</v>
      </c>
      <c r="AS47" s="6">
        <v>1.1293260473588342</v>
      </c>
      <c r="AT47" s="6">
        <v>0.86163522012578619</v>
      </c>
      <c r="AU47" s="6">
        <v>1.1531058617672791</v>
      </c>
      <c r="AV47" s="6">
        <v>1.138586956521739</v>
      </c>
      <c r="AW47" s="6">
        <v>1.1412984178941625</v>
      </c>
      <c r="AX47" s="6">
        <v>1.0901467505241089</v>
      </c>
      <c r="AY47" s="6">
        <v>1.1639221556886228</v>
      </c>
      <c r="AZ47" s="6">
        <v>1.0975443383356072</v>
      </c>
      <c r="BA47" s="6">
        <v>1.2630057803468209</v>
      </c>
      <c r="BB47" s="6">
        <v>1.1227336122733613</v>
      </c>
      <c r="BC47" s="6">
        <v>1.1455630781952555</v>
      </c>
      <c r="BD47" s="6">
        <v>1.108094262295082</v>
      </c>
      <c r="BE47" s="6">
        <v>1.1049107142857142</v>
      </c>
      <c r="BF47" s="6">
        <v>0.89093959731543626</v>
      </c>
      <c r="BG47" s="6">
        <v>1.1617063492063493</v>
      </c>
      <c r="BH47" s="6">
        <v>1.0912869458128078</v>
      </c>
      <c r="BI47" s="6">
        <v>1.099893730074389</v>
      </c>
      <c r="BJ47" s="6">
        <v>1.1240904621435595</v>
      </c>
      <c r="BK47" s="6">
        <v>1.2225234619395204</v>
      </c>
      <c r="BL47" s="6">
        <v>1.2435717625058438</v>
      </c>
      <c r="BM47" s="6">
        <v>1.1845853340929438</v>
      </c>
      <c r="BN47" s="6">
        <v>1.1976744186046511</v>
      </c>
      <c r="BO47" s="6">
        <v>1.2251223491027732</v>
      </c>
      <c r="BP47" s="6">
        <v>1.005586592178771</v>
      </c>
      <c r="BQ47" s="6">
        <v>1.1805758906783796</v>
      </c>
      <c r="BR47" s="6">
        <v>1.1854103343465046</v>
      </c>
      <c r="BS47" s="6">
        <v>1.1492048643592143</v>
      </c>
      <c r="BT47" s="6">
        <v>1.0806083650190115</v>
      </c>
      <c r="BU47" s="6">
        <v>1.2370839289360833</v>
      </c>
      <c r="BV47" s="6">
        <v>3.6699346405228757</v>
      </c>
      <c r="BW47" s="6">
        <v>1.1621621621621621</v>
      </c>
      <c r="BX47" s="6">
        <v>0.44444444444444442</v>
      </c>
      <c r="BY47" s="6" t="s">
        <v>277</v>
      </c>
      <c r="BZ47" s="6">
        <v>3.987437185929648</v>
      </c>
      <c r="CA47" s="6">
        <v>1.9733333333333334</v>
      </c>
      <c r="CB47" s="6">
        <v>1.1600695276912012</v>
      </c>
    </row>
    <row r="48" spans="1:80">
      <c r="A48" s="6" t="s">
        <v>171</v>
      </c>
      <c r="B48" s="6" t="s">
        <v>196</v>
      </c>
      <c r="C48" s="6">
        <v>1.0485940485940486</v>
      </c>
      <c r="D48" s="6">
        <v>1.0416666666666667</v>
      </c>
      <c r="E48" s="6">
        <v>1.6610169491525424</v>
      </c>
      <c r="F48" s="6">
        <v>1.1464435146443515</v>
      </c>
      <c r="G48" s="6">
        <v>1.0685871056241427</v>
      </c>
      <c r="H48" s="6">
        <v>1.1000000000000001</v>
      </c>
      <c r="I48" s="6">
        <v>1.1141141141141142</v>
      </c>
      <c r="J48" s="6">
        <v>1.0192307692307692</v>
      </c>
      <c r="K48" s="6">
        <v>0.92920353982300885</v>
      </c>
      <c r="L48" s="6">
        <v>0.92903225806451617</v>
      </c>
      <c r="M48" s="6">
        <v>1.0146412884333822</v>
      </c>
      <c r="N48" s="6">
        <v>1.1409168081494059</v>
      </c>
      <c r="O48" s="6">
        <v>1.1428571428571428</v>
      </c>
      <c r="P48" s="6">
        <v>1.1354838709677419</v>
      </c>
      <c r="Q48" s="6">
        <v>1</v>
      </c>
      <c r="R48" s="6" t="s">
        <v>277</v>
      </c>
      <c r="S48" s="6">
        <v>1.0625</v>
      </c>
      <c r="T48" s="6">
        <v>0.88135593220338981</v>
      </c>
      <c r="U48" s="6">
        <v>1.0125</v>
      </c>
      <c r="V48" s="6">
        <v>1.1734104046242775</v>
      </c>
      <c r="W48" s="6">
        <v>1</v>
      </c>
      <c r="X48" s="6">
        <v>0.82198952879581155</v>
      </c>
      <c r="Y48" s="6">
        <v>0.91</v>
      </c>
      <c r="Z48" s="6">
        <v>1.0888030888030888</v>
      </c>
      <c r="AA48" s="6">
        <v>1.3665587419056429</v>
      </c>
      <c r="AB48" s="6">
        <v>0.9285714285714286</v>
      </c>
      <c r="AC48" s="6">
        <v>1.3727208145867866</v>
      </c>
      <c r="AD48" s="6">
        <v>1.1944444444444444</v>
      </c>
      <c r="AE48" s="6">
        <v>1.0629629629629629</v>
      </c>
      <c r="AF48" s="6">
        <v>1</v>
      </c>
      <c r="AG48" s="6">
        <v>1.0252100840336134</v>
      </c>
      <c r="AH48" s="6">
        <v>1.4166666666666667</v>
      </c>
      <c r="AI48" s="6">
        <v>1.0665216603226391</v>
      </c>
      <c r="AJ48" s="6">
        <v>1.1289183222958057</v>
      </c>
      <c r="AK48" s="6">
        <v>0.84724005134788194</v>
      </c>
      <c r="AL48" s="6">
        <v>1.0593220338983051</v>
      </c>
      <c r="AM48" s="6">
        <v>1.1297924727400632</v>
      </c>
      <c r="AN48" s="6">
        <v>1.0715151515151515</v>
      </c>
      <c r="AO48" s="6">
        <v>0.96258064516129027</v>
      </c>
      <c r="AP48" s="6">
        <v>1.0306930693069307</v>
      </c>
      <c r="AQ48" s="6">
        <v>1.034443168771527</v>
      </c>
      <c r="AR48" s="6">
        <v>1.0534670008354219</v>
      </c>
      <c r="AS48" s="6">
        <v>0.99278033794162823</v>
      </c>
      <c r="AT48" s="6">
        <v>1.1605839416058394</v>
      </c>
      <c r="AU48" s="6">
        <v>0.93399089529590285</v>
      </c>
      <c r="AV48" s="6">
        <v>1.2171837708830548</v>
      </c>
      <c r="AW48" s="6">
        <v>1.0449330783938815</v>
      </c>
      <c r="AX48" s="6">
        <v>0.99192307692307691</v>
      </c>
      <c r="AY48" s="6">
        <v>1.0790996784565916</v>
      </c>
      <c r="AZ48" s="6">
        <v>0.87818520820385337</v>
      </c>
      <c r="BA48" s="6">
        <v>0.90846681922196793</v>
      </c>
      <c r="BB48" s="6">
        <v>0.98716356107660452</v>
      </c>
      <c r="BC48" s="6">
        <v>1.078297353996075</v>
      </c>
      <c r="BD48" s="6">
        <v>1.0924641701340732</v>
      </c>
      <c r="BE48" s="6">
        <v>0.91200897867564534</v>
      </c>
      <c r="BF48" s="6">
        <v>0.82109227871939738</v>
      </c>
      <c r="BG48" s="6">
        <v>0.91460290350128093</v>
      </c>
      <c r="BH48" s="6">
        <v>1.0155169981661729</v>
      </c>
      <c r="BI48" s="6">
        <v>1.4268115942028985</v>
      </c>
      <c r="BJ48" s="6">
        <v>1.0316655003498951</v>
      </c>
      <c r="BK48" s="6">
        <v>1.0553565336062778</v>
      </c>
      <c r="BL48" s="6">
        <v>1.5819548872180451</v>
      </c>
      <c r="BM48" s="6">
        <v>0.99732050841635178</v>
      </c>
      <c r="BN48" s="6">
        <v>1.051779935275081</v>
      </c>
      <c r="BO48" s="6">
        <v>1.1890812250332889</v>
      </c>
      <c r="BP48" s="6">
        <v>1.0611111111111111</v>
      </c>
      <c r="BQ48" s="6">
        <v>1.0636626705250103</v>
      </c>
      <c r="BR48" s="6">
        <v>1.0025641025641026</v>
      </c>
      <c r="BS48" s="6">
        <v>1.0150590150590151</v>
      </c>
      <c r="BT48" s="6">
        <v>1.0182969739619987</v>
      </c>
      <c r="BU48" s="6">
        <v>0.92720369758996368</v>
      </c>
      <c r="BV48" s="6">
        <v>0.64351439596319382</v>
      </c>
      <c r="BW48" s="6">
        <v>0.86046511627906974</v>
      </c>
      <c r="BX48" s="6">
        <v>1.75</v>
      </c>
      <c r="BY48" s="6" t="s">
        <v>277</v>
      </c>
      <c r="BZ48" s="6">
        <v>0.63169502205419026</v>
      </c>
      <c r="CA48" s="6">
        <v>0.7567567567567568</v>
      </c>
      <c r="CB48" s="6">
        <v>1.0490219379372345</v>
      </c>
    </row>
    <row r="49" spans="1:80">
      <c r="A49" s="6" t="s">
        <v>172</v>
      </c>
      <c r="B49" s="6" t="s">
        <v>196</v>
      </c>
      <c r="C49" s="6">
        <v>1.0627440770632648</v>
      </c>
      <c r="D49" s="6">
        <v>0.77600000000000002</v>
      </c>
      <c r="E49" s="6">
        <v>1.653061224489796</v>
      </c>
      <c r="F49" s="6">
        <v>1.0109489051094891</v>
      </c>
      <c r="G49" s="6">
        <v>1.0308087291399231</v>
      </c>
      <c r="H49" s="6">
        <v>1.1699604743083003</v>
      </c>
      <c r="I49" s="6">
        <v>1.0026954177897573</v>
      </c>
      <c r="J49" s="6">
        <v>1.1132075471698113</v>
      </c>
      <c r="K49" s="6">
        <v>0.9555555555555556</v>
      </c>
      <c r="L49" s="6">
        <v>1.0555555555555556</v>
      </c>
      <c r="M49" s="6">
        <v>1.1933621933621934</v>
      </c>
      <c r="N49" s="6">
        <v>1.1860119047619047</v>
      </c>
      <c r="O49" s="6">
        <v>1.2318548387096775</v>
      </c>
      <c r="P49" s="6">
        <v>1.0568181818181819</v>
      </c>
      <c r="Q49" s="6">
        <v>1.2580049261083743</v>
      </c>
      <c r="R49" s="6" t="s">
        <v>277</v>
      </c>
      <c r="S49" s="6">
        <v>1.338235294117647</v>
      </c>
      <c r="T49" s="6">
        <v>1.125</v>
      </c>
      <c r="U49" s="6">
        <v>1.3703703703703705</v>
      </c>
      <c r="V49" s="6">
        <v>1.6600985221674878</v>
      </c>
      <c r="W49" s="6">
        <v>1.0503597122302157</v>
      </c>
      <c r="X49" s="6">
        <v>1.1210191082802548</v>
      </c>
      <c r="Y49" s="6">
        <v>1.2802197802197801</v>
      </c>
      <c r="Z49" s="6">
        <v>0.96453900709219853</v>
      </c>
      <c r="AA49" s="6">
        <v>1.6060247080724319</v>
      </c>
      <c r="AB49" s="6">
        <v>0.61538461538461542</v>
      </c>
      <c r="AC49" s="6">
        <v>1.6068656201483527</v>
      </c>
      <c r="AD49" s="6">
        <v>1.8837209302325582</v>
      </c>
      <c r="AE49" s="6">
        <v>0.98606271777003485</v>
      </c>
      <c r="AF49" s="6">
        <v>1.5</v>
      </c>
      <c r="AG49" s="6">
        <v>0.97131147540983609</v>
      </c>
      <c r="AH49" s="6">
        <v>1.0294117647058822</v>
      </c>
      <c r="AI49" s="6">
        <v>1.1312032630863358</v>
      </c>
      <c r="AJ49" s="6">
        <v>1.1357059053578413</v>
      </c>
      <c r="AK49" s="6">
        <v>1.1287878787878789</v>
      </c>
      <c r="AL49" s="6">
        <v>1.0920000000000001</v>
      </c>
      <c r="AM49" s="6">
        <v>1.2459526774595269</v>
      </c>
      <c r="AN49" s="6">
        <v>1.0791855203619909</v>
      </c>
      <c r="AO49" s="6">
        <v>0.97721179624664878</v>
      </c>
      <c r="AP49" s="6">
        <v>1.096061479346782</v>
      </c>
      <c r="AQ49" s="6">
        <v>1.0810210876803552</v>
      </c>
      <c r="AR49" s="6">
        <v>1.0452022204599525</v>
      </c>
      <c r="AS49" s="6">
        <v>1.0961627727061736</v>
      </c>
      <c r="AT49" s="6">
        <v>1.1132075471698113</v>
      </c>
      <c r="AU49" s="6">
        <v>1.065800162469537</v>
      </c>
      <c r="AV49" s="6">
        <v>1.1196078431372549</v>
      </c>
      <c r="AW49" s="6">
        <v>1.1285452881976212</v>
      </c>
      <c r="AX49" s="6">
        <v>1.0321830166731292</v>
      </c>
      <c r="AY49" s="6">
        <v>1.1561382598331347</v>
      </c>
      <c r="AZ49" s="6">
        <v>1.0658174097664543</v>
      </c>
      <c r="BA49" s="6">
        <v>1.0654911838790933</v>
      </c>
      <c r="BB49" s="6">
        <v>1.1258389261744965</v>
      </c>
      <c r="BC49" s="6">
        <v>1.1396175892222082</v>
      </c>
      <c r="BD49" s="6">
        <v>1.1515023275497249</v>
      </c>
      <c r="BE49" s="6">
        <v>0.97760275658380502</v>
      </c>
      <c r="BF49" s="6">
        <v>0.99770642201834858</v>
      </c>
      <c r="BG49" s="6">
        <v>1.0412698412698413</v>
      </c>
      <c r="BH49" s="6">
        <v>1.1804417280177804</v>
      </c>
      <c r="BI49" s="6">
        <v>1.3934315219231421</v>
      </c>
      <c r="BJ49" s="6">
        <v>1.1471934882143462</v>
      </c>
      <c r="BK49" s="6">
        <v>1.141356178776368</v>
      </c>
      <c r="BL49" s="6">
        <v>0.98716730038022815</v>
      </c>
      <c r="BM49" s="6">
        <v>1.1337145219068614</v>
      </c>
      <c r="BN49" s="6">
        <v>1.1538461538461537</v>
      </c>
      <c r="BO49" s="6">
        <v>1.2430011198208286</v>
      </c>
      <c r="BP49" s="6">
        <v>1.1884816753926701</v>
      </c>
      <c r="BQ49" s="6">
        <v>1.1884959191605131</v>
      </c>
      <c r="BR49" s="6">
        <v>1.1547314578005115</v>
      </c>
      <c r="BS49" s="6">
        <v>1.0649558941459503</v>
      </c>
      <c r="BT49" s="6">
        <v>1.1036627505183139</v>
      </c>
      <c r="BU49" s="6">
        <v>1.1212390956026348</v>
      </c>
      <c r="BV49" s="6">
        <v>0.85285977859778594</v>
      </c>
      <c r="BW49" s="6">
        <v>1.5945945945945945</v>
      </c>
      <c r="BX49" s="6">
        <v>1.2857142857142858</v>
      </c>
      <c r="BY49" s="6">
        <v>0.2</v>
      </c>
      <c r="BZ49" s="6">
        <v>0.82094763092269329</v>
      </c>
      <c r="CA49" s="6">
        <v>1.1964285714285714</v>
      </c>
      <c r="CB49" s="6">
        <v>1.1520632012372312</v>
      </c>
    </row>
    <row r="50" spans="1:80">
      <c r="A50" s="6" t="s">
        <v>173</v>
      </c>
      <c r="B50" s="6" t="s">
        <v>196</v>
      </c>
      <c r="C50" s="6">
        <v>1.0928466438020579</v>
      </c>
      <c r="D50" s="6">
        <v>0.7010309278350515</v>
      </c>
      <c r="E50" s="6">
        <v>1.0802469135802468</v>
      </c>
      <c r="F50" s="6">
        <v>1.1841155234657039</v>
      </c>
      <c r="G50" s="6">
        <v>1.1270236612702367</v>
      </c>
      <c r="H50" s="6">
        <v>1.0101351351351351</v>
      </c>
      <c r="I50" s="6">
        <v>1.0725806451612903</v>
      </c>
      <c r="J50" s="6">
        <v>1.0847457627118644</v>
      </c>
      <c r="K50" s="6">
        <v>1.0033222591362125</v>
      </c>
      <c r="L50" s="6">
        <v>1.5526315789473684</v>
      </c>
      <c r="M50" s="6">
        <v>1.1100362756952842</v>
      </c>
      <c r="N50" s="6">
        <v>1.1731493099121706</v>
      </c>
      <c r="O50" s="6">
        <v>1.1767594108019639</v>
      </c>
      <c r="P50" s="6">
        <v>1.1666666666666667</v>
      </c>
      <c r="Q50" s="6">
        <v>0.85364659813999022</v>
      </c>
      <c r="R50" s="6" t="s">
        <v>277</v>
      </c>
      <c r="S50" s="6">
        <v>0.45054945054945056</v>
      </c>
      <c r="T50" s="6">
        <v>1.1196581196581197</v>
      </c>
      <c r="U50" s="6">
        <v>0.65315315315315314</v>
      </c>
      <c r="V50" s="6">
        <v>0.73293768545994065</v>
      </c>
      <c r="W50" s="6">
        <v>0.99315068493150682</v>
      </c>
      <c r="X50" s="6">
        <v>1.1590909090909092</v>
      </c>
      <c r="Y50" s="6">
        <v>1.1416309012875536</v>
      </c>
      <c r="Z50" s="6">
        <v>0.98897058823529416</v>
      </c>
      <c r="AA50" s="6">
        <v>1.0476290832455215</v>
      </c>
      <c r="AB50" s="6">
        <v>0.75</v>
      </c>
      <c r="AC50" s="6">
        <v>1.0521739130434782</v>
      </c>
      <c r="AD50" s="6">
        <v>0.80864197530864201</v>
      </c>
      <c r="AE50" s="6">
        <v>1.0070671378091873</v>
      </c>
      <c r="AF50" s="6">
        <v>1.7777777777777777</v>
      </c>
      <c r="AG50" s="6">
        <v>1.0042194092827004</v>
      </c>
      <c r="AH50" s="6">
        <v>0.94285714285714284</v>
      </c>
      <c r="AI50" s="6">
        <v>1.0955528846153846</v>
      </c>
      <c r="AJ50" s="6">
        <v>0.9276859504132231</v>
      </c>
      <c r="AK50" s="6">
        <v>1.4617449664429529</v>
      </c>
      <c r="AL50" s="6">
        <v>1.0329670329670331</v>
      </c>
      <c r="AM50" s="6">
        <v>1.1539230384807597</v>
      </c>
      <c r="AN50" s="6">
        <v>1.2264150943396226</v>
      </c>
      <c r="AO50" s="6">
        <v>1.1412894375857339</v>
      </c>
      <c r="AP50" s="6">
        <v>1.0490797546012269</v>
      </c>
      <c r="AQ50" s="6">
        <v>1.0071868583162218</v>
      </c>
      <c r="AR50" s="6">
        <v>1.0918057663125948</v>
      </c>
      <c r="AS50" s="6">
        <v>1.0011998023854896</v>
      </c>
      <c r="AT50" s="6">
        <v>1.1186440677966101</v>
      </c>
      <c r="AU50" s="6">
        <v>1.1661585365853659</v>
      </c>
      <c r="AV50" s="6">
        <v>0.93169877408056045</v>
      </c>
      <c r="AW50" s="6">
        <v>0.94041345764085937</v>
      </c>
      <c r="AX50" s="6">
        <v>0.94477836213373401</v>
      </c>
      <c r="AY50" s="6">
        <v>0.97113402061855669</v>
      </c>
      <c r="AZ50" s="6">
        <v>1.0517928286852589</v>
      </c>
      <c r="BA50" s="6">
        <v>1.0768321513002364</v>
      </c>
      <c r="BB50" s="6">
        <v>1.0111773472429211</v>
      </c>
      <c r="BC50" s="6">
        <v>0.95855055437256775</v>
      </c>
      <c r="BD50" s="6">
        <v>1.1231165012862918</v>
      </c>
      <c r="BE50" s="6">
        <v>0.98237663645518636</v>
      </c>
      <c r="BF50" s="6">
        <v>1.1954022988505748</v>
      </c>
      <c r="BG50" s="6">
        <v>1.0964849354375896</v>
      </c>
      <c r="BH50" s="6">
        <v>0.9213932690044716</v>
      </c>
      <c r="BI50" s="6">
        <v>0.85724699307496055</v>
      </c>
      <c r="BJ50" s="6">
        <v>0.97767923133776791</v>
      </c>
      <c r="BK50" s="6">
        <v>1.0061606004815182</v>
      </c>
      <c r="BL50" s="6">
        <v>0.70341839191141065</v>
      </c>
      <c r="BM50" s="6">
        <v>1.0355471835693018</v>
      </c>
      <c r="BN50" s="6">
        <v>1.0373333333333334</v>
      </c>
      <c r="BO50" s="6">
        <v>1.0171171171171172</v>
      </c>
      <c r="BP50" s="6">
        <v>1.0506607929515419</v>
      </c>
      <c r="BQ50" s="6">
        <v>1.0359712230215827</v>
      </c>
      <c r="BR50" s="6">
        <v>1.0398671096345515</v>
      </c>
      <c r="BS50" s="6">
        <v>1.1189759036144578</v>
      </c>
      <c r="BT50" s="6">
        <v>1.0100187852222917</v>
      </c>
      <c r="BU50" s="6">
        <v>1.0088917116544935</v>
      </c>
      <c r="BV50" s="6">
        <v>1.2682531097890752</v>
      </c>
      <c r="BW50" s="6">
        <v>0.72881355932203384</v>
      </c>
      <c r="BX50" s="6">
        <v>0.77777777777777779</v>
      </c>
      <c r="BY50" s="6">
        <v>0</v>
      </c>
      <c r="BZ50" s="6">
        <v>1.3092345078979344</v>
      </c>
      <c r="CA50" s="6">
        <v>1.0298507462686568</v>
      </c>
      <c r="CB50" s="6">
        <v>1.0067633428527456</v>
      </c>
    </row>
    <row r="51" spans="1:80">
      <c r="A51" s="6" t="s">
        <v>174</v>
      </c>
      <c r="B51" s="6" t="s">
        <v>196</v>
      </c>
      <c r="C51" s="6">
        <v>1.0699394754539342</v>
      </c>
      <c r="D51" s="6">
        <v>1.25</v>
      </c>
      <c r="E51" s="6">
        <v>1.2514285714285713</v>
      </c>
      <c r="F51" s="6">
        <v>0.90243902439024393</v>
      </c>
      <c r="G51" s="6">
        <v>1.0143646408839779</v>
      </c>
      <c r="H51" s="6">
        <v>1.0100334448160535</v>
      </c>
      <c r="I51" s="6">
        <v>1.0889724310776943</v>
      </c>
      <c r="J51" s="6">
        <v>1.1796875</v>
      </c>
      <c r="K51" s="6">
        <v>1.1026490066225165</v>
      </c>
      <c r="L51" s="6">
        <v>1.2796610169491525</v>
      </c>
      <c r="M51" s="6">
        <v>1.0533769063180829</v>
      </c>
      <c r="N51" s="6">
        <v>1.0352941176470589</v>
      </c>
      <c r="O51" s="6">
        <v>0.94714881780250348</v>
      </c>
      <c r="P51" s="6">
        <v>1.3087557603686637</v>
      </c>
      <c r="Q51" s="6">
        <v>1.0808486238532109</v>
      </c>
      <c r="R51" s="6">
        <v>1.5</v>
      </c>
      <c r="S51" s="6">
        <v>1.0975609756097562</v>
      </c>
      <c r="T51" s="6">
        <v>0.93129770992366412</v>
      </c>
      <c r="U51" s="6">
        <v>1.289655172413793</v>
      </c>
      <c r="V51" s="6">
        <v>1.0161943319838056</v>
      </c>
      <c r="W51" s="6">
        <v>1.1241379310344828</v>
      </c>
      <c r="X51" s="6">
        <v>1.0098039215686274</v>
      </c>
      <c r="Y51" s="6">
        <v>0.94360902255639101</v>
      </c>
      <c r="Z51" s="6">
        <v>1.0520446096654275</v>
      </c>
      <c r="AA51" s="6">
        <v>0.93592838463085903</v>
      </c>
      <c r="AB51" s="6">
        <v>1.8333333333333333</v>
      </c>
      <c r="AC51" s="6">
        <v>0.9349046015712682</v>
      </c>
      <c r="AD51" s="6">
        <v>0.92366412213740456</v>
      </c>
      <c r="AE51" s="6">
        <v>1.1894736842105262</v>
      </c>
      <c r="AF51" s="6">
        <v>1.125</v>
      </c>
      <c r="AG51" s="6">
        <v>1.1890756302521008</v>
      </c>
      <c r="AH51" s="6">
        <v>1.2121212121212122</v>
      </c>
      <c r="AI51" s="6">
        <v>1.0109709270433351</v>
      </c>
      <c r="AJ51" s="6">
        <v>0.91017074981440238</v>
      </c>
      <c r="AK51" s="6">
        <v>0.65013774104683197</v>
      </c>
      <c r="AL51" s="6">
        <v>0.96276595744680848</v>
      </c>
      <c r="AM51" s="6">
        <v>1.1255954958856649</v>
      </c>
      <c r="AN51" s="6">
        <v>1.0384615384615385</v>
      </c>
      <c r="AO51" s="6">
        <v>0.94831730769230771</v>
      </c>
      <c r="AP51" s="6">
        <v>1.0852130325814537</v>
      </c>
      <c r="AQ51" s="6">
        <v>1.0479102956167177</v>
      </c>
      <c r="AR51" s="6">
        <v>1.0500347463516331</v>
      </c>
      <c r="AS51" s="6">
        <v>1.0998167207105598</v>
      </c>
      <c r="AT51" s="6">
        <v>1.0858585858585859</v>
      </c>
      <c r="AU51" s="6">
        <v>1.1176470588235294</v>
      </c>
      <c r="AV51" s="6">
        <v>1.2462406015037595</v>
      </c>
      <c r="AW51" s="6">
        <v>1.0521551724137932</v>
      </c>
      <c r="AX51" s="6">
        <v>1.0763419483101391</v>
      </c>
      <c r="AY51" s="6">
        <v>1.1077494692144374</v>
      </c>
      <c r="AZ51" s="6">
        <v>1.1597222222222223</v>
      </c>
      <c r="BA51" s="6">
        <v>1.0482985729967069</v>
      </c>
      <c r="BB51" s="6">
        <v>1.099852616064849</v>
      </c>
      <c r="BC51" s="6">
        <v>1.1194798728407829</v>
      </c>
      <c r="BD51" s="6">
        <v>1.0134162303664922</v>
      </c>
      <c r="BE51" s="6">
        <v>1.141978472578165</v>
      </c>
      <c r="BF51" s="6">
        <v>1.1557692307692307</v>
      </c>
      <c r="BG51" s="6">
        <v>1.097317631665031</v>
      </c>
      <c r="BH51" s="6">
        <v>1.0167305236270754</v>
      </c>
      <c r="BI51" s="6">
        <v>0.96301020408163263</v>
      </c>
      <c r="BJ51" s="6">
        <v>1.0263078318717871</v>
      </c>
      <c r="BK51" s="6">
        <v>1.1142233795481737</v>
      </c>
      <c r="BL51" s="6">
        <v>2.1276522929500343</v>
      </c>
      <c r="BM51" s="6">
        <v>1.0789813402182842</v>
      </c>
      <c r="BN51" s="6">
        <v>1.0771208226221081</v>
      </c>
      <c r="BO51" s="6">
        <v>1.2258635961027458</v>
      </c>
      <c r="BP51" s="6">
        <v>0.97903563941299787</v>
      </c>
      <c r="BQ51" s="6">
        <v>1.0549242424242424</v>
      </c>
      <c r="BR51" s="6">
        <v>1.1001064962726304</v>
      </c>
      <c r="BS51" s="6">
        <v>1.0033647375504711</v>
      </c>
      <c r="BT51" s="6">
        <v>0.96466212027278364</v>
      </c>
      <c r="BU51" s="6">
        <v>1.1339313818067358</v>
      </c>
      <c r="BV51" s="6">
        <v>1.3658848614072494</v>
      </c>
      <c r="BW51" s="6">
        <v>0.93023255813953487</v>
      </c>
      <c r="BX51" s="6">
        <v>1.1428571428571428</v>
      </c>
      <c r="BY51" s="6" t="s">
        <v>277</v>
      </c>
      <c r="BZ51" s="6">
        <v>1.1661252900232018</v>
      </c>
      <c r="CA51" s="6">
        <v>4.6594202898550723</v>
      </c>
      <c r="CB51" s="6">
        <v>1.0842498619898935</v>
      </c>
    </row>
    <row r="52" spans="1:80">
      <c r="A52" s="6" t="s">
        <v>175</v>
      </c>
      <c r="B52" s="6" t="s">
        <v>196</v>
      </c>
      <c r="C52" s="6">
        <v>1.0833857112926881</v>
      </c>
      <c r="D52" s="6">
        <v>0.96470588235294119</v>
      </c>
      <c r="E52" s="6">
        <v>1.0684931506849316</v>
      </c>
      <c r="F52" s="6">
        <v>1.0777027027027026</v>
      </c>
      <c r="G52" s="6">
        <v>1.0337690631808278</v>
      </c>
      <c r="H52" s="6">
        <v>1.3543046357615893</v>
      </c>
      <c r="I52" s="6">
        <v>1.1012658227848102</v>
      </c>
      <c r="J52" s="6">
        <v>1.2715231788079471</v>
      </c>
      <c r="K52" s="6">
        <v>1.0060060060060061</v>
      </c>
      <c r="L52" s="6">
        <v>1.0264900662251655</v>
      </c>
      <c r="M52" s="6">
        <v>1.0847983453981385</v>
      </c>
      <c r="N52" s="6">
        <v>0.99173553719008267</v>
      </c>
      <c r="O52" s="6">
        <v>1.0352422907488987</v>
      </c>
      <c r="P52" s="6">
        <v>0.89436619718309862</v>
      </c>
      <c r="Q52" s="6">
        <v>1.0286472148541115</v>
      </c>
      <c r="R52" s="6">
        <v>0.66666666666666663</v>
      </c>
      <c r="S52" s="6">
        <v>1.5777777777777777</v>
      </c>
      <c r="T52" s="6">
        <v>1.0901639344262295</v>
      </c>
      <c r="U52" s="6">
        <v>1.0659536541889483</v>
      </c>
      <c r="V52" s="6">
        <v>0.92828685258964139</v>
      </c>
      <c r="W52" s="6">
        <v>1.0245398773006136</v>
      </c>
      <c r="X52" s="6">
        <v>0.91747572815533984</v>
      </c>
      <c r="Y52" s="6">
        <v>1.0756972111553784</v>
      </c>
      <c r="Z52" s="6">
        <v>0.96819787985865724</v>
      </c>
      <c r="AA52" s="6">
        <v>1.078022568511553</v>
      </c>
      <c r="AB52" s="6">
        <v>0.77272727272727271</v>
      </c>
      <c r="AC52" s="6">
        <v>1.0822874604387209</v>
      </c>
      <c r="AD52" s="6">
        <v>0.81818181818181823</v>
      </c>
      <c r="AE52" s="6">
        <v>1.0471976401179941</v>
      </c>
      <c r="AF52" s="6">
        <v>1.3888888888888888</v>
      </c>
      <c r="AG52" s="6">
        <v>1.0247349823321554</v>
      </c>
      <c r="AH52" s="6">
        <v>1.05</v>
      </c>
      <c r="AI52" s="6">
        <v>1.0130222463374932</v>
      </c>
      <c r="AJ52" s="6">
        <v>0.96696574225122345</v>
      </c>
      <c r="AK52" s="6">
        <v>0.97740112994350281</v>
      </c>
      <c r="AL52" s="6">
        <v>0.98895027624309395</v>
      </c>
      <c r="AM52" s="6">
        <v>1.0631011927664487</v>
      </c>
      <c r="AN52" s="6">
        <v>1.0436213991769547</v>
      </c>
      <c r="AO52" s="6">
        <v>0.97211660329531047</v>
      </c>
      <c r="AP52" s="6">
        <v>0.98460354118552729</v>
      </c>
      <c r="AQ52" s="6">
        <v>1.0116731517509727</v>
      </c>
      <c r="AR52" s="6">
        <v>0.9649238914626076</v>
      </c>
      <c r="AS52" s="6">
        <v>1.0132675298038714</v>
      </c>
      <c r="AT52" s="6">
        <v>0.80930232558139537</v>
      </c>
      <c r="AU52" s="6">
        <v>1.012280701754386</v>
      </c>
      <c r="AV52" s="6">
        <v>0.99095022624434392</v>
      </c>
      <c r="AW52" s="6">
        <v>1.0139287177386318</v>
      </c>
      <c r="AX52" s="6">
        <v>0.9423716291097155</v>
      </c>
      <c r="AY52" s="6">
        <v>0.98418782942022043</v>
      </c>
      <c r="AZ52" s="6">
        <v>1.0876428960261295</v>
      </c>
      <c r="BA52" s="6">
        <v>1.0931937172774868</v>
      </c>
      <c r="BB52" s="6">
        <v>1.0452261306532664</v>
      </c>
      <c r="BC52" s="6">
        <v>1.0121456797304</v>
      </c>
      <c r="BD52" s="6">
        <v>0.97223119147562154</v>
      </c>
      <c r="BE52" s="6">
        <v>1.0231149012567324</v>
      </c>
      <c r="BF52" s="6">
        <v>1.3527454242928452</v>
      </c>
      <c r="BG52" s="6">
        <v>1.0368162170219108</v>
      </c>
      <c r="BH52" s="6">
        <v>0.9444793367667379</v>
      </c>
      <c r="BI52" s="6">
        <v>1.0342899190581309</v>
      </c>
      <c r="BJ52" s="6">
        <v>1.0160577489687683</v>
      </c>
      <c r="BK52" s="6">
        <v>1.0870389085396666</v>
      </c>
      <c r="BL52" s="6">
        <v>0.83191249798938394</v>
      </c>
      <c r="BM52" s="6">
        <v>0.99782466826190996</v>
      </c>
      <c r="BN52" s="6">
        <v>1.0763723150357996</v>
      </c>
      <c r="BO52" s="6">
        <v>1.0946531791907514</v>
      </c>
      <c r="BP52" s="6">
        <v>1.0042826552462527</v>
      </c>
      <c r="BQ52" s="6">
        <v>1.0062836624775584</v>
      </c>
      <c r="BR52" s="6">
        <v>0.88770571151984512</v>
      </c>
      <c r="BS52" s="6">
        <v>1.027833668678739</v>
      </c>
      <c r="BT52" s="6">
        <v>0.88560411311053988</v>
      </c>
      <c r="BU52" s="6">
        <v>0.99764052741151976</v>
      </c>
      <c r="BV52" s="6">
        <v>1.0206056821729628</v>
      </c>
      <c r="BW52" s="6">
        <v>0.72499999999999998</v>
      </c>
      <c r="BX52" s="6">
        <v>0.25</v>
      </c>
      <c r="BY52" s="6" t="s">
        <v>277</v>
      </c>
      <c r="BZ52" s="6">
        <v>1.1591723040191007</v>
      </c>
      <c r="CA52" s="6">
        <v>0.49922239502332816</v>
      </c>
      <c r="CB52" s="6">
        <v>1.01816472799906</v>
      </c>
    </row>
    <row r="53" spans="1:80">
      <c r="A53" s="6" t="s">
        <v>176</v>
      </c>
      <c r="B53" s="6" t="s">
        <v>196</v>
      </c>
      <c r="C53" s="6">
        <v>1.0193386192225875</v>
      </c>
      <c r="D53" s="6">
        <v>0.80487804878048785</v>
      </c>
      <c r="E53" s="6">
        <v>1.2179487179487178</v>
      </c>
      <c r="F53" s="6">
        <v>1.109717868338558</v>
      </c>
      <c r="G53" s="6">
        <v>0.96944151738672291</v>
      </c>
      <c r="H53" s="6">
        <v>0.93154034229828853</v>
      </c>
      <c r="I53" s="6">
        <v>1.1086729362591432</v>
      </c>
      <c r="J53" s="6">
        <v>0.90625</v>
      </c>
      <c r="K53" s="6">
        <v>1.0014925373134329</v>
      </c>
      <c r="L53" s="6">
        <v>0.8612903225806452</v>
      </c>
      <c r="M53" s="6">
        <v>1.0400381315538607</v>
      </c>
      <c r="N53" s="6">
        <v>0.99062499999999998</v>
      </c>
      <c r="O53" s="6">
        <v>1.1134751773049645</v>
      </c>
      <c r="P53" s="6">
        <v>0.64960629921259838</v>
      </c>
      <c r="Q53" s="6">
        <v>0.9757607013924704</v>
      </c>
      <c r="R53" s="6">
        <v>0</v>
      </c>
      <c r="S53" s="6">
        <v>0.90140845070422537</v>
      </c>
      <c r="T53" s="6">
        <v>1.0150375939849625</v>
      </c>
      <c r="U53" s="6">
        <v>1.0050167224080269</v>
      </c>
      <c r="V53" s="6">
        <v>1.0300429184549356</v>
      </c>
      <c r="W53" s="6">
        <v>0.92814371257485029</v>
      </c>
      <c r="X53" s="6">
        <v>0.94179894179894175</v>
      </c>
      <c r="Y53" s="6">
        <v>0.94074074074074077</v>
      </c>
      <c r="Z53" s="6">
        <v>0.95620437956204385</v>
      </c>
      <c r="AA53" s="6">
        <v>1.2824244840992922</v>
      </c>
      <c r="AB53" s="6">
        <v>1.0588235294117647</v>
      </c>
      <c r="AC53" s="6">
        <v>1.2806292225471412</v>
      </c>
      <c r="AD53" s="6">
        <v>1.4848484848484849</v>
      </c>
      <c r="AE53" s="6">
        <v>1.0704225352112675</v>
      </c>
      <c r="AF53" s="6">
        <v>0.72</v>
      </c>
      <c r="AG53" s="6">
        <v>1.1137931034482758</v>
      </c>
      <c r="AH53" s="6">
        <v>1.0238095238095237</v>
      </c>
      <c r="AI53" s="6">
        <v>1.0952731655061596</v>
      </c>
      <c r="AJ53" s="6">
        <v>1.0847743568114721</v>
      </c>
      <c r="AK53" s="6">
        <v>1.0476878612716762</v>
      </c>
      <c r="AL53" s="6">
        <v>0.98882681564245811</v>
      </c>
      <c r="AM53" s="6">
        <v>1.1807817589576548</v>
      </c>
      <c r="AN53" s="6">
        <v>1.0212933753943219</v>
      </c>
      <c r="AO53" s="6">
        <v>1.151238591916558</v>
      </c>
      <c r="AP53" s="6">
        <v>0.97185301016419079</v>
      </c>
      <c r="AQ53" s="6">
        <v>1.0269230769230768</v>
      </c>
      <c r="AR53" s="6">
        <v>1.0432098765432098</v>
      </c>
      <c r="AS53" s="6">
        <v>1.0578784236827123</v>
      </c>
      <c r="AT53" s="6">
        <v>0.94252873563218387</v>
      </c>
      <c r="AU53" s="6">
        <v>1.0207972270363952</v>
      </c>
      <c r="AV53" s="6">
        <v>1.0136986301369864</v>
      </c>
      <c r="AW53" s="6">
        <v>1.0133333333333334</v>
      </c>
      <c r="AX53" s="6">
        <v>0.97334378675029398</v>
      </c>
      <c r="AY53" s="6">
        <v>1.0550146056475171</v>
      </c>
      <c r="AZ53" s="6">
        <v>1.2477477477477477</v>
      </c>
      <c r="BA53" s="6">
        <v>0.92432950191570884</v>
      </c>
      <c r="BB53" s="6">
        <v>1.1266025641025641</v>
      </c>
      <c r="BC53" s="6">
        <v>1.0855882502070411</v>
      </c>
      <c r="BD53" s="6">
        <v>1.0365327133842577</v>
      </c>
      <c r="BE53" s="6">
        <v>1.2101338012722087</v>
      </c>
      <c r="BF53" s="6">
        <v>0.79335793357933582</v>
      </c>
      <c r="BG53" s="6">
        <v>1.1098332374928119</v>
      </c>
      <c r="BH53" s="6">
        <v>1.0913685330496077</v>
      </c>
      <c r="BI53" s="6">
        <v>1.2114399544678429</v>
      </c>
      <c r="BJ53" s="6">
        <v>1.0898941568798028</v>
      </c>
      <c r="BK53" s="6">
        <v>1.0701336432306798</v>
      </c>
      <c r="BL53" s="6">
        <v>0.88476411446249037</v>
      </c>
      <c r="BM53" s="6">
        <v>1.0827883148027033</v>
      </c>
      <c r="BN53" s="6">
        <v>1.0953436807095345</v>
      </c>
      <c r="BO53" s="6">
        <v>1.1874587458745876</v>
      </c>
      <c r="BP53" s="6">
        <v>1.1257995735607675</v>
      </c>
      <c r="BQ53" s="6">
        <v>1.0779066309842402</v>
      </c>
      <c r="BR53" s="6">
        <v>1.0479825517993457</v>
      </c>
      <c r="BS53" s="6">
        <v>1.1347471451876019</v>
      </c>
      <c r="BT53" s="6">
        <v>0.97024673439767783</v>
      </c>
      <c r="BU53" s="6">
        <v>1.0646911519198665</v>
      </c>
      <c r="BV53" s="6">
        <v>0.82808198225757113</v>
      </c>
      <c r="BW53" s="6">
        <v>1</v>
      </c>
      <c r="BX53" s="6">
        <v>3.5</v>
      </c>
      <c r="BY53" s="6" t="s">
        <v>277</v>
      </c>
      <c r="BZ53" s="6">
        <v>0.84208719533127363</v>
      </c>
      <c r="CA53" s="6">
        <v>0.62928348909657317</v>
      </c>
      <c r="CB53" s="6">
        <v>1.0866491260462827</v>
      </c>
    </row>
    <row r="54" spans="1:80">
      <c r="A54" s="6" t="s">
        <v>177</v>
      </c>
      <c r="B54" s="6" t="s">
        <v>196</v>
      </c>
      <c r="C54" s="6">
        <v>1.0952380952380953</v>
      </c>
      <c r="D54" s="6">
        <v>1.4242424242424243</v>
      </c>
      <c r="E54" s="6">
        <v>1.2771929824561403</v>
      </c>
      <c r="F54" s="6">
        <v>1.1129943502824859</v>
      </c>
      <c r="G54" s="6">
        <v>1.0728260869565218</v>
      </c>
      <c r="H54" s="6">
        <v>1.1154855643044619</v>
      </c>
      <c r="I54" s="6">
        <v>1.0612629594721961</v>
      </c>
      <c r="J54" s="6">
        <v>1.0459770114942528</v>
      </c>
      <c r="K54" s="6">
        <v>1.1028315946348732</v>
      </c>
      <c r="L54" s="6">
        <v>1.0711610486891385</v>
      </c>
      <c r="M54" s="6">
        <v>1.074243813015582</v>
      </c>
      <c r="N54" s="6">
        <v>1.0830704521556256</v>
      </c>
      <c r="O54" s="6">
        <v>1.0828025477707006</v>
      </c>
      <c r="P54" s="6">
        <v>1.103030303030303</v>
      </c>
      <c r="Q54" s="6">
        <v>1.0317124735729386</v>
      </c>
      <c r="R54" s="6" t="s">
        <v>277</v>
      </c>
      <c r="S54" s="6">
        <v>1.046875</v>
      </c>
      <c r="T54" s="6">
        <v>1.125925925925926</v>
      </c>
      <c r="U54" s="6">
        <v>0.96672212978369387</v>
      </c>
      <c r="V54" s="6">
        <v>0.98333333333333328</v>
      </c>
      <c r="W54" s="6">
        <v>0.92258064516129035</v>
      </c>
      <c r="X54" s="6">
        <v>1.0056179775280898</v>
      </c>
      <c r="Y54" s="6">
        <v>1.311023622047244</v>
      </c>
      <c r="Z54" s="6">
        <v>0.99236641221374045</v>
      </c>
      <c r="AA54" s="6">
        <v>1.3384639303482586</v>
      </c>
      <c r="AB54" s="6">
        <v>1.2777777777777777</v>
      </c>
      <c r="AC54" s="6">
        <v>1.3417322834645669</v>
      </c>
      <c r="AD54" s="6">
        <v>1.0544217687074831</v>
      </c>
      <c r="AE54" s="6">
        <v>0.96842105263157896</v>
      </c>
      <c r="AF54" s="6">
        <v>1.0555555555555556</v>
      </c>
      <c r="AG54" s="6">
        <v>0.94427244582043346</v>
      </c>
      <c r="AH54" s="6">
        <v>1.0232558139534884</v>
      </c>
      <c r="AI54" s="6">
        <v>1.1058744422030686</v>
      </c>
      <c r="AJ54" s="6">
        <v>1.124416796267496</v>
      </c>
      <c r="AK54" s="6">
        <v>1.4262068965517241</v>
      </c>
      <c r="AL54" s="6">
        <v>1.0112994350282485</v>
      </c>
      <c r="AM54" s="6">
        <v>1.0956321839080461</v>
      </c>
      <c r="AN54" s="6">
        <v>1.1042471042471043</v>
      </c>
      <c r="AO54" s="6">
        <v>1.1585503963759909</v>
      </c>
      <c r="AP54" s="6">
        <v>1.073209975864843</v>
      </c>
      <c r="AQ54" s="6">
        <v>1.0402621722846441</v>
      </c>
      <c r="AR54" s="6">
        <v>1.0420775805391189</v>
      </c>
      <c r="AS54" s="6">
        <v>1.0847883281511601</v>
      </c>
      <c r="AT54" s="6">
        <v>0.85365853658536583</v>
      </c>
      <c r="AU54" s="6">
        <v>1.0899830220713074</v>
      </c>
      <c r="AV54" s="6">
        <v>0.88438438438438438</v>
      </c>
      <c r="AW54" s="6">
        <v>1.0223285486443381</v>
      </c>
      <c r="AX54" s="6">
        <v>0.93113169552960129</v>
      </c>
      <c r="AY54" s="6">
        <v>0.98384863867097372</v>
      </c>
      <c r="AZ54" s="6">
        <v>1.3850782190132371</v>
      </c>
      <c r="BA54" s="6">
        <v>1.1357512953367876</v>
      </c>
      <c r="BB54" s="6">
        <v>1.1172119487908962</v>
      </c>
      <c r="BC54" s="6">
        <v>1.0710871697466955</v>
      </c>
      <c r="BD54" s="6">
        <v>1.1223966677347004</v>
      </c>
      <c r="BE54" s="6">
        <v>1.1315932572050027</v>
      </c>
      <c r="BF54" s="6">
        <v>1.3488372093023255</v>
      </c>
      <c r="BG54" s="6">
        <v>1.0564766839378239</v>
      </c>
      <c r="BH54" s="6">
        <v>1.0711674384596637</v>
      </c>
      <c r="BI54" s="6">
        <v>1.0016443504815598</v>
      </c>
      <c r="BJ54" s="6">
        <v>1.0364507117201012</v>
      </c>
      <c r="BK54" s="6">
        <v>1.107672259325623</v>
      </c>
      <c r="BL54" s="6">
        <v>0.98645104895104896</v>
      </c>
      <c r="BM54" s="6">
        <v>1.070669955202094</v>
      </c>
      <c r="BN54" s="6">
        <v>1.034412955465587</v>
      </c>
      <c r="BO54" s="6">
        <v>1.0906058921623123</v>
      </c>
      <c r="BP54" s="6">
        <v>1.0643939393939394</v>
      </c>
      <c r="BQ54" s="6">
        <v>1.1268965517241378</v>
      </c>
      <c r="BR54" s="6">
        <v>1.093652445369407</v>
      </c>
      <c r="BS54" s="6">
        <v>1.0598044853364001</v>
      </c>
      <c r="BT54" s="6">
        <v>0.98878085265519822</v>
      </c>
      <c r="BU54" s="6">
        <v>1.0572324578596628</v>
      </c>
      <c r="BV54" s="6">
        <v>1.0956778721832288</v>
      </c>
      <c r="BW54" s="6">
        <v>1.0344827586206897</v>
      </c>
      <c r="BX54" s="6">
        <v>0.42857142857142855</v>
      </c>
      <c r="BY54" s="6">
        <v>0</v>
      </c>
      <c r="BZ54" s="6">
        <v>1.1402364451691807</v>
      </c>
      <c r="CA54" s="6">
        <v>0.67326732673267331</v>
      </c>
      <c r="CB54" s="6">
        <v>1.1017012750713289</v>
      </c>
    </row>
    <row r="55" spans="1:80">
      <c r="A55" s="6" t="s">
        <v>178</v>
      </c>
      <c r="B55" s="6" t="s">
        <v>196</v>
      </c>
      <c r="C55" s="6">
        <v>1.10687684046423</v>
      </c>
      <c r="D55" s="6">
        <v>1.3191489361702127</v>
      </c>
      <c r="E55" s="6">
        <v>1.0494505494505495</v>
      </c>
      <c r="F55" s="6">
        <v>1.116751269035533</v>
      </c>
      <c r="G55" s="6">
        <v>1.1469098277608916</v>
      </c>
      <c r="H55" s="6">
        <v>1.171764705882353</v>
      </c>
      <c r="I55" s="6">
        <v>1.1003552397868561</v>
      </c>
      <c r="J55" s="6">
        <v>1.0274725274725274</v>
      </c>
      <c r="K55" s="6">
        <v>1.0756756756756756</v>
      </c>
      <c r="L55" s="6">
        <v>1.2482517482517483</v>
      </c>
      <c r="M55" s="6">
        <v>1.0580204778156996</v>
      </c>
      <c r="N55" s="6">
        <v>1.2398058252427184</v>
      </c>
      <c r="O55" s="6">
        <v>1.2317647058823529</v>
      </c>
      <c r="P55" s="6">
        <v>1.2747252747252746</v>
      </c>
      <c r="Q55" s="6">
        <v>1.134733606557377</v>
      </c>
      <c r="R55" s="6" t="s">
        <v>277</v>
      </c>
      <c r="S55" s="6">
        <v>0.94029850746268662</v>
      </c>
      <c r="T55" s="6">
        <v>1.2236842105263157</v>
      </c>
      <c r="U55" s="6">
        <v>0.94492254733218584</v>
      </c>
      <c r="V55" s="6">
        <v>1.0381355932203389</v>
      </c>
      <c r="W55" s="6">
        <v>1.0419580419580419</v>
      </c>
      <c r="X55" s="6">
        <v>0.95530726256983245</v>
      </c>
      <c r="Y55" s="6">
        <v>1.6846846846846846</v>
      </c>
      <c r="Z55" s="6">
        <v>1.1230769230769231</v>
      </c>
      <c r="AA55" s="6">
        <v>1.3463816935764896</v>
      </c>
      <c r="AB55" s="6">
        <v>0.82608695652173914</v>
      </c>
      <c r="AC55" s="6">
        <v>1.3120892018779342</v>
      </c>
      <c r="AD55" s="6">
        <v>5.193548387096774</v>
      </c>
      <c r="AE55" s="6">
        <v>1.3016304347826086</v>
      </c>
      <c r="AF55" s="6">
        <v>1</v>
      </c>
      <c r="AG55" s="6">
        <v>1.340983606557377</v>
      </c>
      <c r="AH55" s="6">
        <v>1.1590909090909092</v>
      </c>
      <c r="AI55" s="6">
        <v>1.0490299043723399</v>
      </c>
      <c r="AJ55" s="6">
        <v>1.1065006915629323</v>
      </c>
      <c r="AK55" s="6">
        <v>1.0560928433268859</v>
      </c>
      <c r="AL55" s="6">
        <v>1.1229050279329609</v>
      </c>
      <c r="AM55" s="6">
        <v>1.0183242411526088</v>
      </c>
      <c r="AN55" s="6">
        <v>1.0846153846153845</v>
      </c>
      <c r="AO55" s="6">
        <v>0.76050830889540566</v>
      </c>
      <c r="AP55" s="6">
        <v>1.1446776611694154</v>
      </c>
      <c r="AQ55" s="6">
        <v>1.0963096309630964</v>
      </c>
      <c r="AR55" s="6">
        <v>1.0914826498422714</v>
      </c>
      <c r="AS55" s="6">
        <v>1.0721530151030758</v>
      </c>
      <c r="AT55" s="6">
        <v>1.0428571428571429</v>
      </c>
      <c r="AU55" s="6">
        <v>1.2050882658359294</v>
      </c>
      <c r="AV55" s="6">
        <v>1.069609507640068</v>
      </c>
      <c r="AW55" s="6">
        <v>1.0245709828393135</v>
      </c>
      <c r="AX55" s="6">
        <v>1.0540657439446366</v>
      </c>
      <c r="AY55" s="6">
        <v>1.0628517823639776</v>
      </c>
      <c r="AZ55" s="6">
        <v>0.95482189400521289</v>
      </c>
      <c r="BA55" s="6">
        <v>1.3512773722627738</v>
      </c>
      <c r="BB55" s="6">
        <v>1.079449961802903</v>
      </c>
      <c r="BC55" s="6">
        <v>1.0878235969591696</v>
      </c>
      <c r="BD55" s="6">
        <v>1.0451041964030832</v>
      </c>
      <c r="BE55" s="6">
        <v>1.0941854877462758</v>
      </c>
      <c r="BF55" s="6">
        <v>0.83448275862068966</v>
      </c>
      <c r="BG55" s="6">
        <v>1.1419813634134379</v>
      </c>
      <c r="BH55" s="6">
        <v>1.1034129692832764</v>
      </c>
      <c r="BI55" s="6">
        <v>1.1457551594746718</v>
      </c>
      <c r="BJ55" s="6">
        <v>1.0816326530612246</v>
      </c>
      <c r="BK55" s="6">
        <v>1.0531372549019609</v>
      </c>
      <c r="BL55" s="6">
        <v>1.0910500664599025</v>
      </c>
      <c r="BM55" s="6">
        <v>1.0915330731982511</v>
      </c>
      <c r="BN55" s="6">
        <v>1.1565557729941291</v>
      </c>
      <c r="BO55" s="6">
        <v>1.1462793068297656</v>
      </c>
      <c r="BP55" s="6">
        <v>1.0658362989323844</v>
      </c>
      <c r="BQ55" s="6">
        <v>1.0653610771113831</v>
      </c>
      <c r="BR55" s="6">
        <v>1.1065651760228354</v>
      </c>
      <c r="BS55" s="6">
        <v>1.1017362995116657</v>
      </c>
      <c r="BT55" s="6">
        <v>0.99621785173978816</v>
      </c>
      <c r="BU55" s="6">
        <v>1.0980101347175875</v>
      </c>
      <c r="BV55" s="6">
        <v>2.0209035738368173</v>
      </c>
      <c r="BW55" s="6">
        <v>1.3666666666666667</v>
      </c>
      <c r="BX55" s="6">
        <v>0.33333333333333331</v>
      </c>
      <c r="BY55" s="6" t="s">
        <v>277</v>
      </c>
      <c r="BZ55" s="6">
        <v>2.0704326063639615</v>
      </c>
      <c r="CA55" s="6">
        <v>1.1838235294117647</v>
      </c>
      <c r="CB55" s="6">
        <v>1.1311595506773258</v>
      </c>
    </row>
    <row r="56" spans="1:80">
      <c r="A56" s="6" t="s">
        <v>179</v>
      </c>
      <c r="B56" s="6" t="s">
        <v>196</v>
      </c>
      <c r="C56" s="6">
        <v>1.1256651017214399</v>
      </c>
      <c r="D56" s="6">
        <v>0.87096774193548387</v>
      </c>
      <c r="E56" s="6">
        <v>1.243455497382199</v>
      </c>
      <c r="F56" s="6">
        <v>1.0977272727272727</v>
      </c>
      <c r="G56" s="6">
        <v>1.0185512367491165</v>
      </c>
      <c r="H56" s="6">
        <v>1.1405622489959839</v>
      </c>
      <c r="I56" s="6">
        <v>1.1339790153349476</v>
      </c>
      <c r="J56" s="6">
        <v>1.2032085561497325</v>
      </c>
      <c r="K56" s="6">
        <v>1.1394472361809045</v>
      </c>
      <c r="L56" s="6">
        <v>1.4229691876750701</v>
      </c>
      <c r="M56" s="6">
        <v>1.0975806451612904</v>
      </c>
      <c r="N56" s="6">
        <v>1.1174628034455756</v>
      </c>
      <c r="O56" s="6">
        <v>1.1556829035339065</v>
      </c>
      <c r="P56" s="6">
        <v>0.95258620689655171</v>
      </c>
      <c r="Q56" s="6">
        <v>1.1160270880361174</v>
      </c>
      <c r="R56" s="6" t="s">
        <v>277</v>
      </c>
      <c r="S56" s="6">
        <v>1.126984126984127</v>
      </c>
      <c r="T56" s="6">
        <v>0.89784946236559138</v>
      </c>
      <c r="U56" s="6">
        <v>1.1693989071038251</v>
      </c>
      <c r="V56" s="6">
        <v>1.1673469387755102</v>
      </c>
      <c r="W56" s="6">
        <v>0.94630872483221473</v>
      </c>
      <c r="X56" s="6">
        <v>1.0467836257309941</v>
      </c>
      <c r="Y56" s="6">
        <v>1.2299465240641712</v>
      </c>
      <c r="Z56" s="6">
        <v>1.0136986301369864</v>
      </c>
      <c r="AA56" s="6">
        <v>1.0543525148822361</v>
      </c>
      <c r="AB56" s="6">
        <v>1</v>
      </c>
      <c r="AC56" s="6">
        <v>1.0474550496466588</v>
      </c>
      <c r="AD56" s="6">
        <v>1.2496894409937889</v>
      </c>
      <c r="AE56" s="6">
        <v>1.1189979123173277</v>
      </c>
      <c r="AF56" s="6">
        <v>1.5263157894736843</v>
      </c>
      <c r="AG56" s="6">
        <v>1.1124694376528117</v>
      </c>
      <c r="AH56" s="6">
        <v>0.98039215686274506</v>
      </c>
      <c r="AI56" s="6">
        <v>1.0766150279270734</v>
      </c>
      <c r="AJ56" s="6">
        <v>1.0587500000000001</v>
      </c>
      <c r="AK56" s="6">
        <v>0.98168498168498164</v>
      </c>
      <c r="AL56" s="6">
        <v>0.99336650082918743</v>
      </c>
      <c r="AM56" s="6">
        <v>1.0979395604395605</v>
      </c>
      <c r="AN56" s="6">
        <v>1.0373952288845907</v>
      </c>
      <c r="AO56" s="6">
        <v>1.1876606683804627</v>
      </c>
      <c r="AP56" s="6">
        <v>1.1414538310412574</v>
      </c>
      <c r="AQ56" s="6">
        <v>1.0714285714285714</v>
      </c>
      <c r="AR56" s="6">
        <v>1.0398843930635837</v>
      </c>
      <c r="AS56" s="6">
        <v>1.0926430517711172</v>
      </c>
      <c r="AT56" s="6">
        <v>1.178082191780822</v>
      </c>
      <c r="AU56" s="6">
        <v>1.059887979319259</v>
      </c>
      <c r="AV56" s="6">
        <v>1.0269841269841269</v>
      </c>
      <c r="AW56" s="6">
        <v>1.0468214693566806</v>
      </c>
      <c r="AX56" s="6">
        <v>1.0147722609766106</v>
      </c>
      <c r="AY56" s="6">
        <v>1.0511915269196823</v>
      </c>
      <c r="AZ56" s="6">
        <v>1.1507430997876857</v>
      </c>
      <c r="BA56" s="6">
        <v>1.2694125590817016</v>
      </c>
      <c r="BB56" s="6">
        <v>1.1073366359990564</v>
      </c>
      <c r="BC56" s="6">
        <v>1.0550782346102967</v>
      </c>
      <c r="BD56" s="6">
        <v>1.0789401802786125</v>
      </c>
      <c r="BE56" s="6">
        <v>1.0374762113892548</v>
      </c>
      <c r="BF56" s="6">
        <v>1.1143250688705235</v>
      </c>
      <c r="BG56" s="6">
        <v>1.063989692935366</v>
      </c>
      <c r="BH56" s="6">
        <v>0.92576554283946799</v>
      </c>
      <c r="BI56" s="6">
        <v>1.1172858458704329</v>
      </c>
      <c r="BJ56" s="6">
        <v>1.0571971045449151</v>
      </c>
      <c r="BK56" s="6">
        <v>1.1314932042450196</v>
      </c>
      <c r="BL56" s="6">
        <v>0.83086294416243656</v>
      </c>
      <c r="BM56" s="6">
        <v>1.0548281505728314</v>
      </c>
      <c r="BN56" s="6">
        <v>1.1201353637901861</v>
      </c>
      <c r="BO56" s="6">
        <v>1.0827034237438862</v>
      </c>
      <c r="BP56" s="6">
        <v>1.0984974958263773</v>
      </c>
      <c r="BQ56" s="6">
        <v>1.0259650735294117</v>
      </c>
      <c r="BR56" s="6">
        <v>1.0060189165950129</v>
      </c>
      <c r="BS56" s="6">
        <v>1.0396454075350898</v>
      </c>
      <c r="BT56" s="6">
        <v>1.0220197418375094</v>
      </c>
      <c r="BU56" s="6">
        <v>1.0723773075191356</v>
      </c>
      <c r="BV56" s="6">
        <v>1.0977644310977643</v>
      </c>
      <c r="BW56" s="6">
        <v>0.92682926829268297</v>
      </c>
      <c r="BX56" s="6">
        <v>3</v>
      </c>
      <c r="BY56" s="6" t="s">
        <v>277</v>
      </c>
      <c r="BZ56" s="6">
        <v>1.0581937489207391</v>
      </c>
      <c r="CA56" s="6">
        <v>2.5341614906832297</v>
      </c>
      <c r="CB56" s="6">
        <v>1.0668325550215314</v>
      </c>
    </row>
    <row r="57" spans="1:80">
      <c r="A57" s="6" t="s">
        <v>180</v>
      </c>
      <c r="B57" s="6" t="s">
        <v>196</v>
      </c>
      <c r="C57" s="6">
        <v>1.1519532879188099</v>
      </c>
      <c r="D57" s="6">
        <v>1.287037037037037</v>
      </c>
      <c r="E57" s="6">
        <v>1.0336842105263158</v>
      </c>
      <c r="F57" s="6">
        <v>1.4057971014492754</v>
      </c>
      <c r="G57" s="6">
        <v>1.0537727666955767</v>
      </c>
      <c r="H57" s="6">
        <v>1.3450704225352113</v>
      </c>
      <c r="I57" s="6">
        <v>1.1779359430604983</v>
      </c>
      <c r="J57" s="6">
        <v>1.0533333333333332</v>
      </c>
      <c r="K57" s="6">
        <v>1.1984564498346195</v>
      </c>
      <c r="L57" s="6">
        <v>1.1141732283464567</v>
      </c>
      <c r="M57" s="6">
        <v>1.0646583394562821</v>
      </c>
      <c r="N57" s="6">
        <v>1.1618780658724597</v>
      </c>
      <c r="O57" s="6">
        <v>1.2148760330578512</v>
      </c>
      <c r="P57" s="6">
        <v>0.84615384615384615</v>
      </c>
      <c r="Q57" s="6">
        <v>1.1634304207119741</v>
      </c>
      <c r="R57" s="6" t="s">
        <v>277</v>
      </c>
      <c r="S57" s="6">
        <v>0.81690140845070425</v>
      </c>
      <c r="T57" s="6">
        <v>1.3652694610778444</v>
      </c>
      <c r="U57" s="6">
        <v>1.0311526479750779</v>
      </c>
      <c r="V57" s="6">
        <v>1.1328671328671329</v>
      </c>
      <c r="W57" s="6">
        <v>0.99290780141843971</v>
      </c>
      <c r="X57" s="6">
        <v>3.0558659217877095</v>
      </c>
      <c r="Y57" s="6">
        <v>0.84057971014492749</v>
      </c>
      <c r="Z57" s="6">
        <v>1.1385135135135136</v>
      </c>
      <c r="AA57" s="6">
        <v>1.452131576794043</v>
      </c>
      <c r="AB57" s="6">
        <v>1.4210526315789473</v>
      </c>
      <c r="AC57" s="6">
        <v>1.4362269951748581</v>
      </c>
      <c r="AD57" s="6">
        <v>1.820079522862823</v>
      </c>
      <c r="AE57" s="6">
        <v>1.125</v>
      </c>
      <c r="AF57" s="6">
        <v>1.3448275862068966</v>
      </c>
      <c r="AG57" s="6">
        <v>1.0945054945054946</v>
      </c>
      <c r="AH57" s="6">
        <v>1.36</v>
      </c>
      <c r="AI57" s="6">
        <v>1.1673355520751763</v>
      </c>
      <c r="AJ57" s="6">
        <v>1.0723140495867769</v>
      </c>
      <c r="AK57" s="6">
        <v>1.7042910447761195</v>
      </c>
      <c r="AL57" s="6">
        <v>1.1686143572621035</v>
      </c>
      <c r="AM57" s="6">
        <v>1.0430376579507068</v>
      </c>
      <c r="AN57" s="6">
        <v>1.0602858918582971</v>
      </c>
      <c r="AO57" s="6">
        <v>2.4372294372294374</v>
      </c>
      <c r="AP57" s="6">
        <v>1.0481927710843373</v>
      </c>
      <c r="AQ57" s="6">
        <v>1.0827586206896551</v>
      </c>
      <c r="AR57" s="6">
        <v>1.1951083935519733</v>
      </c>
      <c r="AS57" s="6">
        <v>1.1811508963440456</v>
      </c>
      <c r="AT57" s="6">
        <v>1.0988372093023255</v>
      </c>
      <c r="AU57" s="6">
        <v>1.102439024390244</v>
      </c>
      <c r="AV57" s="6">
        <v>1.0989180834621328</v>
      </c>
      <c r="AW57" s="6">
        <v>1.0530909090909091</v>
      </c>
      <c r="AX57" s="6">
        <v>1.0537808329963607</v>
      </c>
      <c r="AY57" s="6">
        <v>1.1553316540722083</v>
      </c>
      <c r="AZ57" s="6">
        <v>1.4243542435424354</v>
      </c>
      <c r="BA57" s="6">
        <v>1.2095744680851064</v>
      </c>
      <c r="BB57" s="6">
        <v>1.1853429910524074</v>
      </c>
      <c r="BC57" s="6">
        <v>1.1147908461139044</v>
      </c>
      <c r="BD57" s="6">
        <v>1.2896202531645569</v>
      </c>
      <c r="BE57" s="6">
        <v>1.2153238323691267</v>
      </c>
      <c r="BF57" s="6">
        <v>0.9715698393077874</v>
      </c>
      <c r="BG57" s="6">
        <v>1.1029263370332998</v>
      </c>
      <c r="BH57" s="6">
        <v>0.99632475776812568</v>
      </c>
      <c r="BI57" s="6">
        <v>1.025648071814601</v>
      </c>
      <c r="BJ57" s="6">
        <v>1.1040520821641038</v>
      </c>
      <c r="BK57" s="6">
        <v>1.0884034719651159</v>
      </c>
      <c r="BL57" s="6">
        <v>1.5070869990224829</v>
      </c>
      <c r="BM57" s="6">
        <v>1.1375199052713241</v>
      </c>
      <c r="BN57" s="6">
        <v>1.1858006042296072</v>
      </c>
      <c r="BO57" s="6">
        <v>1.151129363449692</v>
      </c>
      <c r="BP57" s="6">
        <v>1.1580547112462005</v>
      </c>
      <c r="BQ57" s="6">
        <v>1.1307950727883538</v>
      </c>
      <c r="BR57" s="6">
        <v>1.1136752136752137</v>
      </c>
      <c r="BS57" s="6">
        <v>1.1470866887730933</v>
      </c>
      <c r="BT57" s="6">
        <v>1.0594353640416048</v>
      </c>
      <c r="BU57" s="6">
        <v>1.1432770022042615</v>
      </c>
      <c r="BV57" s="6">
        <v>1.8518237082066868</v>
      </c>
      <c r="BW57" s="6">
        <v>1.3421052631578947</v>
      </c>
      <c r="BX57" s="6">
        <v>2</v>
      </c>
      <c r="BY57" s="6" t="s">
        <v>277</v>
      </c>
      <c r="BZ57" s="6">
        <v>1.5882832898172323</v>
      </c>
      <c r="CA57" s="6">
        <v>5.8799019607843137</v>
      </c>
      <c r="CB57" s="6">
        <v>1.2031993865357375</v>
      </c>
    </row>
    <row r="58" spans="1:80">
      <c r="A58" s="6" t="s">
        <v>181</v>
      </c>
      <c r="B58" s="6" t="s">
        <v>196</v>
      </c>
      <c r="C58" s="6">
        <v>1.0424812937484915</v>
      </c>
      <c r="D58" s="6">
        <v>0.72661870503597126</v>
      </c>
      <c r="E58" s="6">
        <v>1.1690427698574337</v>
      </c>
      <c r="F58" s="6">
        <v>0.79823269513991169</v>
      </c>
      <c r="G58" s="6">
        <v>1.042798353909465</v>
      </c>
      <c r="H58" s="6">
        <v>1.0903141361256545</v>
      </c>
      <c r="I58" s="6">
        <v>0.97341389728096672</v>
      </c>
      <c r="J58" s="6">
        <v>1.2025316455696202</v>
      </c>
      <c r="K58" s="6">
        <v>1.1122355105795769</v>
      </c>
      <c r="L58" s="6">
        <v>1.0512367491166077</v>
      </c>
      <c r="M58" s="6">
        <v>1.1200828157349896</v>
      </c>
      <c r="N58" s="6">
        <v>1.0542822677925212</v>
      </c>
      <c r="O58" s="6">
        <v>1</v>
      </c>
      <c r="P58" s="6">
        <v>1.481283422459893</v>
      </c>
      <c r="Q58" s="6">
        <v>0.69610570236439495</v>
      </c>
      <c r="R58" s="6" t="s">
        <v>277</v>
      </c>
      <c r="S58" s="6">
        <v>0.86206896551724133</v>
      </c>
      <c r="T58" s="6">
        <v>0.56578947368421051</v>
      </c>
      <c r="U58" s="6">
        <v>0.85800604229607247</v>
      </c>
      <c r="V58" s="6">
        <v>0.55864197530864201</v>
      </c>
      <c r="W58" s="6">
        <v>0.98571428571428577</v>
      </c>
      <c r="X58" s="6">
        <v>0.28153564899451555</v>
      </c>
      <c r="Y58" s="6">
        <v>0.76379310344827589</v>
      </c>
      <c r="Z58" s="6">
        <v>1.0029673590504451</v>
      </c>
      <c r="AA58" s="6">
        <v>0.71594398895556866</v>
      </c>
      <c r="AB58" s="6">
        <v>0.92592592592592593</v>
      </c>
      <c r="AC58" s="6">
        <v>0.6874981418165601</v>
      </c>
      <c r="AD58" s="6">
        <v>1.2359366466411796</v>
      </c>
      <c r="AE58" s="6">
        <v>0.93034825870646765</v>
      </c>
      <c r="AF58" s="6">
        <v>0.76923076923076927</v>
      </c>
      <c r="AG58" s="6">
        <v>0.93775100401606426</v>
      </c>
      <c r="AH58" s="6">
        <v>0.94117647058823528</v>
      </c>
      <c r="AI58" s="6">
        <v>0.91941637667183762</v>
      </c>
      <c r="AJ58" s="6">
        <v>0.88053949903660889</v>
      </c>
      <c r="AK58" s="6">
        <v>0.73399014778325122</v>
      </c>
      <c r="AL58" s="6">
        <v>0.88428571428571423</v>
      </c>
      <c r="AM58" s="6">
        <v>1.1240254288113229</v>
      </c>
      <c r="AN58" s="6">
        <v>1.0791324736225087</v>
      </c>
      <c r="AO58" s="6">
        <v>0.4178507992895204</v>
      </c>
      <c r="AP58" s="6">
        <v>0.71319102353585118</v>
      </c>
      <c r="AQ58" s="6">
        <v>0.95470629865534329</v>
      </c>
      <c r="AR58" s="6">
        <v>0.913953488372093</v>
      </c>
      <c r="AS58" s="6">
        <v>0.86415966219176987</v>
      </c>
      <c r="AT58" s="6">
        <v>0.75132275132275128</v>
      </c>
      <c r="AU58" s="6">
        <v>0.97087020648967548</v>
      </c>
      <c r="AV58" s="6">
        <v>0.88466947960618847</v>
      </c>
      <c r="AW58" s="6">
        <v>0.90745856353591159</v>
      </c>
      <c r="AX58" s="6">
        <v>0.93284727551803526</v>
      </c>
      <c r="AY58" s="6">
        <v>0.95712209302325579</v>
      </c>
      <c r="AZ58" s="6">
        <v>0.67005921539600299</v>
      </c>
      <c r="BA58" s="6">
        <v>0.79331574318381703</v>
      </c>
      <c r="BB58" s="6">
        <v>0.92846872753414811</v>
      </c>
      <c r="BC58" s="6">
        <v>0.86844646407270665</v>
      </c>
      <c r="BD58" s="6">
        <v>0.94581861012956414</v>
      </c>
      <c r="BE58" s="6">
        <v>0.80320445837687215</v>
      </c>
      <c r="BF58" s="6">
        <v>0.80788804071246823</v>
      </c>
      <c r="BG58" s="6">
        <v>1.1084172003659651</v>
      </c>
      <c r="BH58" s="6">
        <v>0.95238095238095233</v>
      </c>
      <c r="BI58" s="6">
        <v>1.044118960435831</v>
      </c>
      <c r="BJ58" s="6">
        <v>0.97285481903212689</v>
      </c>
      <c r="BK58" s="6">
        <v>0.75474336684556653</v>
      </c>
      <c r="BL58" s="6">
        <v>0.35754824063564133</v>
      </c>
      <c r="BM58" s="6">
        <v>0.98316522488244373</v>
      </c>
      <c r="BN58" s="6">
        <v>1.0025477707006369</v>
      </c>
      <c r="BO58" s="6">
        <v>0.93935069568319662</v>
      </c>
      <c r="BP58" s="6">
        <v>1.026246719160105</v>
      </c>
      <c r="BQ58" s="6">
        <v>1.0144583085759555</v>
      </c>
      <c r="BR58" s="6">
        <v>1.0092095165003838</v>
      </c>
      <c r="BS58" s="6">
        <v>0.98533966549659302</v>
      </c>
      <c r="BT58" s="6">
        <v>1.0245441795231416</v>
      </c>
      <c r="BU58" s="6">
        <v>0.96593830334190234</v>
      </c>
      <c r="BV58" s="6">
        <v>1.2100943783340172</v>
      </c>
      <c r="BW58" s="6">
        <v>1</v>
      </c>
      <c r="BX58" s="6">
        <v>0.66666666666666663</v>
      </c>
      <c r="BY58" s="6" t="s">
        <v>277</v>
      </c>
      <c r="BZ58" s="6">
        <v>0.94503236412205893</v>
      </c>
      <c r="CA58" s="6">
        <v>2.2872030012505209</v>
      </c>
      <c r="CB58" s="6">
        <v>0.88767128137945683</v>
      </c>
    </row>
    <row r="59" spans="1:80">
      <c r="A59" s="6" t="s">
        <v>182</v>
      </c>
      <c r="B59" s="6" t="s">
        <v>196</v>
      </c>
      <c r="C59" s="6">
        <v>1.000926140310257</v>
      </c>
      <c r="D59" s="6">
        <v>1.1287128712871286</v>
      </c>
      <c r="E59" s="6">
        <v>1</v>
      </c>
      <c r="F59" s="6">
        <v>1.2361623616236161</v>
      </c>
      <c r="G59" s="6">
        <v>1.0031570639305445</v>
      </c>
      <c r="H59" s="6">
        <v>0.92436974789915971</v>
      </c>
      <c r="I59" s="6">
        <v>0.96648044692737434</v>
      </c>
      <c r="J59" s="6">
        <v>1.0736842105263158</v>
      </c>
      <c r="K59" s="6">
        <v>0.98014888337468986</v>
      </c>
      <c r="L59" s="6">
        <v>0.94285714285714284</v>
      </c>
      <c r="M59" s="6">
        <v>1.0092421441774491</v>
      </c>
      <c r="N59" s="6">
        <v>0.97654462242562934</v>
      </c>
      <c r="O59" s="6">
        <v>0.98911564625850346</v>
      </c>
      <c r="P59" s="6">
        <v>0.90974729241877261</v>
      </c>
      <c r="Q59" s="6">
        <v>1.1638361638361638</v>
      </c>
      <c r="R59" s="6" t="s">
        <v>277</v>
      </c>
      <c r="S59" s="6">
        <v>1.04</v>
      </c>
      <c r="T59" s="6">
        <v>0.99224806201550386</v>
      </c>
      <c r="U59" s="6">
        <v>1.1830985915492958</v>
      </c>
      <c r="V59" s="6">
        <v>1.0386740331491713</v>
      </c>
      <c r="W59" s="6">
        <v>0.78260869565217395</v>
      </c>
      <c r="X59" s="6">
        <v>1.2792207792207793</v>
      </c>
      <c r="Y59" s="6">
        <v>1.528216704288939</v>
      </c>
      <c r="Z59" s="6">
        <v>0.91420118343195267</v>
      </c>
      <c r="AA59" s="6">
        <v>1.1350596198496714</v>
      </c>
      <c r="AB59" s="6">
        <v>1.72</v>
      </c>
      <c r="AC59" s="6">
        <v>1.1555959176613042</v>
      </c>
      <c r="AD59" s="6">
        <v>0.91825011047282368</v>
      </c>
      <c r="AE59" s="6">
        <v>0.93939393939393945</v>
      </c>
      <c r="AF59" s="6">
        <v>1.2333333333333334</v>
      </c>
      <c r="AG59" s="6">
        <v>0.92505353319057815</v>
      </c>
      <c r="AH59" s="6">
        <v>0.875</v>
      </c>
      <c r="AI59" s="6">
        <v>1.0413607551643942</v>
      </c>
      <c r="AJ59" s="6">
        <v>1.0581431697405439</v>
      </c>
      <c r="AK59" s="6">
        <v>0.82102908277404918</v>
      </c>
      <c r="AL59" s="6">
        <v>1.0145395799676897</v>
      </c>
      <c r="AM59" s="6">
        <v>1.0271048980898516</v>
      </c>
      <c r="AN59" s="6">
        <v>0.99782726778924502</v>
      </c>
      <c r="AO59" s="6">
        <v>1.40807651434644</v>
      </c>
      <c r="AP59" s="6">
        <v>1.1212586339217192</v>
      </c>
      <c r="AQ59" s="6">
        <v>1.0429948109710896</v>
      </c>
      <c r="AR59" s="6">
        <v>1.0519083969465648</v>
      </c>
      <c r="AS59" s="6">
        <v>1.054625916194164</v>
      </c>
      <c r="AT59" s="6">
        <v>0.99295774647887325</v>
      </c>
      <c r="AU59" s="6">
        <v>1.1230535510824156</v>
      </c>
      <c r="AV59" s="6">
        <v>1.1399046104928459</v>
      </c>
      <c r="AW59" s="6">
        <v>1.0787671232876712</v>
      </c>
      <c r="AX59" s="6">
        <v>1</v>
      </c>
      <c r="AY59" s="6">
        <v>0.96659073652239935</v>
      </c>
      <c r="AZ59" s="6">
        <v>1.0289975144987573</v>
      </c>
      <c r="BA59" s="6">
        <v>1.3758314855875831</v>
      </c>
      <c r="BB59" s="6">
        <v>0.97696476964769652</v>
      </c>
      <c r="BC59" s="6">
        <v>1.0757276473281445</v>
      </c>
      <c r="BD59" s="6">
        <v>0.88335408883354094</v>
      </c>
      <c r="BE59" s="6">
        <v>1.001879155825383</v>
      </c>
      <c r="BF59" s="6">
        <v>0.99370078740157475</v>
      </c>
      <c r="BG59" s="6">
        <v>0.86595130004127119</v>
      </c>
      <c r="BH59" s="6">
        <v>1.1205399061032864</v>
      </c>
      <c r="BI59" s="6">
        <v>0.97664870413138316</v>
      </c>
      <c r="BJ59" s="6">
        <v>1.1198662347162713</v>
      </c>
      <c r="BK59" s="6">
        <v>1.3166407932295057</v>
      </c>
      <c r="BL59" s="6">
        <v>0.88571428571428568</v>
      </c>
      <c r="BM59" s="6">
        <v>0.99598393574297184</v>
      </c>
      <c r="BN59" s="6">
        <v>1.1016518424396442</v>
      </c>
      <c r="BO59" s="6">
        <v>0.99848082035700725</v>
      </c>
      <c r="BP59" s="6">
        <v>0.97186700767263423</v>
      </c>
      <c r="BQ59" s="6">
        <v>1.0501757126122608</v>
      </c>
      <c r="BR59" s="6">
        <v>1.0212927756653993</v>
      </c>
      <c r="BS59" s="6">
        <v>0.99979044425817265</v>
      </c>
      <c r="BT59" s="6">
        <v>0.93429158110882959</v>
      </c>
      <c r="BU59" s="6">
        <v>0.96606786427145708</v>
      </c>
      <c r="BV59" s="6">
        <v>0.89501525940996951</v>
      </c>
      <c r="BW59" s="6">
        <v>0.74509803921568629</v>
      </c>
      <c r="BX59" s="6">
        <v>3.25</v>
      </c>
      <c r="BY59" s="6" t="s">
        <v>277</v>
      </c>
      <c r="BZ59" s="6">
        <v>0.76625353337682101</v>
      </c>
      <c r="CA59" s="6">
        <v>1.1115363586659377</v>
      </c>
      <c r="CB59" s="6">
        <v>1.0494306056919487</v>
      </c>
    </row>
    <row r="60" spans="1:80">
      <c r="A60" s="6" t="s">
        <v>183</v>
      </c>
      <c r="B60" s="6" t="s">
        <v>196</v>
      </c>
      <c r="C60" s="6">
        <v>1.0698588942863752</v>
      </c>
      <c r="D60" s="6">
        <v>0.97368421052631582</v>
      </c>
      <c r="E60" s="6">
        <v>0.9616724738675958</v>
      </c>
      <c r="F60" s="6">
        <v>1</v>
      </c>
      <c r="G60" s="6">
        <v>1.0267505900865461</v>
      </c>
      <c r="H60" s="6">
        <v>1.0441558441558441</v>
      </c>
      <c r="I60" s="6">
        <v>1.1830443159922928</v>
      </c>
      <c r="J60" s="6">
        <v>1.2352941176470589</v>
      </c>
      <c r="K60" s="6">
        <v>1.1434599156118144</v>
      </c>
      <c r="L60" s="6">
        <v>0.97860962566844922</v>
      </c>
      <c r="M60" s="6">
        <v>1.0274725274725274</v>
      </c>
      <c r="N60" s="6">
        <v>1.0626830697129468</v>
      </c>
      <c r="O60" s="6">
        <v>1.0570839064649244</v>
      </c>
      <c r="P60" s="6">
        <v>1.1031746031746033</v>
      </c>
      <c r="Q60" s="6">
        <v>1.1875536480686695</v>
      </c>
      <c r="R60" s="6" t="s">
        <v>277</v>
      </c>
      <c r="S60" s="6">
        <v>0.88461538461538458</v>
      </c>
      <c r="T60" s="6">
        <v>1.171875</v>
      </c>
      <c r="U60" s="6">
        <v>0.98065476190476186</v>
      </c>
      <c r="V60" s="6">
        <v>0.97340425531914898</v>
      </c>
      <c r="W60" s="6">
        <v>1.0555555555555556</v>
      </c>
      <c r="X60" s="6">
        <v>1.4619289340101522</v>
      </c>
      <c r="Y60" s="6">
        <v>1.4608567208271788</v>
      </c>
      <c r="Z60" s="6">
        <v>1.1003236245954693</v>
      </c>
      <c r="AA60" s="6">
        <v>1.3272544464861491</v>
      </c>
      <c r="AB60" s="6">
        <v>1.5348837209302326</v>
      </c>
      <c r="AC60" s="6">
        <v>1.33953296908914</v>
      </c>
      <c r="AD60" s="6">
        <v>1.1636188642925891</v>
      </c>
      <c r="AE60" s="6">
        <v>1.032258064516129</v>
      </c>
      <c r="AF60" s="6">
        <v>1.0810810810810811</v>
      </c>
      <c r="AG60" s="6">
        <v>1.0138888888888888</v>
      </c>
      <c r="AH60" s="6">
        <v>1.1607142857142858</v>
      </c>
      <c r="AI60" s="6">
        <v>1.0658171308460327</v>
      </c>
      <c r="AJ60" s="6">
        <v>0.90457902511078292</v>
      </c>
      <c r="AK60" s="6">
        <v>1.2942779291553133</v>
      </c>
      <c r="AL60" s="6">
        <v>1.0143312101910829</v>
      </c>
      <c r="AM60" s="6">
        <v>1.098077922077922</v>
      </c>
      <c r="AN60" s="6">
        <v>1.0223189983669025</v>
      </c>
      <c r="AO60" s="6">
        <v>1.2181132075471699</v>
      </c>
      <c r="AP60" s="6">
        <v>1.0650239561943875</v>
      </c>
      <c r="AQ60" s="6">
        <v>1.015636105188344</v>
      </c>
      <c r="AR60" s="6">
        <v>1.0527334300919207</v>
      </c>
      <c r="AS60" s="6">
        <v>1.0863274761779875</v>
      </c>
      <c r="AT60" s="6">
        <v>1.0567375886524824</v>
      </c>
      <c r="AU60" s="6">
        <v>1.1914102130537707</v>
      </c>
      <c r="AV60" s="6">
        <v>1.0641562064156207</v>
      </c>
      <c r="AW60" s="6">
        <v>0.90970017636684308</v>
      </c>
      <c r="AX60" s="6">
        <v>1.0168654874537228</v>
      </c>
      <c r="AY60" s="6">
        <v>0.94658287509819328</v>
      </c>
      <c r="AZ60" s="6">
        <v>0.96349973161567359</v>
      </c>
      <c r="BA60" s="6">
        <v>1.3110394842868653</v>
      </c>
      <c r="BB60" s="6">
        <v>1.2129978204874183</v>
      </c>
      <c r="BC60" s="6">
        <v>1.0185568013230537</v>
      </c>
      <c r="BD60" s="6">
        <v>1.0810620300751879</v>
      </c>
      <c r="BE60" s="6">
        <v>1.2191602943298225</v>
      </c>
      <c r="BF60" s="6">
        <v>1.0808240887480189</v>
      </c>
      <c r="BG60" s="6">
        <v>0.99275569535792585</v>
      </c>
      <c r="BH60" s="6">
        <v>0.98051744003351837</v>
      </c>
      <c r="BI60" s="6">
        <v>1.0076195480819758</v>
      </c>
      <c r="BJ60" s="6">
        <v>1.0530048525569242</v>
      </c>
      <c r="BK60" s="6">
        <v>0.93975353719762666</v>
      </c>
      <c r="BL60" s="6">
        <v>1.4106502816180235</v>
      </c>
      <c r="BM60" s="6">
        <v>1.0298387096774193</v>
      </c>
      <c r="BN60" s="6">
        <v>1.2975778546712802</v>
      </c>
      <c r="BO60" s="6">
        <v>1.0581970330924306</v>
      </c>
      <c r="BP60" s="6">
        <v>1.0907894736842105</v>
      </c>
      <c r="BQ60" s="6">
        <v>1.0561442647332218</v>
      </c>
      <c r="BR60" s="6">
        <v>0.98585256887565154</v>
      </c>
      <c r="BS60" s="6">
        <v>1.0106895828966673</v>
      </c>
      <c r="BT60" s="6">
        <v>1.0168498168498168</v>
      </c>
      <c r="BU60" s="6">
        <v>0.99832743014561198</v>
      </c>
      <c r="BV60" s="6">
        <v>0.99969690081079032</v>
      </c>
      <c r="BW60" s="6">
        <v>1.1842105263157894</v>
      </c>
      <c r="BX60" s="6">
        <v>1.4615384615384615</v>
      </c>
      <c r="BY60" s="6">
        <v>2</v>
      </c>
      <c r="BZ60" s="6">
        <v>0.90777525539160042</v>
      </c>
      <c r="CA60" s="6">
        <v>1.1031316609280211</v>
      </c>
      <c r="CB60" s="6">
        <v>1.0780129039614592</v>
      </c>
    </row>
    <row r="61" spans="1:80">
      <c r="A61" s="6" t="s">
        <v>184</v>
      </c>
      <c r="B61" s="6" t="s">
        <v>196</v>
      </c>
      <c r="C61" s="6">
        <v>1.0376216216216216</v>
      </c>
      <c r="D61" s="6">
        <v>0.90090090090090091</v>
      </c>
      <c r="E61" s="6">
        <v>1.1213768115942029</v>
      </c>
      <c r="F61" s="6">
        <v>0.94626865671641791</v>
      </c>
      <c r="G61" s="6">
        <v>1.0850574712643679</v>
      </c>
      <c r="H61" s="6">
        <v>1.0559701492537314</v>
      </c>
      <c r="I61" s="6">
        <v>0.97937024972855591</v>
      </c>
      <c r="J61" s="6">
        <v>0.94179894179894175</v>
      </c>
      <c r="K61" s="6">
        <v>0.99704797047970484</v>
      </c>
      <c r="L61" s="6">
        <v>1.156648451730419</v>
      </c>
      <c r="M61" s="6">
        <v>1.0861556743909686</v>
      </c>
      <c r="N61" s="6">
        <v>1.0997794928335172</v>
      </c>
      <c r="O61" s="6">
        <v>1.0969420949902406</v>
      </c>
      <c r="P61" s="6">
        <v>1.1115107913669064</v>
      </c>
      <c r="Q61" s="6">
        <v>0.91001084206722083</v>
      </c>
      <c r="R61" s="6" t="s">
        <v>277</v>
      </c>
      <c r="S61" s="6">
        <v>1.2608695652173914</v>
      </c>
      <c r="T61" s="6">
        <v>0.89333333333333331</v>
      </c>
      <c r="U61" s="6">
        <v>0.96358118361153267</v>
      </c>
      <c r="V61" s="6">
        <v>0.79234972677595628</v>
      </c>
      <c r="W61" s="6">
        <v>0.79824561403508776</v>
      </c>
      <c r="X61" s="6">
        <v>1.0868055555555556</v>
      </c>
      <c r="Y61" s="6">
        <v>0.74014155712841256</v>
      </c>
      <c r="Z61" s="6">
        <v>1.2</v>
      </c>
      <c r="AA61" s="6">
        <v>1.0671856224857637</v>
      </c>
      <c r="AB61" s="6">
        <v>0.27272727272727271</v>
      </c>
      <c r="AC61" s="6">
        <v>1.0676630814359547</v>
      </c>
      <c r="AD61" s="6">
        <v>1.0835401157981803</v>
      </c>
      <c r="AE61" s="6">
        <v>1.0018382352941178</v>
      </c>
      <c r="AF61" s="6">
        <v>1.5249999999999999</v>
      </c>
      <c r="AG61" s="6">
        <v>0.93835616438356162</v>
      </c>
      <c r="AH61" s="6">
        <v>1.1384615384615384</v>
      </c>
      <c r="AI61" s="6">
        <v>1.0060396893874028</v>
      </c>
      <c r="AJ61" s="6">
        <v>0.95917700849118226</v>
      </c>
      <c r="AK61" s="6">
        <v>1.1894736842105262</v>
      </c>
      <c r="AL61" s="6">
        <v>0.9686028257456829</v>
      </c>
      <c r="AM61" s="6">
        <v>0.98505061973696662</v>
      </c>
      <c r="AN61" s="6">
        <v>1.0585729499467518</v>
      </c>
      <c r="AO61" s="6">
        <v>1.0216852540272614</v>
      </c>
      <c r="AP61" s="6">
        <v>0.97493573264781486</v>
      </c>
      <c r="AQ61" s="6">
        <v>1.0090972708187544</v>
      </c>
      <c r="AR61" s="6">
        <v>1.025735294117647</v>
      </c>
      <c r="AS61" s="6">
        <v>1.0452661650504969</v>
      </c>
      <c r="AT61" s="6">
        <v>0.95302013422818788</v>
      </c>
      <c r="AU61" s="6">
        <v>1.1328413284132841</v>
      </c>
      <c r="AV61" s="6">
        <v>1.053735255570118</v>
      </c>
      <c r="AW61" s="6">
        <v>1.0306320279177976</v>
      </c>
      <c r="AX61" s="6">
        <v>1.0117313915857604</v>
      </c>
      <c r="AY61" s="6">
        <v>1.0070539419087137</v>
      </c>
      <c r="AZ61" s="6">
        <v>1.2025069637883008</v>
      </c>
      <c r="BA61" s="6">
        <v>0.77996312231100184</v>
      </c>
      <c r="BB61" s="6">
        <v>1.0777523685070238</v>
      </c>
      <c r="BC61" s="6">
        <v>1.1423949379178606</v>
      </c>
      <c r="BD61" s="6">
        <v>1.0897630949793524</v>
      </c>
      <c r="BE61" s="6">
        <v>1.3902958579881657</v>
      </c>
      <c r="BF61" s="6">
        <v>1.0293255131964809</v>
      </c>
      <c r="BG61" s="6">
        <v>1.172635621699472</v>
      </c>
      <c r="BH61" s="6">
        <v>0.98429654951394085</v>
      </c>
      <c r="BI61" s="6">
        <v>0.99687092568448499</v>
      </c>
      <c r="BJ61" s="6">
        <v>1.0016838000708967</v>
      </c>
      <c r="BK61" s="6">
        <v>1.2324753116399547</v>
      </c>
      <c r="BL61" s="6">
        <v>1.296551724137931</v>
      </c>
      <c r="BM61" s="6">
        <v>1.0359151420232078</v>
      </c>
      <c r="BN61" s="6">
        <v>1.1919999999999999</v>
      </c>
      <c r="BO61" s="6">
        <v>1.0438533429187635</v>
      </c>
      <c r="BP61" s="6">
        <v>1.1170084439083232</v>
      </c>
      <c r="BQ61" s="6">
        <v>1.0373173737018131</v>
      </c>
      <c r="BR61" s="6">
        <v>1.1178247734138973</v>
      </c>
      <c r="BS61" s="6">
        <v>1.0889672335130651</v>
      </c>
      <c r="BT61" s="6">
        <v>1.0180115273775217</v>
      </c>
      <c r="BU61" s="6">
        <v>0.97526362471666506</v>
      </c>
      <c r="BV61" s="6">
        <v>0.8403698931251421</v>
      </c>
      <c r="BW61" s="6">
        <v>1</v>
      </c>
      <c r="BX61" s="6">
        <v>2.3157894736842106</v>
      </c>
      <c r="BY61" s="6">
        <v>1</v>
      </c>
      <c r="BZ61" s="6">
        <v>0.91294154423257268</v>
      </c>
      <c r="CA61" s="6">
        <v>0.76605231866825207</v>
      </c>
      <c r="CB61" s="6">
        <v>1.0659194880519001</v>
      </c>
    </row>
    <row r="62" spans="1:80">
      <c r="A62" s="6" t="s">
        <v>185</v>
      </c>
      <c r="B62" s="6" t="s">
        <v>196</v>
      </c>
      <c r="C62" s="6">
        <v>1.1082517191081476</v>
      </c>
      <c r="D62" s="6">
        <v>0.97</v>
      </c>
      <c r="E62" s="6">
        <v>1.012924071082391</v>
      </c>
      <c r="F62" s="6">
        <v>1.1735015772870663</v>
      </c>
      <c r="G62" s="6">
        <v>1.1327683615819208</v>
      </c>
      <c r="H62" s="6">
        <v>1.2014134275618376</v>
      </c>
      <c r="I62" s="6">
        <v>1.0753880266075388</v>
      </c>
      <c r="J62" s="6">
        <v>1.0646067415730338</v>
      </c>
      <c r="K62" s="6">
        <v>1.0584752035529237</v>
      </c>
      <c r="L62" s="6">
        <v>1.1606299212598425</v>
      </c>
      <c r="M62" s="6">
        <v>1.12636761487965</v>
      </c>
      <c r="N62" s="6">
        <v>1.2150375939849625</v>
      </c>
      <c r="O62" s="6">
        <v>1.1399762752075919</v>
      </c>
      <c r="P62" s="6">
        <v>1.6278317152103561</v>
      </c>
      <c r="Q62" s="6">
        <v>0.93288324066719619</v>
      </c>
      <c r="R62" s="6">
        <v>1</v>
      </c>
      <c r="S62" s="6">
        <v>1.1724137931034482</v>
      </c>
      <c r="T62" s="6">
        <v>0.78358208955223885</v>
      </c>
      <c r="U62" s="6">
        <v>1.0220472440944881</v>
      </c>
      <c r="V62" s="6">
        <v>1.2344827586206897</v>
      </c>
      <c r="W62" s="6">
        <v>1.0659340659340659</v>
      </c>
      <c r="X62" s="6">
        <v>0.88817891373801916</v>
      </c>
      <c r="Y62" s="6">
        <v>0.73497267759562845</v>
      </c>
      <c r="Z62" s="6">
        <v>1.0514705882352942</v>
      </c>
      <c r="AA62" s="6">
        <v>1.0319919714103882</v>
      </c>
      <c r="AB62" s="6">
        <v>2.0555555555555554</v>
      </c>
      <c r="AC62" s="6">
        <v>1.0287045032315463</v>
      </c>
      <c r="AD62" s="6">
        <v>1.0732824427480916</v>
      </c>
      <c r="AE62" s="6">
        <v>0.98532110091743119</v>
      </c>
      <c r="AF62" s="6">
        <v>0.91803278688524592</v>
      </c>
      <c r="AG62" s="6">
        <v>1.0291970802919708</v>
      </c>
      <c r="AH62" s="6">
        <v>0.71621621621621623</v>
      </c>
      <c r="AI62" s="6">
        <v>0.98019276321163118</v>
      </c>
      <c r="AJ62" s="6">
        <v>0.7694926796050392</v>
      </c>
      <c r="AK62" s="6">
        <v>0.80766961651917402</v>
      </c>
      <c r="AL62" s="6">
        <v>1.0421393841166937</v>
      </c>
      <c r="AM62" s="6">
        <v>0.98175007203918929</v>
      </c>
      <c r="AN62" s="6">
        <v>1.1161971830985915</v>
      </c>
      <c r="AO62" s="6">
        <v>0.92540933899332933</v>
      </c>
      <c r="AP62" s="6">
        <v>1.1324983520105472</v>
      </c>
      <c r="AQ62" s="6">
        <v>1.0970873786407767</v>
      </c>
      <c r="AR62" s="6">
        <v>1.1030465949820789</v>
      </c>
      <c r="AS62" s="6">
        <v>1.0248287012087152</v>
      </c>
      <c r="AT62" s="6">
        <v>1.0211267605633803</v>
      </c>
      <c r="AU62" s="6">
        <v>0.90603858682034577</v>
      </c>
      <c r="AV62" s="6">
        <v>1.0746268656716418</v>
      </c>
      <c r="AW62" s="6">
        <v>1.0116629044394281</v>
      </c>
      <c r="AX62" s="6">
        <v>1.0859656137544982</v>
      </c>
      <c r="AY62" s="6">
        <v>1.1017717346518336</v>
      </c>
      <c r="AZ62" s="6">
        <v>0.83182765809589998</v>
      </c>
      <c r="BA62" s="6">
        <v>1.0354609929078014</v>
      </c>
      <c r="BB62" s="6">
        <v>1.1662625037890271</v>
      </c>
      <c r="BC62" s="6">
        <v>0.9579880234514615</v>
      </c>
      <c r="BD62" s="6">
        <v>0.93119266055045868</v>
      </c>
      <c r="BE62" s="6">
        <v>0.65040858018386105</v>
      </c>
      <c r="BF62" s="6">
        <v>0.79059829059829057</v>
      </c>
      <c r="BG62" s="6">
        <v>1.188078277245558</v>
      </c>
      <c r="BH62" s="6">
        <v>1.0156283915780335</v>
      </c>
      <c r="BI62" s="6">
        <v>1.0079344319469876</v>
      </c>
      <c r="BJ62" s="6">
        <v>1.0035388834822614</v>
      </c>
      <c r="BK62" s="6">
        <v>0.97428740312623141</v>
      </c>
      <c r="BL62" s="6">
        <v>0.66097424412094063</v>
      </c>
      <c r="BM62" s="6">
        <v>1.0728447239116243</v>
      </c>
      <c r="BN62" s="6">
        <v>1.0447427293064877</v>
      </c>
      <c r="BO62" s="6">
        <v>1.09400826446281</v>
      </c>
      <c r="BP62" s="6">
        <v>1.1468682505399568</v>
      </c>
      <c r="BQ62" s="6">
        <v>1.1045307992533515</v>
      </c>
      <c r="BR62" s="6">
        <v>1.0885135135135136</v>
      </c>
      <c r="BS62" s="6">
        <v>0.99885736050276142</v>
      </c>
      <c r="BT62" s="6">
        <v>1.0771408351026186</v>
      </c>
      <c r="BU62" s="6">
        <v>1.0807396928051738</v>
      </c>
      <c r="BV62" s="6">
        <v>0.84838098674122842</v>
      </c>
      <c r="BW62" s="6">
        <v>0.4</v>
      </c>
      <c r="BX62" s="6">
        <v>1.0681818181818181</v>
      </c>
      <c r="BY62" s="6">
        <v>2</v>
      </c>
      <c r="BZ62" s="6">
        <v>0.82109227871939738</v>
      </c>
      <c r="CA62" s="6">
        <v>0.8814512999611952</v>
      </c>
      <c r="CB62" s="6">
        <v>0.99656405697628747</v>
      </c>
    </row>
    <row r="63" spans="1:80">
      <c r="A63" s="6" t="s">
        <v>186</v>
      </c>
      <c r="B63" s="6" t="s">
        <v>196</v>
      </c>
      <c r="C63" s="6">
        <v>1.1413932499764972</v>
      </c>
      <c r="D63" s="6">
        <v>1.1134020618556701</v>
      </c>
      <c r="E63" s="6">
        <v>1.1594896331738438</v>
      </c>
      <c r="F63" s="6">
        <v>1.2043010752688172</v>
      </c>
      <c r="G63" s="6">
        <v>1.1253117206982544</v>
      </c>
      <c r="H63" s="6">
        <v>1.1088235294117648</v>
      </c>
      <c r="I63" s="6">
        <v>1.1649484536082475</v>
      </c>
      <c r="J63" s="6">
        <v>1.1846965699208443</v>
      </c>
      <c r="K63" s="6">
        <v>1.1818181818181819</v>
      </c>
      <c r="L63" s="6">
        <v>1.0922659430122117</v>
      </c>
      <c r="M63" s="6">
        <v>1.100048567265663</v>
      </c>
      <c r="N63" s="6">
        <v>1.1270627062706271</v>
      </c>
      <c r="O63" s="6">
        <v>1.054630593132154</v>
      </c>
      <c r="P63" s="6">
        <v>1.4075546719681908</v>
      </c>
      <c r="Q63" s="6">
        <v>1.2418050234142188</v>
      </c>
      <c r="R63" s="6">
        <v>2</v>
      </c>
      <c r="S63" s="6">
        <v>1.3823529411764706</v>
      </c>
      <c r="T63" s="6">
        <v>1.0666666666666667</v>
      </c>
      <c r="U63" s="6">
        <v>1.2326656394453004</v>
      </c>
      <c r="V63" s="6">
        <v>1.2011173184357542</v>
      </c>
      <c r="W63" s="6">
        <v>1.0515463917525774</v>
      </c>
      <c r="X63" s="6">
        <v>1.2050359712230216</v>
      </c>
      <c r="Y63" s="6">
        <v>1.4089219330855018</v>
      </c>
      <c r="Z63" s="6">
        <v>1.1585081585081585</v>
      </c>
      <c r="AA63" s="6">
        <v>0.94416640971513954</v>
      </c>
      <c r="AB63" s="6">
        <v>1.5135135135135136</v>
      </c>
      <c r="AC63" s="6">
        <v>1.0027725492191077</v>
      </c>
      <c r="AD63" s="6">
        <v>0.11593172119487909</v>
      </c>
      <c r="AE63" s="6">
        <v>1.1284916201117319</v>
      </c>
      <c r="AF63" s="6">
        <v>1.0535714285714286</v>
      </c>
      <c r="AG63" s="6">
        <v>1.1891252955082743</v>
      </c>
      <c r="AH63" s="6">
        <v>0.8867924528301887</v>
      </c>
      <c r="AI63" s="6">
        <v>1.0482479896670973</v>
      </c>
      <c r="AJ63" s="6">
        <v>1.0495575221238937</v>
      </c>
      <c r="AK63" s="6">
        <v>1.0774287801314828</v>
      </c>
      <c r="AL63" s="6">
        <v>1.0870917573872472</v>
      </c>
      <c r="AM63" s="6">
        <v>0.97084434008414044</v>
      </c>
      <c r="AN63" s="6">
        <v>1.0968904912122577</v>
      </c>
      <c r="AO63" s="6">
        <v>1.155307994757536</v>
      </c>
      <c r="AP63" s="6">
        <v>1.1105937136204889</v>
      </c>
      <c r="AQ63" s="6">
        <v>1.0929203539823009</v>
      </c>
      <c r="AR63" s="6">
        <v>1.1604386677497969</v>
      </c>
      <c r="AS63" s="6">
        <v>1.0820343312173684</v>
      </c>
      <c r="AT63" s="6">
        <v>1.2137931034482758</v>
      </c>
      <c r="AU63" s="6">
        <v>0.94717920353982299</v>
      </c>
      <c r="AV63" s="6">
        <v>1.2152777777777777</v>
      </c>
      <c r="AW63" s="6">
        <v>1.0754927482335441</v>
      </c>
      <c r="AX63" s="6">
        <v>1.1104565537555229</v>
      </c>
      <c r="AY63" s="6">
        <v>1.1967090501121915</v>
      </c>
      <c r="AZ63" s="6">
        <v>1.2361459203564467</v>
      </c>
      <c r="BA63" s="6">
        <v>1.1537290715372908</v>
      </c>
      <c r="BB63" s="6">
        <v>0.9850552306692657</v>
      </c>
      <c r="BC63" s="6">
        <v>1.0359235057327065</v>
      </c>
      <c r="BD63" s="6">
        <v>1.0471192974941101</v>
      </c>
      <c r="BE63" s="6">
        <v>0.92749640099463426</v>
      </c>
      <c r="BF63" s="6">
        <v>0.98378378378378384</v>
      </c>
      <c r="BG63" s="6">
        <v>1.1470020675396277</v>
      </c>
      <c r="BH63" s="6">
        <v>1.0554605684975422</v>
      </c>
      <c r="BI63" s="6">
        <v>1.0697231833910035</v>
      </c>
      <c r="BJ63" s="6">
        <v>1.0595080666490346</v>
      </c>
      <c r="BK63" s="6">
        <v>0.96171087667262123</v>
      </c>
      <c r="BL63" s="6">
        <v>1.2719186785260483</v>
      </c>
      <c r="BM63" s="6">
        <v>1.1145629824168082</v>
      </c>
      <c r="BN63" s="6">
        <v>1.0171306209850106</v>
      </c>
      <c r="BO63" s="6">
        <v>1.1410135347812402</v>
      </c>
      <c r="BP63" s="6">
        <v>1.1082862523540489</v>
      </c>
      <c r="BQ63" s="6">
        <v>1.1139960055308036</v>
      </c>
      <c r="BR63" s="6">
        <v>1.1055245189323402</v>
      </c>
      <c r="BS63" s="6">
        <v>1.1378455672068637</v>
      </c>
      <c r="BT63" s="6">
        <v>1.1274638633377136</v>
      </c>
      <c r="BU63" s="6">
        <v>1.1088359046283309</v>
      </c>
      <c r="BV63" s="6">
        <v>1.1530937699340846</v>
      </c>
      <c r="BW63" s="6">
        <v>0.44444444444444442</v>
      </c>
      <c r="BX63" s="6">
        <v>0.93617021276595747</v>
      </c>
      <c r="BY63" s="6">
        <v>0.125</v>
      </c>
      <c r="BZ63" s="6">
        <v>0.83486238532110091</v>
      </c>
      <c r="CA63" s="6">
        <v>1.4932863746423068</v>
      </c>
      <c r="CB63" s="6">
        <v>1.0487669277748275</v>
      </c>
    </row>
    <row r="64" spans="1:80">
      <c r="A64" s="6" t="s">
        <v>187</v>
      </c>
      <c r="B64" s="6" t="s">
        <v>196</v>
      </c>
      <c r="C64" s="6">
        <v>1.1138291738736512</v>
      </c>
      <c r="D64" s="6">
        <v>0.91666666666666663</v>
      </c>
      <c r="E64" s="6">
        <v>1.1141678129298487</v>
      </c>
      <c r="F64" s="6">
        <v>1.0658482142857142</v>
      </c>
      <c r="G64" s="6">
        <v>0.98171745152354573</v>
      </c>
      <c r="H64" s="6">
        <v>1.1237842617152962</v>
      </c>
      <c r="I64" s="6">
        <v>1.1216814159292035</v>
      </c>
      <c r="J64" s="6">
        <v>1.1425389755011135</v>
      </c>
      <c r="K64" s="6">
        <v>1.2136094674556213</v>
      </c>
      <c r="L64" s="6">
        <v>1.0645962732919254</v>
      </c>
      <c r="M64" s="6">
        <v>1.172626931567329</v>
      </c>
      <c r="N64" s="6">
        <v>1.1731332357247437</v>
      </c>
      <c r="O64" s="6">
        <v>1.1070547607301431</v>
      </c>
      <c r="P64" s="6">
        <v>1.3615819209039548</v>
      </c>
      <c r="Q64" s="6">
        <v>1.1028453890983887</v>
      </c>
      <c r="R64" s="6">
        <v>2.5</v>
      </c>
      <c r="S64" s="6">
        <v>1.1170212765957446</v>
      </c>
      <c r="T64" s="6">
        <v>0.9464285714285714</v>
      </c>
      <c r="U64" s="6">
        <v>1.1012500000000001</v>
      </c>
      <c r="V64" s="6">
        <v>1.0790697674418606</v>
      </c>
      <c r="W64" s="6">
        <v>1.0392156862745099</v>
      </c>
      <c r="X64" s="6">
        <v>1.0776119402985074</v>
      </c>
      <c r="Y64" s="6">
        <v>1.104221635883905</v>
      </c>
      <c r="Z64" s="6">
        <v>1.1710261569416498</v>
      </c>
      <c r="AA64" s="6">
        <v>0.72477202502072502</v>
      </c>
      <c r="AB64" s="6">
        <v>1.2142857142857142</v>
      </c>
      <c r="AC64" s="6">
        <v>0.72325799660096901</v>
      </c>
      <c r="AD64" s="6">
        <v>0.82515337423312884</v>
      </c>
      <c r="AE64" s="6">
        <v>1.0808580858085808</v>
      </c>
      <c r="AF64" s="6">
        <v>1.3728813559322033</v>
      </c>
      <c r="AG64" s="6">
        <v>1.0497017892644136</v>
      </c>
      <c r="AH64" s="6">
        <v>0.97872340425531912</v>
      </c>
      <c r="AI64" s="6">
        <v>1.0808060733733456</v>
      </c>
      <c r="AJ64" s="6">
        <v>1.1264755480607083</v>
      </c>
      <c r="AK64" s="6">
        <v>1.1267796610169492</v>
      </c>
      <c r="AL64" s="6">
        <v>1.2804005722460658</v>
      </c>
      <c r="AM64" s="6">
        <v>1.0415197017031139</v>
      </c>
      <c r="AN64" s="6">
        <v>1.1980279375513558</v>
      </c>
      <c r="AO64" s="6">
        <v>1.0578559273964834</v>
      </c>
      <c r="AP64" s="6">
        <v>1.029350104821803</v>
      </c>
      <c r="AQ64" s="6">
        <v>1.1434355118565644</v>
      </c>
      <c r="AR64" s="6">
        <v>1.015750787539377</v>
      </c>
      <c r="AS64" s="6">
        <v>1.1289269969104732</v>
      </c>
      <c r="AT64" s="6">
        <v>1.2159090909090908</v>
      </c>
      <c r="AU64" s="6">
        <v>1.016934306569343</v>
      </c>
      <c r="AV64" s="6">
        <v>1.1904761904761905</v>
      </c>
      <c r="AW64" s="6">
        <v>1.0767634854771784</v>
      </c>
      <c r="AX64" s="6">
        <v>1.1942970822281167</v>
      </c>
      <c r="AY64" s="6">
        <v>1.1468750000000001</v>
      </c>
      <c r="AZ64" s="6">
        <v>1.1356161297589547</v>
      </c>
      <c r="BA64" s="6">
        <v>0.99769129287598945</v>
      </c>
      <c r="BB64" s="6">
        <v>1.2040897097625329</v>
      </c>
      <c r="BC64" s="6">
        <v>1.117449452401011</v>
      </c>
      <c r="BD64" s="6">
        <v>0.92391082020863158</v>
      </c>
      <c r="BE64" s="6">
        <v>1.3251022999858897</v>
      </c>
      <c r="BF64" s="6">
        <v>1.031135531135531</v>
      </c>
      <c r="BG64" s="6">
        <v>1.0229525926816079</v>
      </c>
      <c r="BH64" s="6">
        <v>1.1418446896831023</v>
      </c>
      <c r="BI64" s="6">
        <v>1.1734594856865599</v>
      </c>
      <c r="BJ64" s="6">
        <v>1.1214844400066566</v>
      </c>
      <c r="BK64" s="6">
        <v>1.1446395401815441</v>
      </c>
      <c r="BL64" s="6">
        <v>0.8951048951048951</v>
      </c>
      <c r="BM64" s="6">
        <v>1.1602011494252873</v>
      </c>
      <c r="BN64" s="6">
        <v>1.1824561403508771</v>
      </c>
      <c r="BO64" s="6">
        <v>1.1964137931034482</v>
      </c>
      <c r="BP64" s="6">
        <v>1.193712829226848</v>
      </c>
      <c r="BQ64" s="6">
        <v>1.2147290028961522</v>
      </c>
      <c r="BR64" s="6">
        <v>1.2459292532285233</v>
      </c>
      <c r="BS64" s="6">
        <v>1.104892761394102</v>
      </c>
      <c r="BT64" s="6">
        <v>1.2127039627039626</v>
      </c>
      <c r="BU64" s="6">
        <v>1.1171262332405767</v>
      </c>
      <c r="BV64" s="6">
        <v>1.0532915360501567</v>
      </c>
      <c r="BW64" s="6">
        <v>0.625</v>
      </c>
      <c r="BX64" s="6">
        <v>1.0681818181818181</v>
      </c>
      <c r="BY64" s="6">
        <v>5</v>
      </c>
      <c r="BZ64" s="6">
        <v>1.112887112887113</v>
      </c>
      <c r="CA64" s="6">
        <v>1.0184257075471699</v>
      </c>
      <c r="CB64" s="6">
        <v>1.0565555546764354</v>
      </c>
    </row>
    <row r="65" spans="1:80">
      <c r="A65" s="6" t="s">
        <v>188</v>
      </c>
      <c r="B65" s="6" t="s">
        <v>196</v>
      </c>
      <c r="C65" s="6">
        <v>1.033572432152629</v>
      </c>
      <c r="D65" s="6">
        <v>1.2222222222222223</v>
      </c>
      <c r="E65" s="6">
        <v>0.96296296296296291</v>
      </c>
      <c r="F65" s="6">
        <v>1.12565445026178</v>
      </c>
      <c r="G65" s="6">
        <v>1.0451467268623025</v>
      </c>
      <c r="H65" s="6">
        <v>0.99527930763178596</v>
      </c>
      <c r="I65" s="6">
        <v>1.0260355029585799</v>
      </c>
      <c r="J65" s="6">
        <v>0.94152046783625731</v>
      </c>
      <c r="K65" s="6">
        <v>0.96294490492442708</v>
      </c>
      <c r="L65" s="6">
        <v>1.072345390898483</v>
      </c>
      <c r="M65" s="6">
        <v>1.0948795180722892</v>
      </c>
      <c r="N65" s="6">
        <v>1.0205928237129485</v>
      </c>
      <c r="O65" s="6">
        <v>0.99866310160427807</v>
      </c>
      <c r="P65" s="6">
        <v>1.0653526970954357</v>
      </c>
      <c r="Q65" s="6">
        <v>0.99658066521603983</v>
      </c>
      <c r="R65" s="6">
        <v>1</v>
      </c>
      <c r="S65" s="6">
        <v>0.83809523809523812</v>
      </c>
      <c r="T65" s="6">
        <v>0.96226415094339623</v>
      </c>
      <c r="U65" s="6">
        <v>0.92622020431328034</v>
      </c>
      <c r="V65" s="6">
        <v>0.91379310344827591</v>
      </c>
      <c r="W65" s="6">
        <v>0.93396226415094341</v>
      </c>
      <c r="X65" s="6">
        <v>0.86149584487534625</v>
      </c>
      <c r="Y65" s="6">
        <v>1.2150537634408602</v>
      </c>
      <c r="Z65" s="6">
        <v>0.9467353951890034</v>
      </c>
      <c r="AA65" s="6">
        <v>0.81813455339502961</v>
      </c>
      <c r="AB65" s="6">
        <v>0.75</v>
      </c>
      <c r="AC65" s="6">
        <v>0.81769719075509417</v>
      </c>
      <c r="AD65" s="6">
        <v>0.88475836431226762</v>
      </c>
      <c r="AE65" s="6">
        <v>1.0687022900763359</v>
      </c>
      <c r="AF65" s="6">
        <v>0.75308641975308643</v>
      </c>
      <c r="AG65" s="6">
        <v>1.1287878787878789</v>
      </c>
      <c r="AH65" s="6">
        <v>0.95652173913043481</v>
      </c>
      <c r="AI65" s="6">
        <v>1.0188658428949691</v>
      </c>
      <c r="AJ65" s="6">
        <v>0.90194610778443118</v>
      </c>
      <c r="AK65" s="6">
        <v>0.94283995186522263</v>
      </c>
      <c r="AL65" s="6">
        <v>1.1139664804469274</v>
      </c>
      <c r="AM65" s="6">
        <v>1.086211901306241</v>
      </c>
      <c r="AN65" s="6">
        <v>1.0075445816186557</v>
      </c>
      <c r="AO65" s="6">
        <v>0.90187667560321716</v>
      </c>
      <c r="AP65" s="6">
        <v>0.9969450101832994</v>
      </c>
      <c r="AQ65" s="6">
        <v>0.98482549317147194</v>
      </c>
      <c r="AR65" s="6">
        <v>1.0261888352860096</v>
      </c>
      <c r="AS65" s="6">
        <v>0.86783924233572152</v>
      </c>
      <c r="AT65" s="6">
        <v>0.76635514018691586</v>
      </c>
      <c r="AU65" s="6">
        <v>0.97588285960378984</v>
      </c>
      <c r="AV65" s="6">
        <v>1.044</v>
      </c>
      <c r="AW65" s="6">
        <v>0.96307000642260754</v>
      </c>
      <c r="AX65" s="6">
        <v>0.99305941143808996</v>
      </c>
      <c r="AY65" s="6">
        <v>1.0482288828337876</v>
      </c>
      <c r="AZ65" s="6">
        <v>0.50228129339416783</v>
      </c>
      <c r="BA65" s="6">
        <v>0.88958677685950416</v>
      </c>
      <c r="BB65" s="6">
        <v>0.84474635696285749</v>
      </c>
      <c r="BC65" s="6">
        <v>0.97379208956489782</v>
      </c>
      <c r="BD65" s="6">
        <v>0.98051804294885991</v>
      </c>
      <c r="BE65" s="6">
        <v>0.81620700670855073</v>
      </c>
      <c r="BF65" s="6">
        <v>1.0568383658969804</v>
      </c>
      <c r="BG65" s="6">
        <v>0.85039647577092514</v>
      </c>
      <c r="BH65" s="6">
        <v>0.86655435360879585</v>
      </c>
      <c r="BI65" s="6">
        <v>1.0059954517262766</v>
      </c>
      <c r="BJ65" s="6">
        <v>0.97113815106098833</v>
      </c>
      <c r="BK65" s="6">
        <v>1.0536436007348438</v>
      </c>
      <c r="BL65" s="6">
        <v>1.5978422619047619</v>
      </c>
      <c r="BM65" s="6">
        <v>0.99975232198142416</v>
      </c>
      <c r="BN65" s="6">
        <v>0.98575667655786348</v>
      </c>
      <c r="BO65" s="6">
        <v>0.98593497809545771</v>
      </c>
      <c r="BP65" s="6">
        <v>1.0405693950177937</v>
      </c>
      <c r="BQ65" s="6">
        <v>0.9776339691189827</v>
      </c>
      <c r="BR65" s="6">
        <v>0.99233889139251918</v>
      </c>
      <c r="BS65" s="6">
        <v>1.024567788898999</v>
      </c>
      <c r="BT65" s="6">
        <v>0.89043728976453629</v>
      </c>
      <c r="BU65" s="6">
        <v>1.0225694444444444</v>
      </c>
      <c r="BV65" s="6">
        <v>0.87202380952380953</v>
      </c>
      <c r="BW65" s="6">
        <v>0.8</v>
      </c>
      <c r="BX65" s="6">
        <v>0.87234042553191493</v>
      </c>
      <c r="BY65" s="6">
        <v>1.4</v>
      </c>
      <c r="BZ65" s="6">
        <v>1.6759425493716338</v>
      </c>
      <c r="CA65" s="6">
        <v>0.35316254161238964</v>
      </c>
      <c r="CB65" s="6">
        <v>0.95233905209792047</v>
      </c>
    </row>
    <row r="66" spans="1:80">
      <c r="A66" s="6" t="s">
        <v>189</v>
      </c>
      <c r="B66" s="6" t="s">
        <v>196</v>
      </c>
      <c r="C66" s="6">
        <v>1.0233955784503113</v>
      </c>
      <c r="D66" s="6">
        <v>1.28099173553719</v>
      </c>
      <c r="E66" s="6">
        <v>1.0679487179487179</v>
      </c>
      <c r="F66" s="6">
        <v>1.2288372093023257</v>
      </c>
      <c r="G66" s="6">
        <v>1.0529157667386608</v>
      </c>
      <c r="H66" s="6">
        <v>1.0347826086956522</v>
      </c>
      <c r="I66" s="6">
        <v>1.0319108035371012</v>
      </c>
      <c r="J66" s="6">
        <v>0.95238095238095233</v>
      </c>
      <c r="K66" s="6">
        <v>1.0415189873417721</v>
      </c>
      <c r="L66" s="6">
        <v>1.0217627856365614</v>
      </c>
      <c r="M66" s="6">
        <v>0.89167812929848689</v>
      </c>
      <c r="N66" s="6">
        <v>1.0042800366860287</v>
      </c>
      <c r="O66" s="6">
        <v>1.0174029451137885</v>
      </c>
      <c r="P66" s="6">
        <v>0.97955209347614414</v>
      </c>
      <c r="Q66" s="6">
        <v>1.1054273237679351</v>
      </c>
      <c r="R66" s="6">
        <v>0.6</v>
      </c>
      <c r="S66" s="6">
        <v>1.2613636363636365</v>
      </c>
      <c r="T66" s="6">
        <v>1.6176470588235294</v>
      </c>
      <c r="U66" s="6">
        <v>1.0245098039215685</v>
      </c>
      <c r="V66" s="6">
        <v>1.0943396226415094</v>
      </c>
      <c r="W66" s="6">
        <v>0.91919191919191923</v>
      </c>
      <c r="X66" s="6">
        <v>0.91961414790996787</v>
      </c>
      <c r="Y66" s="6">
        <v>1.2005899705014749</v>
      </c>
      <c r="Z66" s="6">
        <v>1.0834845735027223</v>
      </c>
      <c r="AA66" s="6">
        <v>1.2627097102186071</v>
      </c>
      <c r="AB66" s="6">
        <v>2.7254901960784315</v>
      </c>
      <c r="AC66" s="6">
        <v>1.2594895989706199</v>
      </c>
      <c r="AD66" s="6">
        <v>1.2731092436974789</v>
      </c>
      <c r="AE66" s="6">
        <v>1.0028571428571429</v>
      </c>
      <c r="AF66" s="6">
        <v>0.91803278688524592</v>
      </c>
      <c r="AG66" s="6">
        <v>0.99161073825503354</v>
      </c>
      <c r="AH66" s="6">
        <v>1.2045454545454546</v>
      </c>
      <c r="AI66" s="6">
        <v>1.0125970041508754</v>
      </c>
      <c r="AJ66" s="6">
        <v>0.98049792531120328</v>
      </c>
      <c r="AK66" s="6">
        <v>1.0070197830248884</v>
      </c>
      <c r="AL66" s="6">
        <v>1.0220661985957873</v>
      </c>
      <c r="AM66" s="6">
        <v>0.99216105469445925</v>
      </c>
      <c r="AN66" s="6">
        <v>1.0496936691626957</v>
      </c>
      <c r="AO66" s="6">
        <v>0.97502972651605235</v>
      </c>
      <c r="AP66" s="6">
        <v>1.0771195097037793</v>
      </c>
      <c r="AQ66" s="6">
        <v>1.0241397021058039</v>
      </c>
      <c r="AR66" s="6">
        <v>1.0513767629281396</v>
      </c>
      <c r="AS66" s="6">
        <v>1.0169365411189455</v>
      </c>
      <c r="AT66" s="6">
        <v>0.97560975609756095</v>
      </c>
      <c r="AU66" s="6">
        <v>1.0532509561635774</v>
      </c>
      <c r="AV66" s="6">
        <v>1.078927203065134</v>
      </c>
      <c r="AW66" s="6">
        <v>0.97865955318439479</v>
      </c>
      <c r="AX66" s="6">
        <v>1.0075482247693599</v>
      </c>
      <c r="AY66" s="6">
        <v>0.98622303093319474</v>
      </c>
      <c r="AZ66" s="6">
        <v>1.2081358609794628</v>
      </c>
      <c r="BA66" s="6">
        <v>0.92121887774061684</v>
      </c>
      <c r="BB66" s="6">
        <v>0.99675745784695202</v>
      </c>
      <c r="BC66" s="6">
        <v>1.1413018232493322</v>
      </c>
      <c r="BD66" s="6">
        <v>1.0754120568977197</v>
      </c>
      <c r="BE66" s="6">
        <v>1.1572080887149381</v>
      </c>
      <c r="BF66" s="6">
        <v>1.0739495798319327</v>
      </c>
      <c r="BG66" s="6">
        <v>0.92416079569001242</v>
      </c>
      <c r="BH66" s="6">
        <v>1.0732630717282308</v>
      </c>
      <c r="BI66" s="6">
        <v>1.067543499109467</v>
      </c>
      <c r="BJ66" s="6">
        <v>1.1182672473068989</v>
      </c>
      <c r="BK66" s="6">
        <v>1.0841566895269092</v>
      </c>
      <c r="BL66" s="6">
        <v>2.8558789289871944</v>
      </c>
      <c r="BM66" s="6">
        <v>1.0051034311903877</v>
      </c>
      <c r="BN66" s="6">
        <v>0.98073449729078865</v>
      </c>
      <c r="BO66" s="6">
        <v>0.99532273152478956</v>
      </c>
      <c r="BP66" s="6">
        <v>1.0512995896032831</v>
      </c>
      <c r="BQ66" s="6">
        <v>1.0145163163395656</v>
      </c>
      <c r="BR66" s="6">
        <v>0.98864668483197093</v>
      </c>
      <c r="BS66" s="6">
        <v>0.96862048549437541</v>
      </c>
      <c r="BT66" s="6">
        <v>0.98273070696168374</v>
      </c>
      <c r="BU66" s="6">
        <v>1.023621466007234</v>
      </c>
      <c r="BV66" s="6">
        <v>2.1478618751254768</v>
      </c>
      <c r="BW66" s="6">
        <v>3</v>
      </c>
      <c r="BX66" s="6">
        <v>0.51219512195121952</v>
      </c>
      <c r="BY66" s="6">
        <v>0.42857142857142855</v>
      </c>
      <c r="BZ66" s="6">
        <v>0.83288698446705944</v>
      </c>
      <c r="CA66" s="6">
        <v>6.2049180327868854</v>
      </c>
      <c r="CB66" s="6">
        <v>1.1334643889205607</v>
      </c>
    </row>
    <row r="67" spans="1:80">
      <c r="A67" s="6" t="s">
        <v>190</v>
      </c>
      <c r="B67" s="6" t="s">
        <v>196</v>
      </c>
      <c r="C67" s="6">
        <v>1.0578859060402686</v>
      </c>
      <c r="D67" s="6">
        <v>1.0838709677419356</v>
      </c>
      <c r="E67" s="6">
        <v>0.98679471788715489</v>
      </c>
      <c r="F67" s="6">
        <v>1.0749432248296744</v>
      </c>
      <c r="G67" s="6">
        <v>1.0323076923076924</v>
      </c>
      <c r="H67" s="6">
        <v>1.1298701298701299</v>
      </c>
      <c r="I67" s="6">
        <v>0.98621460506706404</v>
      </c>
      <c r="J67" s="6">
        <v>1.05</v>
      </c>
      <c r="K67" s="6">
        <v>0.98736023334953815</v>
      </c>
      <c r="L67" s="6">
        <v>1.1714589989350372</v>
      </c>
      <c r="M67" s="6">
        <v>1.1453914384882375</v>
      </c>
      <c r="N67" s="6">
        <v>1.0779299847792998</v>
      </c>
      <c r="O67" s="6">
        <v>1.0877192982456141</v>
      </c>
      <c r="P67" s="6">
        <v>1.0566600397614314</v>
      </c>
      <c r="Q67" s="6">
        <v>1.1244356659142212</v>
      </c>
      <c r="R67" s="6">
        <v>0.66666666666666663</v>
      </c>
      <c r="S67" s="6">
        <v>1.0360360360360361</v>
      </c>
      <c r="T67" s="6">
        <v>0.96969696969696972</v>
      </c>
      <c r="U67" s="6">
        <v>1.2452153110047848</v>
      </c>
      <c r="V67" s="6">
        <v>1.2241379310344827</v>
      </c>
      <c r="W67" s="6">
        <v>1.0879120879120878</v>
      </c>
      <c r="X67" s="6">
        <v>1.1048951048951048</v>
      </c>
      <c r="Y67" s="6">
        <v>1.0696150696150697</v>
      </c>
      <c r="Z67" s="6">
        <v>1.1088777219430486</v>
      </c>
      <c r="AA67" s="6">
        <v>1.3592350276799194</v>
      </c>
      <c r="AB67" s="6">
        <v>1.2805755395683454</v>
      </c>
      <c r="AC67" s="6">
        <v>1.3603609739485782</v>
      </c>
      <c r="AD67" s="6">
        <v>1.2871287128712872</v>
      </c>
      <c r="AE67" s="6">
        <v>1.0769230769230769</v>
      </c>
      <c r="AF67" s="6">
        <v>1.25</v>
      </c>
      <c r="AG67" s="6">
        <v>1.0609137055837563</v>
      </c>
      <c r="AH67" s="6">
        <v>1.0188679245283019</v>
      </c>
      <c r="AI67" s="6">
        <v>1.0635559991445069</v>
      </c>
      <c r="AJ67" s="6">
        <v>1.060939483707152</v>
      </c>
      <c r="AK67" s="6">
        <v>0.70152091254752846</v>
      </c>
      <c r="AL67" s="6">
        <v>1.0902845927379785</v>
      </c>
      <c r="AM67" s="6">
        <v>1.0578200754174896</v>
      </c>
      <c r="AN67" s="6">
        <v>1.1656939040207523</v>
      </c>
      <c r="AO67" s="6">
        <v>1.1676829268292683</v>
      </c>
      <c r="AP67" s="6">
        <v>1.166429587482219</v>
      </c>
      <c r="AQ67" s="6">
        <v>1.1013039117352057</v>
      </c>
      <c r="AR67" s="6">
        <v>1.0095816033216225</v>
      </c>
      <c r="AS67" s="6">
        <v>1.1303787324483467</v>
      </c>
      <c r="AT67" s="6">
        <v>0.96250000000000002</v>
      </c>
      <c r="AU67" s="6">
        <v>1.1078212290502794</v>
      </c>
      <c r="AV67" s="6">
        <v>1.1335227272727273</v>
      </c>
      <c r="AW67" s="6">
        <v>1.0776831345826234</v>
      </c>
      <c r="AX67" s="6">
        <v>1.0588235294117647</v>
      </c>
      <c r="AY67" s="6">
        <v>1.0643120716921455</v>
      </c>
      <c r="AZ67" s="6">
        <v>1.2752533507682249</v>
      </c>
      <c r="BA67" s="6">
        <v>1.1194029850746268</v>
      </c>
      <c r="BB67" s="6">
        <v>1.1761873780091086</v>
      </c>
      <c r="BC67" s="6">
        <v>1.0294319656075908</v>
      </c>
      <c r="BD67" s="6">
        <v>1.2462733571278606</v>
      </c>
      <c r="BE67" s="6">
        <v>1.1819616685456595</v>
      </c>
      <c r="BF67" s="6">
        <v>1.1752738654147106</v>
      </c>
      <c r="BG67" s="6">
        <v>1.1174887892376681</v>
      </c>
      <c r="BH67" s="6">
        <v>1.1351892458766326</v>
      </c>
      <c r="BI67" s="6">
        <v>1.1015143737166324</v>
      </c>
      <c r="BJ67" s="6">
        <v>1.1493475438956071</v>
      </c>
      <c r="BK67" s="6">
        <v>1.0477913584217862</v>
      </c>
      <c r="BL67" s="6">
        <v>0.35007337355291046</v>
      </c>
      <c r="BM67" s="6">
        <v>1.0918882945946613</v>
      </c>
      <c r="BN67" s="6">
        <v>1.098219766728054</v>
      </c>
      <c r="BO67" s="6">
        <v>1.1452067669172932</v>
      </c>
      <c r="BP67" s="6">
        <v>1.199089134677944</v>
      </c>
      <c r="BQ67" s="6">
        <v>1.0850503663003663</v>
      </c>
      <c r="BR67" s="6">
        <v>1.067524115755627</v>
      </c>
      <c r="BS67" s="6">
        <v>1.1253056234718826</v>
      </c>
      <c r="BT67" s="6">
        <v>1.0620538165842943</v>
      </c>
      <c r="BU67" s="6">
        <v>1.0594216485180645</v>
      </c>
      <c r="BV67" s="6">
        <v>0.56736925737252886</v>
      </c>
      <c r="BW67" s="6">
        <v>0.41666666666666669</v>
      </c>
      <c r="BX67" s="6">
        <v>1.4285714285714286</v>
      </c>
      <c r="BY67" s="6">
        <v>2.3333333333333335</v>
      </c>
      <c r="BZ67" s="6">
        <v>1.0265273311897105</v>
      </c>
      <c r="CA67" s="6">
        <v>0.37721268163804489</v>
      </c>
      <c r="CB67" s="6">
        <v>1.0546635170712926</v>
      </c>
    </row>
    <row r="68" spans="1:80">
      <c r="A68" s="6" t="s">
        <v>191</v>
      </c>
      <c r="B68" s="6" t="s">
        <v>196</v>
      </c>
      <c r="C68" s="6">
        <v>1.119349722442506</v>
      </c>
      <c r="D68" s="6">
        <v>0.86309523809523814</v>
      </c>
      <c r="E68" s="6">
        <v>1.2518248175182483</v>
      </c>
      <c r="F68" s="6">
        <v>1.0401408450704226</v>
      </c>
      <c r="G68" s="6">
        <v>1.0104321907600595</v>
      </c>
      <c r="H68" s="6">
        <v>1.2954699121027722</v>
      </c>
      <c r="I68" s="6">
        <v>1.0600680015111448</v>
      </c>
      <c r="J68" s="6">
        <v>1.0041407867494825</v>
      </c>
      <c r="K68" s="6">
        <v>1.0492368291482028</v>
      </c>
      <c r="L68" s="6">
        <v>1.1254545454545455</v>
      </c>
      <c r="M68" s="6">
        <v>1.2383838383838384</v>
      </c>
      <c r="N68" s="6">
        <v>1.0725783676927421</v>
      </c>
      <c r="O68" s="6">
        <v>1.0838709677419356</v>
      </c>
      <c r="P68" s="6">
        <v>1.0470366886171214</v>
      </c>
      <c r="Q68" s="6">
        <v>0.78745294855708914</v>
      </c>
      <c r="R68" s="6">
        <v>3.5</v>
      </c>
      <c r="S68" s="6">
        <v>1.1043478260869566</v>
      </c>
      <c r="T68" s="6">
        <v>0.91874999999999996</v>
      </c>
      <c r="U68" s="6">
        <v>0.7694524495677233</v>
      </c>
      <c r="V68" s="6">
        <v>0.91549295774647887</v>
      </c>
      <c r="W68" s="6">
        <v>0.98989898989898994</v>
      </c>
      <c r="X68" s="6">
        <v>0.90506329113924056</v>
      </c>
      <c r="Y68" s="6">
        <v>0.56967840735068909</v>
      </c>
      <c r="Z68" s="6">
        <v>1.0045317220543806</v>
      </c>
      <c r="AA68" s="6">
        <v>0.95759281200631907</v>
      </c>
      <c r="AB68" s="6">
        <v>1.1404494382022472</v>
      </c>
      <c r="AC68" s="6">
        <v>0.960197261371317</v>
      </c>
      <c r="AD68" s="6">
        <v>0.60512820512820509</v>
      </c>
      <c r="AE68" s="6">
        <v>0.95899470899470896</v>
      </c>
      <c r="AF68" s="6">
        <v>1.1857142857142857</v>
      </c>
      <c r="AG68" s="6">
        <v>0.92344497607655507</v>
      </c>
      <c r="AH68" s="6">
        <v>1.1851851851851851</v>
      </c>
      <c r="AI68" s="6">
        <v>1.0397828199886048</v>
      </c>
      <c r="AJ68" s="6">
        <v>0.90147586757080178</v>
      </c>
      <c r="AK68" s="6">
        <v>0.93134598012646796</v>
      </c>
      <c r="AL68" s="6">
        <v>0.97569756975697575</v>
      </c>
      <c r="AM68" s="6">
        <v>1.1128840604311663</v>
      </c>
      <c r="AN68" s="6">
        <v>1.0751043115438108</v>
      </c>
      <c r="AO68" s="6">
        <v>1.122715404699739</v>
      </c>
      <c r="AP68" s="6">
        <v>0.89878048780487807</v>
      </c>
      <c r="AQ68" s="6">
        <v>1.0136612021857923</v>
      </c>
      <c r="AR68" s="6">
        <v>0.97753875355900033</v>
      </c>
      <c r="AS68" s="6">
        <v>0.99516074345775674</v>
      </c>
      <c r="AT68" s="6">
        <v>0.9285714285714286</v>
      </c>
      <c r="AU68" s="6">
        <v>1.0695915279878971</v>
      </c>
      <c r="AV68" s="6">
        <v>0.95050125313283207</v>
      </c>
      <c r="AW68" s="6">
        <v>1.0546949098956686</v>
      </c>
      <c r="AX68" s="6">
        <v>1.0047169811320755</v>
      </c>
      <c r="AY68" s="6">
        <v>1.0178306092124814</v>
      </c>
      <c r="AZ68" s="6">
        <v>0.83850294796206104</v>
      </c>
      <c r="BA68" s="6">
        <v>1.0356756756756758</v>
      </c>
      <c r="BB68" s="6">
        <v>0.99092820002212634</v>
      </c>
      <c r="BC68" s="6">
        <v>1.0155019603966919</v>
      </c>
      <c r="BD68" s="6">
        <v>1.0630053908355794</v>
      </c>
      <c r="BE68" s="6">
        <v>1.0194582220526516</v>
      </c>
      <c r="BF68" s="6">
        <v>1.1504660452729694</v>
      </c>
      <c r="BG68" s="6">
        <v>1.0464151952915999</v>
      </c>
      <c r="BH68" s="6">
        <v>0.98572268413538255</v>
      </c>
      <c r="BI68" s="6">
        <v>1.0280787603402073</v>
      </c>
      <c r="BJ68" s="6">
        <v>1.0373298460441063</v>
      </c>
      <c r="BK68" s="6">
        <v>0.95382568877746798</v>
      </c>
      <c r="BL68" s="6">
        <v>1.3181183046110851</v>
      </c>
      <c r="BM68" s="6">
        <v>1.0453509108557755</v>
      </c>
      <c r="BN68" s="6">
        <v>0.97372833985466745</v>
      </c>
      <c r="BO68" s="6">
        <v>1.0223635617562576</v>
      </c>
      <c r="BP68" s="6">
        <v>1.0233315246880086</v>
      </c>
      <c r="BQ68" s="6">
        <v>1.0765903576326616</v>
      </c>
      <c r="BR68" s="6">
        <v>1.1032702237521514</v>
      </c>
      <c r="BS68" s="6">
        <v>1.0491580662683324</v>
      </c>
      <c r="BT68" s="6">
        <v>1.0744570837642193</v>
      </c>
      <c r="BU68" s="6">
        <v>1.0300864474848548</v>
      </c>
      <c r="BV68" s="6">
        <v>0.92677100494233933</v>
      </c>
      <c r="BW68" s="6">
        <v>1</v>
      </c>
      <c r="BX68" s="6">
        <v>1.1000000000000001</v>
      </c>
      <c r="BY68" s="6">
        <v>0.2857142857142857</v>
      </c>
      <c r="BZ68" s="6">
        <v>1.060610806577917</v>
      </c>
      <c r="CA68" s="6">
        <v>0.776396427946069</v>
      </c>
      <c r="CB68" s="6">
        <v>1.0115079756618977</v>
      </c>
    </row>
    <row r="69" spans="1:80">
      <c r="A69" s="6" t="s">
        <v>192</v>
      </c>
      <c r="B69" s="6" t="s">
        <v>196</v>
      </c>
      <c r="C69" s="6">
        <v>1.0394969890187744</v>
      </c>
      <c r="D69" s="6">
        <v>1.0827586206896551</v>
      </c>
      <c r="E69" s="6">
        <v>0.87949465500485913</v>
      </c>
      <c r="F69" s="6">
        <v>1.0758293838862558</v>
      </c>
      <c r="G69" s="6">
        <v>0.92527040314650932</v>
      </c>
      <c r="H69" s="6">
        <v>1.0897703549060542</v>
      </c>
      <c r="I69" s="6">
        <v>1.1072701354240913</v>
      </c>
      <c r="J69" s="6">
        <v>1.0082474226804123</v>
      </c>
      <c r="K69" s="6">
        <v>1.0361332707648991</v>
      </c>
      <c r="L69" s="6">
        <v>1.0945072697899838</v>
      </c>
      <c r="M69" s="6">
        <v>1.0396954866775421</v>
      </c>
      <c r="N69" s="6">
        <v>0.91495523959978942</v>
      </c>
      <c r="O69" s="6">
        <v>0.96168154761904767</v>
      </c>
      <c r="P69" s="6">
        <v>0.80053908355795145</v>
      </c>
      <c r="Q69" s="6">
        <v>1.0379222434671767</v>
      </c>
      <c r="R69" s="6">
        <v>1</v>
      </c>
      <c r="S69" s="6">
        <v>1.110236220472441</v>
      </c>
      <c r="T69" s="6">
        <v>0.82993197278911568</v>
      </c>
      <c r="U69" s="6">
        <v>1</v>
      </c>
      <c r="V69" s="6">
        <v>0.92307692307692313</v>
      </c>
      <c r="W69" s="6">
        <v>0.98979591836734693</v>
      </c>
      <c r="X69" s="6">
        <v>1.0419580419580419</v>
      </c>
      <c r="Y69" s="6">
        <v>1.1693548387096775</v>
      </c>
      <c r="Z69" s="6">
        <v>1.0315789473684212</v>
      </c>
      <c r="AA69" s="6">
        <v>0.59565912254472342</v>
      </c>
      <c r="AB69" s="6">
        <v>0.72906403940886699</v>
      </c>
      <c r="AC69" s="6">
        <v>0.59232995281174228</v>
      </c>
      <c r="AD69" s="6">
        <v>1.0254237288135593</v>
      </c>
      <c r="AE69" s="6">
        <v>1.056551724137931</v>
      </c>
      <c r="AF69" s="6">
        <v>1.0240963855421688</v>
      </c>
      <c r="AG69" s="6">
        <v>1.0829015544041452</v>
      </c>
      <c r="AH69" s="6">
        <v>0.859375</v>
      </c>
      <c r="AI69" s="6">
        <v>1.0730724600309438</v>
      </c>
      <c r="AJ69" s="6">
        <v>1.1805309734513274</v>
      </c>
      <c r="AK69" s="6">
        <v>1.0116391852570321</v>
      </c>
      <c r="AL69" s="6">
        <v>1</v>
      </c>
      <c r="AM69" s="6">
        <v>1.0526235509456987</v>
      </c>
      <c r="AN69" s="6">
        <v>1.0271668822768434</v>
      </c>
      <c r="AO69" s="6">
        <v>0.98697674418604653</v>
      </c>
      <c r="AP69" s="6">
        <v>0.96698326549072822</v>
      </c>
      <c r="AQ69" s="6">
        <v>1.0305480682839174</v>
      </c>
      <c r="AR69" s="6">
        <v>1.3485436893203884</v>
      </c>
      <c r="AS69" s="6">
        <v>1.0654463234838629</v>
      </c>
      <c r="AT69" s="6">
        <v>0.94405594405594406</v>
      </c>
      <c r="AU69" s="6">
        <v>0.96393210749646396</v>
      </c>
      <c r="AV69" s="6">
        <v>0.9353988134475939</v>
      </c>
      <c r="AW69" s="6">
        <v>0.98141486810551559</v>
      </c>
      <c r="AX69" s="6">
        <v>1.5378195096504956</v>
      </c>
      <c r="AY69" s="6">
        <v>0.94136253041362528</v>
      </c>
      <c r="AZ69" s="6">
        <v>0.95811678385814736</v>
      </c>
      <c r="BA69" s="6">
        <v>1.2512178148921365</v>
      </c>
      <c r="BB69" s="6">
        <v>1.0034609802389194</v>
      </c>
      <c r="BC69" s="6">
        <v>0.97128627743620521</v>
      </c>
      <c r="BD69" s="6">
        <v>0.90190174326465922</v>
      </c>
      <c r="BE69" s="6">
        <v>0.99176646706586824</v>
      </c>
      <c r="BF69" s="6">
        <v>0.86921296296296291</v>
      </c>
      <c r="BG69" s="6">
        <v>1.0017256806851591</v>
      </c>
      <c r="BH69" s="6">
        <v>1.0611740649228933</v>
      </c>
      <c r="BI69" s="6">
        <v>0.99660018132366279</v>
      </c>
      <c r="BJ69" s="6">
        <v>1.0248696349779383</v>
      </c>
      <c r="BK69" s="6">
        <v>0.89851418763074609</v>
      </c>
      <c r="BL69" s="6">
        <v>0.9885159010600707</v>
      </c>
      <c r="BM69" s="6">
        <v>0.99416947395698363</v>
      </c>
      <c r="BN69" s="6">
        <v>0.99081515499425943</v>
      </c>
      <c r="BO69" s="6">
        <v>1.0483644390929159</v>
      </c>
      <c r="BP69" s="6">
        <v>0.80169671261930009</v>
      </c>
      <c r="BQ69" s="6">
        <v>0.99813816756491913</v>
      </c>
      <c r="BR69" s="6">
        <v>0.82176287051482055</v>
      </c>
      <c r="BS69" s="6">
        <v>1.0041418586590733</v>
      </c>
      <c r="BT69" s="6">
        <v>0.90423484119345521</v>
      </c>
      <c r="BU69" s="6">
        <v>1.034097667349501</v>
      </c>
      <c r="BV69" s="6">
        <v>1.0589280952804194</v>
      </c>
      <c r="BW69" s="6">
        <v>0.4</v>
      </c>
      <c r="BX69" s="6">
        <v>1.8181818181818181</v>
      </c>
      <c r="BY69" s="6">
        <v>6</v>
      </c>
      <c r="BZ69" s="6">
        <v>1.3597164796219727</v>
      </c>
      <c r="CA69" s="6">
        <v>0.59359494812810099</v>
      </c>
      <c r="CB69" s="6">
        <v>0.95465438027761429</v>
      </c>
    </row>
    <row r="70" spans="1:80">
      <c r="A70" s="6" t="s">
        <v>193</v>
      </c>
      <c r="B70" s="6" t="s">
        <v>196</v>
      </c>
      <c r="C70" s="6">
        <v>0.93201567558357468</v>
      </c>
      <c r="D70" s="6">
        <v>0.99363057324840764</v>
      </c>
      <c r="E70" s="6">
        <v>1.0674033149171271</v>
      </c>
      <c r="F70" s="6">
        <v>0.90497168030207675</v>
      </c>
      <c r="G70" s="6">
        <v>0.99574920297555791</v>
      </c>
      <c r="H70" s="6">
        <v>0.82710727969348663</v>
      </c>
      <c r="I70" s="6">
        <v>0.91309945284840688</v>
      </c>
      <c r="J70" s="6">
        <v>1.0040899795501022</v>
      </c>
      <c r="K70" s="6">
        <v>0.98007246376811596</v>
      </c>
      <c r="L70" s="6">
        <v>0.90036900369003692</v>
      </c>
      <c r="M70" s="6">
        <v>0.92442468619246865</v>
      </c>
      <c r="N70" s="6">
        <v>0.99251798561151083</v>
      </c>
      <c r="O70" s="6">
        <v>1.0615087040618956</v>
      </c>
      <c r="P70" s="6">
        <v>0.79012345679012341</v>
      </c>
      <c r="Q70" s="6">
        <v>1.3039607000307032</v>
      </c>
      <c r="R70" s="6">
        <v>0.2857142857142857</v>
      </c>
      <c r="S70" s="6">
        <v>0.72340425531914898</v>
      </c>
      <c r="T70" s="6">
        <v>1.098360655737705</v>
      </c>
      <c r="U70" s="6">
        <v>1.3121098626716605</v>
      </c>
      <c r="V70" s="6">
        <v>1.1708333333333334</v>
      </c>
      <c r="W70" s="6">
        <v>1.1855670103092784</v>
      </c>
      <c r="X70" s="6">
        <v>1.4295302013422819</v>
      </c>
      <c r="Y70" s="6">
        <v>1.6379310344827587</v>
      </c>
      <c r="Z70" s="6">
        <v>1.0379008746355685</v>
      </c>
      <c r="AA70" s="6">
        <v>1.4952397438116669</v>
      </c>
      <c r="AB70" s="6">
        <v>1.3513513513513513</v>
      </c>
      <c r="AC70" s="6">
        <v>1.4984154929577465</v>
      </c>
      <c r="AD70" s="6">
        <v>1.28099173553719</v>
      </c>
      <c r="AE70" s="6">
        <v>1.0848563968668408</v>
      </c>
      <c r="AF70" s="6">
        <v>1.0588235294117647</v>
      </c>
      <c r="AG70" s="6">
        <v>1.0845295055821371</v>
      </c>
      <c r="AH70" s="6">
        <v>1.1090909090909091</v>
      </c>
      <c r="AI70" s="6">
        <v>1.1120422937130154</v>
      </c>
      <c r="AJ70" s="6">
        <v>1.1435532233883059</v>
      </c>
      <c r="AK70" s="6">
        <v>1.2329817833173538</v>
      </c>
      <c r="AL70" s="6">
        <v>1.0627306273062731</v>
      </c>
      <c r="AM70" s="6">
        <v>1.0701347630778149</v>
      </c>
      <c r="AN70" s="6">
        <v>0.97254408060453401</v>
      </c>
      <c r="AO70" s="6">
        <v>1.5499528746465598</v>
      </c>
      <c r="AP70" s="6">
        <v>1.2521047708138446</v>
      </c>
      <c r="AQ70" s="6">
        <v>1.0671316477768091</v>
      </c>
      <c r="AR70" s="6">
        <v>1.0775137988960883</v>
      </c>
      <c r="AS70" s="6">
        <v>1.0749440390709033</v>
      </c>
      <c r="AT70" s="6">
        <v>1.288888888888889</v>
      </c>
      <c r="AU70" s="6">
        <v>1.0635852286622647</v>
      </c>
      <c r="AV70" s="6">
        <v>1.1825229034531359</v>
      </c>
      <c r="AW70" s="6">
        <v>0.98259010384850332</v>
      </c>
      <c r="AX70" s="6">
        <v>0.79579375848032563</v>
      </c>
      <c r="AY70" s="6">
        <v>1.1064874644611011</v>
      </c>
      <c r="AZ70" s="6">
        <v>1.2922782386726228</v>
      </c>
      <c r="BA70" s="6">
        <v>1.1279199110122358</v>
      </c>
      <c r="BB70" s="6">
        <v>1.1658878504672898</v>
      </c>
      <c r="BC70" s="6">
        <v>1.1307684599068026</v>
      </c>
      <c r="BD70" s="6">
        <v>0.94043226146547176</v>
      </c>
      <c r="BE70" s="6">
        <v>1.223679245283019</v>
      </c>
      <c r="BF70" s="6">
        <v>1.292942743009321</v>
      </c>
      <c r="BG70" s="6">
        <v>1.0805206405921011</v>
      </c>
      <c r="BH70" s="6">
        <v>1.0601364913689282</v>
      </c>
      <c r="BI70" s="6">
        <v>1.0053445531043894</v>
      </c>
      <c r="BJ70" s="6">
        <v>1.098909700866648</v>
      </c>
      <c r="BK70" s="6">
        <v>1.2798041907945794</v>
      </c>
      <c r="BL70" s="6">
        <v>1.0293118856121537</v>
      </c>
      <c r="BM70" s="6">
        <v>1.0889048177592424</v>
      </c>
      <c r="BN70" s="6">
        <v>1.13441483198146</v>
      </c>
      <c r="BO70" s="6">
        <v>1.0809724349157734</v>
      </c>
      <c r="BP70" s="6">
        <v>1.0793650793650793</v>
      </c>
      <c r="BQ70" s="6">
        <v>1.0783428234832122</v>
      </c>
      <c r="BR70" s="6">
        <v>1.144280968201234</v>
      </c>
      <c r="BS70" s="6">
        <v>1.0537509667440061</v>
      </c>
      <c r="BT70" s="6">
        <v>1.1000532197977648</v>
      </c>
      <c r="BU70" s="6">
        <v>1.1029458751357915</v>
      </c>
      <c r="BV70" s="6">
        <v>0.94099378881987583</v>
      </c>
      <c r="BW70" s="6">
        <v>2</v>
      </c>
      <c r="BX70" s="6">
        <v>0.93333333333333335</v>
      </c>
      <c r="BY70" s="6">
        <v>0.91666666666666663</v>
      </c>
      <c r="BZ70" s="6">
        <v>0.70862293657688968</v>
      </c>
      <c r="CA70" s="6">
        <v>1.753419452887538</v>
      </c>
      <c r="CB70" s="6">
        <v>1.1247637115424569</v>
      </c>
    </row>
    <row r="71" spans="1:80">
      <c r="A71" s="6" t="s">
        <v>194</v>
      </c>
      <c r="B71" s="6" t="s">
        <v>196</v>
      </c>
      <c r="C71" s="6">
        <v>1.1893967093235831</v>
      </c>
      <c r="D71" s="6">
        <v>1.0705128205128205</v>
      </c>
      <c r="E71" s="6">
        <v>1.1076604554865424</v>
      </c>
      <c r="F71" s="6">
        <v>1.2579972183588317</v>
      </c>
      <c r="G71" s="6">
        <v>1.3068303094983991</v>
      </c>
      <c r="H71" s="6">
        <v>1.1644470179502027</v>
      </c>
      <c r="I71" s="6">
        <v>1.1149101163200563</v>
      </c>
      <c r="J71" s="6">
        <v>1.1507128309572301</v>
      </c>
      <c r="K71" s="6">
        <v>1.1857670979667283</v>
      </c>
      <c r="L71" s="6">
        <v>1.360655737704918</v>
      </c>
      <c r="M71" s="6">
        <v>1.1493635077793494</v>
      </c>
      <c r="N71" s="6">
        <v>1.1162655842273124</v>
      </c>
      <c r="O71" s="6">
        <v>1.1552478134110786</v>
      </c>
      <c r="P71" s="6">
        <v>0.96875</v>
      </c>
      <c r="Q71" s="6">
        <v>1.0955968919237109</v>
      </c>
      <c r="R71" s="6">
        <v>2</v>
      </c>
      <c r="S71" s="6">
        <v>1.3235294117647058</v>
      </c>
      <c r="T71" s="6">
        <v>1.1044776119402986</v>
      </c>
      <c r="U71" s="6">
        <v>1.373929590865842</v>
      </c>
      <c r="V71" s="6">
        <v>1.2989323843416369</v>
      </c>
      <c r="W71" s="6">
        <v>1.0869565217391304</v>
      </c>
      <c r="X71" s="6">
        <v>1.4178403755868545</v>
      </c>
      <c r="Y71" s="6">
        <v>0.66315789473684206</v>
      </c>
      <c r="Z71" s="6">
        <v>1.2373595505617978</v>
      </c>
      <c r="AA71" s="6">
        <v>1.9045496642741375</v>
      </c>
      <c r="AB71" s="6">
        <v>1.875</v>
      </c>
      <c r="AC71" s="6">
        <v>1.9117025026436376</v>
      </c>
      <c r="AD71" s="6">
        <v>1.1354838709677419</v>
      </c>
      <c r="AE71" s="6">
        <v>1.3164861612515042</v>
      </c>
      <c r="AF71" s="6">
        <v>1.4222222222222223</v>
      </c>
      <c r="AG71" s="6">
        <v>1.3058823529411765</v>
      </c>
      <c r="AH71" s="6">
        <v>1.2459016393442623</v>
      </c>
      <c r="AI71" s="6">
        <v>1.3882120958374977</v>
      </c>
      <c r="AJ71" s="6">
        <v>1.2307440183546379</v>
      </c>
      <c r="AK71" s="6">
        <v>2.644634525660964</v>
      </c>
      <c r="AL71" s="6">
        <v>1.0998263888888888</v>
      </c>
      <c r="AM71" s="6">
        <v>1.2935680433310766</v>
      </c>
      <c r="AN71" s="6">
        <v>1.2061642061642062</v>
      </c>
      <c r="AO71" s="6">
        <v>1.7348738218303437</v>
      </c>
      <c r="AP71" s="6">
        <v>1.1759432200224131</v>
      </c>
      <c r="AQ71" s="6">
        <v>1.1707516339869282</v>
      </c>
      <c r="AR71" s="6">
        <v>1.666815144766147</v>
      </c>
      <c r="AS71" s="6">
        <v>1.1904967953051897</v>
      </c>
      <c r="AT71" s="6">
        <v>1.1609195402298851</v>
      </c>
      <c r="AU71" s="6">
        <v>1.177971947574155</v>
      </c>
      <c r="AV71" s="6">
        <v>1.2187127532777116</v>
      </c>
      <c r="AW71" s="6">
        <v>1.1818464407833384</v>
      </c>
      <c r="AX71" s="6">
        <v>1.1344842284739982</v>
      </c>
      <c r="AY71" s="6">
        <v>1.12940901658491</v>
      </c>
      <c r="AZ71" s="6">
        <v>1.2874074074074073</v>
      </c>
      <c r="BA71" s="6">
        <v>1.2384122287968442</v>
      </c>
      <c r="BB71" s="6">
        <v>1.1880904666475809</v>
      </c>
      <c r="BC71" s="6">
        <v>1.1587459842694139</v>
      </c>
      <c r="BD71" s="6">
        <v>1.1677877428998504</v>
      </c>
      <c r="BE71" s="6">
        <v>1.218872870249017</v>
      </c>
      <c r="BF71" s="6">
        <v>1.1277033985581875</v>
      </c>
      <c r="BG71" s="6">
        <v>1.1736049601417184</v>
      </c>
      <c r="BH71" s="6">
        <v>1.1153438352014542</v>
      </c>
      <c r="BI71" s="6">
        <v>1.1503789164121705</v>
      </c>
      <c r="BJ71" s="6">
        <v>1.1854584308537701</v>
      </c>
      <c r="BK71" s="6">
        <v>1.167319712659763</v>
      </c>
      <c r="BL71" s="6">
        <v>0.94703941656537594</v>
      </c>
      <c r="BM71" s="6">
        <v>1.1465161277453073</v>
      </c>
      <c r="BN71" s="6">
        <v>1.0909090909090908</v>
      </c>
      <c r="BO71" s="6">
        <v>1.1096157251638037</v>
      </c>
      <c r="BP71" s="6">
        <v>1.3498774509803921</v>
      </c>
      <c r="BQ71" s="6">
        <v>1.1679715950473415</v>
      </c>
      <c r="BR71" s="6">
        <v>1.287432600580672</v>
      </c>
      <c r="BS71" s="6">
        <v>1.1136391437308868</v>
      </c>
      <c r="BT71" s="6">
        <v>1.2002902757619738</v>
      </c>
      <c r="BU71" s="6">
        <v>1.1212050984936268</v>
      </c>
      <c r="BV71" s="6">
        <v>1.0964231558290964</v>
      </c>
      <c r="BW71" s="6">
        <v>0.75</v>
      </c>
      <c r="BX71" s="6">
        <v>1.4285714285714286</v>
      </c>
      <c r="BY71" s="6">
        <v>1.5454545454545454</v>
      </c>
      <c r="BZ71" s="6">
        <v>1.0665134099616858</v>
      </c>
      <c r="CA71" s="6">
        <v>1.1330444203683641</v>
      </c>
      <c r="CB71" s="6">
        <v>1.262747021808778</v>
      </c>
    </row>
    <row r="72" spans="1:80">
      <c r="A72" s="6" t="s">
        <v>195</v>
      </c>
      <c r="B72" s="6" t="s">
        <v>196</v>
      </c>
      <c r="C72" s="6">
        <v>1.008504969771493</v>
      </c>
      <c r="D72" s="6">
        <v>1.2694610778443114</v>
      </c>
      <c r="E72" s="6">
        <v>0.96728971962616828</v>
      </c>
      <c r="F72" s="6">
        <v>1.1243781094527363</v>
      </c>
      <c r="G72" s="6">
        <v>0.91057574520212337</v>
      </c>
      <c r="H72" s="6">
        <v>1.0621581302834411</v>
      </c>
      <c r="I72" s="6">
        <v>1.0641795763515649</v>
      </c>
      <c r="J72" s="6">
        <v>1.0814159292035399</v>
      </c>
      <c r="K72" s="6">
        <v>1.0062353858144972</v>
      </c>
      <c r="L72" s="6">
        <v>0.86626506024096384</v>
      </c>
      <c r="M72" s="6">
        <v>0.99310854048732466</v>
      </c>
      <c r="N72" s="6">
        <v>0.91376623376623378</v>
      </c>
      <c r="O72" s="6">
        <v>0.92365930599369084</v>
      </c>
      <c r="P72" s="6">
        <v>0.8621700879765396</v>
      </c>
      <c r="Q72" s="6">
        <v>0.84483129163980231</v>
      </c>
      <c r="R72" s="6">
        <v>0.5</v>
      </c>
      <c r="S72" s="6">
        <v>0.88888888888888884</v>
      </c>
      <c r="T72" s="6">
        <v>0.8783783783783784</v>
      </c>
      <c r="U72" s="6">
        <v>0.58240997229916902</v>
      </c>
      <c r="V72" s="6">
        <v>0.76712328767123283</v>
      </c>
      <c r="W72" s="6">
        <v>0.95199999999999996</v>
      </c>
      <c r="X72" s="6">
        <v>0.79139072847682124</v>
      </c>
      <c r="Y72" s="6">
        <v>1.0783068783068783</v>
      </c>
      <c r="Z72" s="6">
        <v>1.0692395005675368</v>
      </c>
      <c r="AA72" s="6">
        <v>0.92166367808406524</v>
      </c>
      <c r="AB72" s="6">
        <v>0.81599999999999995</v>
      </c>
      <c r="AC72" s="6">
        <v>0.92278971144095145</v>
      </c>
      <c r="AD72" s="6">
        <v>0.83238636363636365</v>
      </c>
      <c r="AE72" s="6">
        <v>0.90310786106032903</v>
      </c>
      <c r="AF72" s="6">
        <v>1.2578125</v>
      </c>
      <c r="AG72" s="6">
        <v>0.84459459459459463</v>
      </c>
      <c r="AH72" s="6">
        <v>1.0263157894736843</v>
      </c>
      <c r="AI72" s="6">
        <v>0.83340143599322869</v>
      </c>
      <c r="AJ72" s="6">
        <v>0.72436750998668442</v>
      </c>
      <c r="AK72" s="6">
        <v>0.83210820346956782</v>
      </c>
      <c r="AL72" s="6">
        <v>0.90607734806629836</v>
      </c>
      <c r="AM72" s="6">
        <v>0.88977284622631636</v>
      </c>
      <c r="AN72" s="6">
        <v>1.1097272922482284</v>
      </c>
      <c r="AO72" s="6">
        <v>0.62407991587802314</v>
      </c>
      <c r="AP72" s="6">
        <v>0.86658195679796701</v>
      </c>
      <c r="AQ72" s="6">
        <v>0.94312630844382417</v>
      </c>
      <c r="AR72" s="6">
        <v>0.664484233030465</v>
      </c>
      <c r="AS72" s="6">
        <v>0.92319574748415534</v>
      </c>
      <c r="AT72" s="6">
        <v>0.87128712871287128</v>
      </c>
      <c r="AU72" s="6">
        <v>1.0128830763224672</v>
      </c>
      <c r="AV72" s="6">
        <v>0.84743276283618585</v>
      </c>
      <c r="AW72" s="6">
        <v>1.0065754865860073</v>
      </c>
      <c r="AX72" s="6">
        <v>0.80349427014841257</v>
      </c>
      <c r="AY72" s="6">
        <v>0.95243019648397109</v>
      </c>
      <c r="AZ72" s="6">
        <v>0.91024165707710014</v>
      </c>
      <c r="BA72" s="6">
        <v>0.8309775034839737</v>
      </c>
      <c r="BB72" s="6">
        <v>0.95718875502008027</v>
      </c>
      <c r="BC72" s="6">
        <v>1.1048757170172083</v>
      </c>
      <c r="BD72" s="6">
        <v>1.1788799999999999</v>
      </c>
      <c r="BE72" s="6">
        <v>1.1588235294117648</v>
      </c>
      <c r="BF72" s="6">
        <v>1.069406392694064</v>
      </c>
      <c r="BG72" s="6">
        <v>1.0491572327044025</v>
      </c>
      <c r="BH72" s="6">
        <v>0.85088612752088</v>
      </c>
      <c r="BI72" s="6">
        <v>0.9932648345705718</v>
      </c>
      <c r="BJ72" s="6">
        <v>1.0296150049358341</v>
      </c>
      <c r="BK72" s="6">
        <v>1.2571828171828172</v>
      </c>
      <c r="BL72" s="6">
        <v>1.0991932526585992</v>
      </c>
      <c r="BM72" s="6">
        <v>0.96906534901524111</v>
      </c>
      <c r="BN72" s="6">
        <v>0.91760299625468167</v>
      </c>
      <c r="BO72" s="6">
        <v>0.85157995531439512</v>
      </c>
      <c r="BP72" s="6">
        <v>1.0208806173399909</v>
      </c>
      <c r="BQ72" s="6">
        <v>0.94824226362148256</v>
      </c>
      <c r="BR72" s="6">
        <v>0.92976804123711343</v>
      </c>
      <c r="BS72" s="6">
        <v>1.0995166959578206</v>
      </c>
      <c r="BT72" s="6">
        <v>1.0483675937122128</v>
      </c>
      <c r="BU72" s="6">
        <v>0.9556634973129392</v>
      </c>
      <c r="BV72" s="6">
        <v>1.0230231044581841</v>
      </c>
      <c r="BW72" s="6">
        <v>2</v>
      </c>
      <c r="BX72" s="6">
        <v>0.82499999999999996</v>
      </c>
      <c r="BY72" s="6">
        <v>1.1176470588235294</v>
      </c>
      <c r="BZ72" s="6">
        <v>1.2307802845236384</v>
      </c>
      <c r="CA72" s="6">
        <v>0.74909160451329126</v>
      </c>
      <c r="CB72" s="6">
        <v>0.99248684658586772</v>
      </c>
    </row>
    <row r="73" spans="1:80">
      <c r="A73" s="6" t="s">
        <v>275</v>
      </c>
      <c r="B73" s="6" t="s">
        <v>196</v>
      </c>
      <c r="C73" s="6">
        <v>1.1333570412517782</v>
      </c>
      <c r="D73" s="6">
        <v>0.94811320754716977</v>
      </c>
      <c r="E73" s="6">
        <v>1.2096618357487923</v>
      </c>
      <c r="F73" s="6">
        <v>0.95132743362831862</v>
      </c>
      <c r="G73" s="6">
        <v>1.083408071748879</v>
      </c>
      <c r="H73" s="6">
        <v>1.1830524344569289</v>
      </c>
      <c r="I73" s="6">
        <v>1.1625074272133096</v>
      </c>
      <c r="J73" s="6">
        <v>1.1260229132569559</v>
      </c>
      <c r="K73" s="6">
        <v>1.2587141750580946</v>
      </c>
      <c r="L73" s="6">
        <v>1.1453407510431155</v>
      </c>
      <c r="M73" s="6">
        <v>1.1105328376703842</v>
      </c>
      <c r="N73" s="6">
        <v>0.95196134167140423</v>
      </c>
      <c r="O73" s="6">
        <v>0.99248633879781423</v>
      </c>
      <c r="P73" s="6">
        <v>0.75</v>
      </c>
      <c r="Q73" s="6">
        <v>1.0478249809208853</v>
      </c>
      <c r="R73" s="6">
        <v>3</v>
      </c>
      <c r="S73" s="6">
        <v>1.2583333333333333</v>
      </c>
      <c r="T73" s="6">
        <v>1.0846153846153845</v>
      </c>
      <c r="U73" s="6">
        <v>1.0903686087990487</v>
      </c>
      <c r="V73" s="6">
        <v>0.98571428571428577</v>
      </c>
      <c r="W73" s="6">
        <v>1.0168067226890756</v>
      </c>
      <c r="X73" s="6">
        <v>0.75732217573221761</v>
      </c>
      <c r="Y73" s="6">
        <v>1.1197252208047106</v>
      </c>
      <c r="Z73" s="6">
        <v>1.0690021231422506</v>
      </c>
      <c r="AA73" s="6">
        <v>0.93589553346193799</v>
      </c>
      <c r="AB73" s="6">
        <v>0.84967320261437906</v>
      </c>
      <c r="AC73" s="6">
        <v>0.9357277253276054</v>
      </c>
      <c r="AD73" s="6">
        <v>1.0443686006825939</v>
      </c>
      <c r="AE73" s="6">
        <v>1.2722672064777327</v>
      </c>
      <c r="AF73" s="6">
        <v>1.2670807453416149</v>
      </c>
      <c r="AG73" s="6">
        <v>1.2973333333333332</v>
      </c>
      <c r="AH73" s="6">
        <v>1</v>
      </c>
      <c r="AI73" s="6">
        <v>1.051224580327333</v>
      </c>
      <c r="AJ73" s="6">
        <v>1.0007352941176471</v>
      </c>
      <c r="AK73" s="6">
        <v>0.94805653710247351</v>
      </c>
      <c r="AL73" s="6">
        <v>1.1019163763066202</v>
      </c>
      <c r="AM73" s="6">
        <v>1.000764705882353</v>
      </c>
      <c r="AN73" s="6">
        <v>1.0770123839009287</v>
      </c>
      <c r="AO73" s="6">
        <v>1.3044088739118225</v>
      </c>
      <c r="AP73" s="6">
        <v>1.0839442815249267</v>
      </c>
      <c r="AQ73" s="6">
        <v>1.0506844247132816</v>
      </c>
      <c r="AR73" s="6">
        <v>1.0733963402372813</v>
      </c>
      <c r="AS73" s="6">
        <v>1.073277559055118</v>
      </c>
      <c r="AT73" s="6">
        <v>0.85227272727272729</v>
      </c>
      <c r="AU73" s="6">
        <v>1.0701483908267488</v>
      </c>
      <c r="AV73" s="6">
        <v>1.0248124639353722</v>
      </c>
      <c r="AW73" s="6">
        <v>1.1000783903841129</v>
      </c>
      <c r="AX73" s="6">
        <v>1.0631283610007014</v>
      </c>
      <c r="AY73" s="6">
        <v>0.96981541802388704</v>
      </c>
      <c r="AZ73" s="6">
        <v>1.2543194268857987</v>
      </c>
      <c r="BA73" s="6">
        <v>1.026353617632966</v>
      </c>
      <c r="BB73" s="6">
        <v>1.0638583536124864</v>
      </c>
      <c r="BC73" s="6">
        <v>1.0425023795102535</v>
      </c>
      <c r="BD73" s="6">
        <v>1.0764115092290989</v>
      </c>
      <c r="BE73" s="6">
        <v>0.83630806178702033</v>
      </c>
      <c r="BF73" s="6">
        <v>0.94022203245089664</v>
      </c>
      <c r="BG73" s="6">
        <v>1.1385478611164397</v>
      </c>
      <c r="BH73" s="6">
        <v>1.1894501635942862</v>
      </c>
      <c r="BI73" s="6">
        <v>0.99683231043357756</v>
      </c>
      <c r="BJ73" s="6">
        <v>1.1813331110092125</v>
      </c>
      <c r="BK73" s="6">
        <v>0.98587139633196652</v>
      </c>
      <c r="BL73" s="6">
        <v>1.2031693077564638</v>
      </c>
      <c r="BM73" s="6">
        <v>1.0649215411684441</v>
      </c>
      <c r="BN73" s="6">
        <v>1.0066326530612244</v>
      </c>
      <c r="BO73" s="6">
        <v>1.1233133433283358</v>
      </c>
      <c r="BP73" s="6">
        <v>0.98488216985326815</v>
      </c>
      <c r="BQ73" s="6">
        <v>1.0533497739416358</v>
      </c>
      <c r="BR73" s="6">
        <v>1.0214830214830215</v>
      </c>
      <c r="BS73" s="6">
        <v>1.0280719280719282</v>
      </c>
      <c r="BT73" s="6">
        <v>1.0426758938869665</v>
      </c>
      <c r="BU73" s="6">
        <v>1.1010057315886232</v>
      </c>
      <c r="BV73" s="6">
        <v>1.0741948310139164</v>
      </c>
      <c r="BW73" s="6">
        <v>0.16666666666666666</v>
      </c>
      <c r="BX73" s="6">
        <v>0.86363636363636365</v>
      </c>
      <c r="BY73" s="6">
        <v>0.94736842105263153</v>
      </c>
      <c r="BZ73" s="6">
        <v>1.1530647985989493</v>
      </c>
      <c r="CA73" s="6">
        <v>0.90707173857544043</v>
      </c>
      <c r="CB73" s="6">
        <v>1.0389277766636302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68BE-A6A8-46A9-A5DE-5D7EC1BE8014}">
  <dimension ref="A1:CB75"/>
  <sheetViews>
    <sheetView topLeftCell="A25" workbookViewId="0">
      <selection activeCell="E1" sqref="E1"/>
    </sheetView>
  </sheetViews>
  <sheetFormatPr defaultRowHeight="15"/>
  <cols>
    <col min="3" max="3" width="9.42578125" customWidth="1"/>
  </cols>
  <sheetData>
    <row r="1" spans="1:80">
      <c r="A1" s="2" t="s">
        <v>278</v>
      </c>
      <c r="B1" s="2" t="s">
        <v>276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1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1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1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1" t="s">
        <v>78</v>
      </c>
    </row>
    <row r="2" spans="1:80">
      <c r="A2" t="s">
        <v>160</v>
      </c>
      <c r="B2" t="s">
        <v>0</v>
      </c>
      <c r="C2">
        <v>7908</v>
      </c>
      <c r="D2">
        <v>322</v>
      </c>
      <c r="E2">
        <v>2423</v>
      </c>
      <c r="F2">
        <v>529</v>
      </c>
      <c r="G2">
        <v>663</v>
      </c>
      <c r="H2">
        <v>2071</v>
      </c>
      <c r="I2">
        <v>604</v>
      </c>
      <c r="J2">
        <v>859</v>
      </c>
      <c r="K2">
        <v>68</v>
      </c>
      <c r="L2">
        <v>273</v>
      </c>
      <c r="M2">
        <v>91</v>
      </c>
      <c r="N2">
        <v>273</v>
      </c>
      <c r="O2">
        <v>250</v>
      </c>
      <c r="P2">
        <v>22</v>
      </c>
      <c r="Q2">
        <v>13375</v>
      </c>
      <c r="R2">
        <v>614</v>
      </c>
      <c r="S2">
        <v>63</v>
      </c>
      <c r="T2">
        <v>10</v>
      </c>
      <c r="U2">
        <v>439</v>
      </c>
      <c r="V2">
        <v>37</v>
      </c>
      <c r="W2">
        <v>6270</v>
      </c>
      <c r="X2">
        <v>221</v>
      </c>
      <c r="Y2">
        <v>5595</v>
      </c>
      <c r="Z2">
        <v>124</v>
      </c>
      <c r="AA2">
        <v>6458</v>
      </c>
      <c r="AB2">
        <v>4636</v>
      </c>
      <c r="AC2">
        <v>1615</v>
      </c>
      <c r="AD2">
        <v>210</v>
      </c>
      <c r="AE2">
        <v>145</v>
      </c>
      <c r="AF2">
        <v>122</v>
      </c>
      <c r="AG2">
        <v>14</v>
      </c>
      <c r="AH2">
        <v>10</v>
      </c>
      <c r="AI2">
        <v>1041</v>
      </c>
      <c r="AJ2">
        <v>102</v>
      </c>
      <c r="AK2">
        <v>86</v>
      </c>
      <c r="AL2">
        <v>109</v>
      </c>
      <c r="AM2">
        <v>229</v>
      </c>
      <c r="AN2">
        <v>89</v>
      </c>
      <c r="AO2">
        <v>9</v>
      </c>
      <c r="AP2">
        <v>157</v>
      </c>
      <c r="AQ2">
        <v>61</v>
      </c>
      <c r="AR2">
        <v>199</v>
      </c>
      <c r="AS2">
        <v>5340</v>
      </c>
      <c r="AT2">
        <v>165</v>
      </c>
      <c r="AU2">
        <v>72</v>
      </c>
      <c r="AV2">
        <v>15</v>
      </c>
      <c r="AW2">
        <v>116</v>
      </c>
      <c r="AX2">
        <v>148</v>
      </c>
      <c r="AY2">
        <v>318</v>
      </c>
      <c r="AZ2">
        <v>501</v>
      </c>
      <c r="BA2">
        <v>3703</v>
      </c>
      <c r="BB2">
        <v>306</v>
      </c>
      <c r="BC2">
        <v>2742</v>
      </c>
      <c r="BD2">
        <v>366</v>
      </c>
      <c r="BE2">
        <v>336</v>
      </c>
      <c r="BF2">
        <v>39</v>
      </c>
      <c r="BG2">
        <v>322</v>
      </c>
      <c r="BH2">
        <v>406</v>
      </c>
      <c r="BI2">
        <v>142</v>
      </c>
      <c r="BJ2">
        <v>280</v>
      </c>
      <c r="BK2">
        <v>392</v>
      </c>
      <c r="BL2">
        <v>461</v>
      </c>
      <c r="BM2">
        <v>1077</v>
      </c>
      <c r="BN2">
        <v>31</v>
      </c>
      <c r="BO2">
        <v>36</v>
      </c>
      <c r="BP2">
        <v>2</v>
      </c>
      <c r="BQ2">
        <v>65</v>
      </c>
      <c r="BR2">
        <v>14</v>
      </c>
      <c r="BS2">
        <v>196</v>
      </c>
      <c r="BT2">
        <v>277</v>
      </c>
      <c r="BU2">
        <v>454</v>
      </c>
      <c r="BV2">
        <v>4003</v>
      </c>
      <c r="BW2">
        <v>156</v>
      </c>
      <c r="BX2">
        <v>196</v>
      </c>
      <c r="BY2">
        <v>1</v>
      </c>
      <c r="BZ2">
        <v>2674</v>
      </c>
      <c r="CA2">
        <v>979</v>
      </c>
      <c r="CB2">
        <v>42370</v>
      </c>
    </row>
    <row r="3" spans="1:80">
      <c r="A3" t="s">
        <v>161</v>
      </c>
      <c r="B3" t="s">
        <v>0</v>
      </c>
      <c r="C3">
        <v>9491</v>
      </c>
      <c r="D3">
        <v>244</v>
      </c>
      <c r="E3">
        <v>2639</v>
      </c>
      <c r="F3">
        <v>682</v>
      </c>
      <c r="G3">
        <v>646</v>
      </c>
      <c r="H3">
        <v>3205</v>
      </c>
      <c r="I3">
        <v>514</v>
      </c>
      <c r="J3">
        <v>1128</v>
      </c>
      <c r="K3">
        <v>65</v>
      </c>
      <c r="L3">
        <v>267</v>
      </c>
      <c r="M3">
        <v>97</v>
      </c>
      <c r="N3">
        <v>227</v>
      </c>
      <c r="O3">
        <v>211</v>
      </c>
      <c r="P3">
        <v>17</v>
      </c>
      <c r="Q3">
        <v>14125</v>
      </c>
      <c r="R3">
        <v>515</v>
      </c>
      <c r="S3">
        <v>44</v>
      </c>
      <c r="T3">
        <v>14</v>
      </c>
      <c r="U3">
        <v>409</v>
      </c>
      <c r="V3">
        <v>33</v>
      </c>
      <c r="W3">
        <v>5642</v>
      </c>
      <c r="X3">
        <v>206</v>
      </c>
      <c r="Y3">
        <v>7128</v>
      </c>
      <c r="Z3">
        <v>133</v>
      </c>
      <c r="AA3">
        <v>7232</v>
      </c>
      <c r="AB3">
        <v>5314</v>
      </c>
      <c r="AC3">
        <v>1660</v>
      </c>
      <c r="AD3">
        <v>260</v>
      </c>
      <c r="AE3">
        <v>111</v>
      </c>
      <c r="AF3">
        <v>100</v>
      </c>
      <c r="AG3">
        <v>1</v>
      </c>
      <c r="AH3">
        <v>10</v>
      </c>
      <c r="AI3">
        <v>1175</v>
      </c>
      <c r="AJ3">
        <v>90</v>
      </c>
      <c r="AK3">
        <v>117</v>
      </c>
      <c r="AL3">
        <v>236</v>
      </c>
      <c r="AM3">
        <v>246</v>
      </c>
      <c r="AN3">
        <v>92</v>
      </c>
      <c r="AO3">
        <v>9</v>
      </c>
      <c r="AP3">
        <v>145</v>
      </c>
      <c r="AQ3">
        <v>57</v>
      </c>
      <c r="AR3">
        <v>182</v>
      </c>
      <c r="AS3">
        <v>6062</v>
      </c>
      <c r="AT3">
        <v>151</v>
      </c>
      <c r="AU3">
        <v>62</v>
      </c>
      <c r="AV3">
        <v>13</v>
      </c>
      <c r="AW3">
        <v>137</v>
      </c>
      <c r="AX3">
        <v>168</v>
      </c>
      <c r="AY3">
        <v>447</v>
      </c>
      <c r="AZ3">
        <v>584</v>
      </c>
      <c r="BA3">
        <v>4153</v>
      </c>
      <c r="BB3">
        <v>348</v>
      </c>
      <c r="BC3">
        <v>3286</v>
      </c>
      <c r="BD3">
        <v>378</v>
      </c>
      <c r="BE3">
        <v>382</v>
      </c>
      <c r="BF3">
        <v>54</v>
      </c>
      <c r="BG3">
        <v>351</v>
      </c>
      <c r="BH3">
        <v>480</v>
      </c>
      <c r="BI3">
        <v>219</v>
      </c>
      <c r="BJ3">
        <v>327</v>
      </c>
      <c r="BK3">
        <v>508</v>
      </c>
      <c r="BL3">
        <v>587</v>
      </c>
      <c r="BM3">
        <v>1261</v>
      </c>
      <c r="BN3">
        <v>28</v>
      </c>
      <c r="BO3">
        <v>35</v>
      </c>
      <c r="BP3">
        <v>3</v>
      </c>
      <c r="BQ3">
        <v>88</v>
      </c>
      <c r="BR3">
        <v>23</v>
      </c>
      <c r="BS3">
        <v>241</v>
      </c>
      <c r="BT3">
        <v>250</v>
      </c>
      <c r="BU3">
        <v>589</v>
      </c>
      <c r="BV3">
        <v>4036</v>
      </c>
      <c r="BW3">
        <v>153</v>
      </c>
      <c r="BX3">
        <v>205</v>
      </c>
      <c r="BY3">
        <v>0</v>
      </c>
      <c r="BZ3">
        <v>2590</v>
      </c>
      <c r="CA3">
        <v>1087</v>
      </c>
      <c r="CB3">
        <v>47007</v>
      </c>
    </row>
    <row r="4" spans="1:80">
      <c r="A4" t="s">
        <v>162</v>
      </c>
      <c r="B4" t="s">
        <v>0</v>
      </c>
      <c r="C4">
        <v>9726</v>
      </c>
      <c r="D4">
        <v>163</v>
      </c>
      <c r="E4">
        <v>3090</v>
      </c>
      <c r="F4">
        <v>676</v>
      </c>
      <c r="G4">
        <v>676</v>
      </c>
      <c r="H4">
        <v>3014</v>
      </c>
      <c r="I4">
        <v>581</v>
      </c>
      <c r="J4">
        <v>1101</v>
      </c>
      <c r="K4">
        <v>82</v>
      </c>
      <c r="L4">
        <v>238</v>
      </c>
      <c r="M4">
        <v>105</v>
      </c>
      <c r="N4">
        <v>285</v>
      </c>
      <c r="O4">
        <v>266</v>
      </c>
      <c r="P4">
        <v>19</v>
      </c>
      <c r="Q4">
        <v>13459</v>
      </c>
      <c r="R4">
        <v>528</v>
      </c>
      <c r="S4">
        <v>51</v>
      </c>
      <c r="T4">
        <v>8</v>
      </c>
      <c r="U4">
        <v>402</v>
      </c>
      <c r="V4">
        <v>21</v>
      </c>
      <c r="W4">
        <v>3939</v>
      </c>
      <c r="X4">
        <v>240</v>
      </c>
      <c r="Y4">
        <v>8113</v>
      </c>
      <c r="Z4">
        <v>159</v>
      </c>
      <c r="AA4">
        <v>9594</v>
      </c>
      <c r="AB4">
        <v>6024</v>
      </c>
      <c r="AC4">
        <v>2882</v>
      </c>
      <c r="AD4">
        <v>690</v>
      </c>
      <c r="AE4">
        <v>131</v>
      </c>
      <c r="AF4">
        <v>113</v>
      </c>
      <c r="AG4">
        <v>1</v>
      </c>
      <c r="AH4">
        <v>12</v>
      </c>
      <c r="AI4">
        <v>1295</v>
      </c>
      <c r="AJ4">
        <v>106</v>
      </c>
      <c r="AK4">
        <v>175</v>
      </c>
      <c r="AL4">
        <v>221</v>
      </c>
      <c r="AM4">
        <v>293</v>
      </c>
      <c r="AN4">
        <v>105</v>
      </c>
      <c r="AO4">
        <v>12</v>
      </c>
      <c r="AP4">
        <v>136</v>
      </c>
      <c r="AQ4">
        <v>76</v>
      </c>
      <c r="AR4">
        <v>171</v>
      </c>
      <c r="AS4">
        <v>6257</v>
      </c>
      <c r="AT4">
        <v>180</v>
      </c>
      <c r="AU4">
        <v>67</v>
      </c>
      <c r="AV4">
        <v>33</v>
      </c>
      <c r="AW4">
        <v>168</v>
      </c>
      <c r="AX4">
        <v>196</v>
      </c>
      <c r="AY4">
        <v>464</v>
      </c>
      <c r="AZ4">
        <v>909</v>
      </c>
      <c r="BA4">
        <v>3833</v>
      </c>
      <c r="BB4">
        <v>407</v>
      </c>
      <c r="BC4">
        <v>4118</v>
      </c>
      <c r="BD4">
        <v>490</v>
      </c>
      <c r="BE4">
        <v>459</v>
      </c>
      <c r="BF4">
        <v>80</v>
      </c>
      <c r="BG4">
        <v>430</v>
      </c>
      <c r="BH4">
        <v>635</v>
      </c>
      <c r="BI4">
        <v>291</v>
      </c>
      <c r="BJ4">
        <v>413</v>
      </c>
      <c r="BK4">
        <v>736</v>
      </c>
      <c r="BL4">
        <v>583</v>
      </c>
      <c r="BM4">
        <v>1305</v>
      </c>
      <c r="BN4">
        <v>37</v>
      </c>
      <c r="BO4">
        <v>42</v>
      </c>
      <c r="BP4">
        <v>5</v>
      </c>
      <c r="BQ4">
        <v>125</v>
      </c>
      <c r="BR4">
        <v>22</v>
      </c>
      <c r="BS4">
        <v>252</v>
      </c>
      <c r="BT4">
        <v>241</v>
      </c>
      <c r="BU4">
        <v>582</v>
      </c>
      <c r="BV4">
        <v>4722</v>
      </c>
      <c r="BW4">
        <v>186</v>
      </c>
      <c r="BX4">
        <v>250</v>
      </c>
      <c r="BY4">
        <v>2</v>
      </c>
      <c r="BZ4">
        <v>3440</v>
      </c>
      <c r="CA4">
        <v>845</v>
      </c>
      <c r="CB4">
        <v>50891</v>
      </c>
    </row>
    <row r="5" spans="1:80">
      <c r="A5" t="s">
        <v>163</v>
      </c>
      <c r="B5" t="s">
        <v>0</v>
      </c>
      <c r="C5">
        <v>9312</v>
      </c>
      <c r="D5">
        <v>182</v>
      </c>
      <c r="E5">
        <v>3239</v>
      </c>
      <c r="F5">
        <v>793</v>
      </c>
      <c r="G5">
        <v>739</v>
      </c>
      <c r="H5">
        <v>2411</v>
      </c>
      <c r="I5">
        <v>651</v>
      </c>
      <c r="J5">
        <v>765</v>
      </c>
      <c r="K5">
        <v>92</v>
      </c>
      <c r="L5">
        <v>304</v>
      </c>
      <c r="M5">
        <v>135</v>
      </c>
      <c r="N5">
        <v>332</v>
      </c>
      <c r="O5">
        <v>313</v>
      </c>
      <c r="P5">
        <v>21</v>
      </c>
      <c r="Q5">
        <v>13677</v>
      </c>
      <c r="R5">
        <v>346</v>
      </c>
      <c r="S5">
        <v>59</v>
      </c>
      <c r="T5">
        <v>8</v>
      </c>
      <c r="U5">
        <v>461</v>
      </c>
      <c r="V5">
        <v>20</v>
      </c>
      <c r="W5">
        <v>4371</v>
      </c>
      <c r="X5">
        <v>290</v>
      </c>
      <c r="Y5">
        <v>7955</v>
      </c>
      <c r="Z5">
        <v>163</v>
      </c>
      <c r="AA5">
        <v>10879</v>
      </c>
      <c r="AB5">
        <v>6857</v>
      </c>
      <c r="AC5">
        <v>2915</v>
      </c>
      <c r="AD5">
        <v>1105</v>
      </c>
      <c r="AE5">
        <v>136</v>
      </c>
      <c r="AF5">
        <v>117</v>
      </c>
      <c r="AG5">
        <v>1</v>
      </c>
      <c r="AH5">
        <v>18</v>
      </c>
      <c r="AI5">
        <v>1534</v>
      </c>
      <c r="AJ5">
        <v>106</v>
      </c>
      <c r="AK5">
        <v>253</v>
      </c>
      <c r="AL5">
        <v>188</v>
      </c>
      <c r="AM5">
        <v>381</v>
      </c>
      <c r="AN5">
        <v>125</v>
      </c>
      <c r="AO5">
        <v>17</v>
      </c>
      <c r="AP5">
        <v>181</v>
      </c>
      <c r="AQ5">
        <v>82</v>
      </c>
      <c r="AR5">
        <v>198</v>
      </c>
      <c r="AS5">
        <v>6480</v>
      </c>
      <c r="AT5">
        <v>187</v>
      </c>
      <c r="AU5">
        <v>67</v>
      </c>
      <c r="AV5">
        <v>50</v>
      </c>
      <c r="AW5">
        <v>209</v>
      </c>
      <c r="AX5">
        <v>218</v>
      </c>
      <c r="AY5">
        <v>556</v>
      </c>
      <c r="AZ5">
        <v>1027</v>
      </c>
      <c r="BA5">
        <v>3621</v>
      </c>
      <c r="BB5">
        <v>549</v>
      </c>
      <c r="BC5">
        <v>4867</v>
      </c>
      <c r="BD5">
        <v>566</v>
      </c>
      <c r="BE5">
        <v>523</v>
      </c>
      <c r="BF5">
        <v>79</v>
      </c>
      <c r="BG5">
        <v>511</v>
      </c>
      <c r="BH5">
        <v>808</v>
      </c>
      <c r="BI5">
        <v>317</v>
      </c>
      <c r="BJ5">
        <v>542</v>
      </c>
      <c r="BK5">
        <v>820</v>
      </c>
      <c r="BL5">
        <v>696</v>
      </c>
      <c r="BM5">
        <v>1427</v>
      </c>
      <c r="BN5">
        <v>38</v>
      </c>
      <c r="BO5">
        <v>36</v>
      </c>
      <c r="BP5">
        <v>2</v>
      </c>
      <c r="BQ5">
        <v>142</v>
      </c>
      <c r="BR5">
        <v>30</v>
      </c>
      <c r="BS5">
        <v>311</v>
      </c>
      <c r="BT5">
        <v>260</v>
      </c>
      <c r="BU5">
        <v>604</v>
      </c>
      <c r="BV5">
        <v>5072</v>
      </c>
      <c r="BW5">
        <v>197</v>
      </c>
      <c r="BX5">
        <v>321</v>
      </c>
      <c r="BY5">
        <v>0</v>
      </c>
      <c r="BZ5">
        <v>3702</v>
      </c>
      <c r="CA5">
        <v>854</v>
      </c>
      <c r="CB5">
        <v>53721</v>
      </c>
    </row>
    <row r="6" spans="1:80">
      <c r="A6" t="s">
        <v>164</v>
      </c>
      <c r="B6" t="s">
        <v>0</v>
      </c>
      <c r="C6">
        <v>10584</v>
      </c>
      <c r="D6">
        <v>226</v>
      </c>
      <c r="E6">
        <v>3669</v>
      </c>
      <c r="F6">
        <v>957</v>
      </c>
      <c r="G6">
        <v>913</v>
      </c>
      <c r="H6">
        <v>2449</v>
      </c>
      <c r="I6">
        <v>825</v>
      </c>
      <c r="J6">
        <v>888</v>
      </c>
      <c r="K6">
        <v>112</v>
      </c>
      <c r="L6">
        <v>405</v>
      </c>
      <c r="M6">
        <v>141</v>
      </c>
      <c r="N6">
        <v>378</v>
      </c>
      <c r="O6">
        <v>355</v>
      </c>
      <c r="P6">
        <v>22</v>
      </c>
      <c r="Q6">
        <v>13495</v>
      </c>
      <c r="R6">
        <v>398</v>
      </c>
      <c r="S6">
        <v>61</v>
      </c>
      <c r="T6">
        <v>11</v>
      </c>
      <c r="U6">
        <v>419</v>
      </c>
      <c r="V6">
        <v>9</v>
      </c>
      <c r="W6">
        <v>4539</v>
      </c>
      <c r="X6">
        <v>328</v>
      </c>
      <c r="Y6">
        <v>7539</v>
      </c>
      <c r="Z6">
        <v>193</v>
      </c>
      <c r="AA6">
        <v>11613</v>
      </c>
      <c r="AB6">
        <v>7345</v>
      </c>
      <c r="AC6">
        <v>3123</v>
      </c>
      <c r="AD6">
        <v>1144</v>
      </c>
      <c r="AE6">
        <v>157</v>
      </c>
      <c r="AF6">
        <v>131</v>
      </c>
      <c r="AG6">
        <v>1</v>
      </c>
      <c r="AH6">
        <v>22</v>
      </c>
      <c r="AI6">
        <v>1818</v>
      </c>
      <c r="AJ6">
        <v>77</v>
      </c>
      <c r="AK6">
        <v>195</v>
      </c>
      <c r="AL6">
        <v>297</v>
      </c>
      <c r="AM6">
        <v>517</v>
      </c>
      <c r="AN6">
        <v>155</v>
      </c>
      <c r="AO6">
        <v>15</v>
      </c>
      <c r="AP6">
        <v>192</v>
      </c>
      <c r="AQ6">
        <v>94</v>
      </c>
      <c r="AR6">
        <v>275</v>
      </c>
      <c r="AS6">
        <v>7078</v>
      </c>
      <c r="AT6">
        <v>259</v>
      </c>
      <c r="AU6">
        <v>98</v>
      </c>
      <c r="AV6">
        <v>61</v>
      </c>
      <c r="AW6">
        <v>247</v>
      </c>
      <c r="AX6">
        <v>268</v>
      </c>
      <c r="AY6">
        <v>603</v>
      </c>
      <c r="AZ6">
        <v>1179</v>
      </c>
      <c r="BA6">
        <v>3816</v>
      </c>
      <c r="BB6">
        <v>547</v>
      </c>
      <c r="BC6">
        <v>5720</v>
      </c>
      <c r="BD6">
        <v>614</v>
      </c>
      <c r="BE6">
        <v>629</v>
      </c>
      <c r="BF6">
        <v>95</v>
      </c>
      <c r="BG6">
        <v>618</v>
      </c>
      <c r="BH6">
        <v>904</v>
      </c>
      <c r="BI6">
        <v>401</v>
      </c>
      <c r="BJ6">
        <v>656</v>
      </c>
      <c r="BK6">
        <v>887</v>
      </c>
      <c r="BL6">
        <v>917</v>
      </c>
      <c r="BM6">
        <v>1778</v>
      </c>
      <c r="BN6">
        <v>91</v>
      </c>
      <c r="BO6">
        <v>45</v>
      </c>
      <c r="BP6">
        <v>4</v>
      </c>
      <c r="BQ6">
        <v>175</v>
      </c>
      <c r="BR6">
        <v>36</v>
      </c>
      <c r="BS6">
        <v>367</v>
      </c>
      <c r="BT6">
        <v>338</v>
      </c>
      <c r="BU6">
        <v>716</v>
      </c>
      <c r="BV6">
        <v>5759</v>
      </c>
      <c r="BW6">
        <v>203</v>
      </c>
      <c r="BX6">
        <v>289</v>
      </c>
      <c r="BY6">
        <v>0</v>
      </c>
      <c r="BZ6">
        <v>4476</v>
      </c>
      <c r="CA6">
        <v>791</v>
      </c>
      <c r="CB6">
        <v>58377</v>
      </c>
    </row>
    <row r="7" spans="1:80">
      <c r="A7" t="s">
        <v>165</v>
      </c>
      <c r="B7" t="s">
        <v>0</v>
      </c>
      <c r="C7">
        <v>12440</v>
      </c>
      <c r="D7">
        <v>289</v>
      </c>
      <c r="E7">
        <v>3958</v>
      </c>
      <c r="F7">
        <v>1169</v>
      </c>
      <c r="G7">
        <v>1058</v>
      </c>
      <c r="H7">
        <v>3102</v>
      </c>
      <c r="I7">
        <v>912</v>
      </c>
      <c r="J7">
        <v>1210</v>
      </c>
      <c r="K7">
        <v>146</v>
      </c>
      <c r="L7">
        <v>430</v>
      </c>
      <c r="M7">
        <v>161</v>
      </c>
      <c r="N7">
        <v>491</v>
      </c>
      <c r="O7">
        <v>457</v>
      </c>
      <c r="P7">
        <v>35</v>
      </c>
      <c r="Q7">
        <v>12753</v>
      </c>
      <c r="R7">
        <v>378</v>
      </c>
      <c r="S7">
        <v>84</v>
      </c>
      <c r="T7">
        <v>10</v>
      </c>
      <c r="U7">
        <v>531</v>
      </c>
      <c r="V7">
        <v>13</v>
      </c>
      <c r="W7">
        <v>3662</v>
      </c>
      <c r="X7">
        <v>370</v>
      </c>
      <c r="Y7">
        <v>7499</v>
      </c>
      <c r="Z7">
        <v>206</v>
      </c>
      <c r="AA7">
        <v>11977</v>
      </c>
      <c r="AB7">
        <v>7798</v>
      </c>
      <c r="AC7">
        <v>2964</v>
      </c>
      <c r="AD7">
        <v>1221</v>
      </c>
      <c r="AE7">
        <v>212</v>
      </c>
      <c r="AF7">
        <v>173</v>
      </c>
      <c r="AG7">
        <v>2</v>
      </c>
      <c r="AH7">
        <v>34</v>
      </c>
      <c r="AI7">
        <v>2185</v>
      </c>
      <c r="AJ7">
        <v>83</v>
      </c>
      <c r="AK7">
        <v>221</v>
      </c>
      <c r="AL7">
        <v>354</v>
      </c>
      <c r="AM7">
        <v>639</v>
      </c>
      <c r="AN7">
        <v>191</v>
      </c>
      <c r="AO7">
        <v>14</v>
      </c>
      <c r="AP7">
        <v>211</v>
      </c>
      <c r="AQ7">
        <v>111</v>
      </c>
      <c r="AR7">
        <v>365</v>
      </c>
      <c r="AS7">
        <v>7572</v>
      </c>
      <c r="AT7">
        <v>327</v>
      </c>
      <c r="AU7">
        <v>117</v>
      </c>
      <c r="AV7">
        <v>88</v>
      </c>
      <c r="AW7">
        <v>253</v>
      </c>
      <c r="AX7">
        <v>355</v>
      </c>
      <c r="AY7">
        <v>580</v>
      </c>
      <c r="AZ7">
        <v>1380</v>
      </c>
      <c r="BA7">
        <v>3895</v>
      </c>
      <c r="BB7">
        <v>580</v>
      </c>
      <c r="BC7">
        <v>7019</v>
      </c>
      <c r="BD7">
        <v>624</v>
      </c>
      <c r="BE7">
        <v>801</v>
      </c>
      <c r="BF7">
        <v>97</v>
      </c>
      <c r="BG7">
        <v>817</v>
      </c>
      <c r="BH7">
        <v>1169</v>
      </c>
      <c r="BI7">
        <v>436</v>
      </c>
      <c r="BJ7">
        <v>886</v>
      </c>
      <c r="BK7">
        <v>1096</v>
      </c>
      <c r="BL7">
        <v>1094</v>
      </c>
      <c r="BM7">
        <v>1998</v>
      </c>
      <c r="BN7">
        <v>46</v>
      </c>
      <c r="BO7">
        <v>75</v>
      </c>
      <c r="BP7">
        <v>10</v>
      </c>
      <c r="BQ7">
        <v>222</v>
      </c>
      <c r="BR7">
        <v>52</v>
      </c>
      <c r="BS7">
        <v>388</v>
      </c>
      <c r="BT7">
        <v>445</v>
      </c>
      <c r="BU7">
        <v>762</v>
      </c>
      <c r="BV7">
        <v>6091</v>
      </c>
      <c r="BW7">
        <v>295</v>
      </c>
      <c r="BX7">
        <v>222</v>
      </c>
      <c r="BY7">
        <v>0</v>
      </c>
      <c r="BZ7">
        <v>4683</v>
      </c>
      <c r="CA7">
        <v>893</v>
      </c>
      <c r="CB7">
        <v>62739</v>
      </c>
    </row>
    <row r="8" spans="1:80">
      <c r="A8" t="s">
        <v>166</v>
      </c>
      <c r="B8" t="s">
        <v>0</v>
      </c>
      <c r="C8">
        <v>13395</v>
      </c>
      <c r="D8">
        <v>359</v>
      </c>
      <c r="E8">
        <v>3799</v>
      </c>
      <c r="F8">
        <v>1423</v>
      </c>
      <c r="G8">
        <v>1092</v>
      </c>
      <c r="H8">
        <v>3340</v>
      </c>
      <c r="I8">
        <v>926</v>
      </c>
      <c r="J8">
        <v>1672</v>
      </c>
      <c r="K8">
        <v>173</v>
      </c>
      <c r="L8">
        <v>403</v>
      </c>
      <c r="M8">
        <v>207</v>
      </c>
      <c r="N8">
        <v>532</v>
      </c>
      <c r="O8">
        <v>493</v>
      </c>
      <c r="P8">
        <v>38</v>
      </c>
      <c r="Q8">
        <v>13074</v>
      </c>
      <c r="R8">
        <v>452</v>
      </c>
      <c r="S8">
        <v>128</v>
      </c>
      <c r="T8">
        <v>12</v>
      </c>
      <c r="U8">
        <v>531</v>
      </c>
      <c r="V8">
        <v>27</v>
      </c>
      <c r="W8">
        <v>4287</v>
      </c>
      <c r="X8">
        <v>352</v>
      </c>
      <c r="Y8">
        <v>7074</v>
      </c>
      <c r="Z8">
        <v>211</v>
      </c>
      <c r="AA8">
        <v>10675</v>
      </c>
      <c r="AB8">
        <v>6750</v>
      </c>
      <c r="AC8">
        <v>2705</v>
      </c>
      <c r="AD8">
        <v>1216</v>
      </c>
      <c r="AE8">
        <v>226</v>
      </c>
      <c r="AF8">
        <v>184</v>
      </c>
      <c r="AG8">
        <v>7</v>
      </c>
      <c r="AH8">
        <v>32</v>
      </c>
      <c r="AI8">
        <v>2468</v>
      </c>
      <c r="AJ8">
        <v>85</v>
      </c>
      <c r="AK8">
        <v>277</v>
      </c>
      <c r="AL8">
        <v>372</v>
      </c>
      <c r="AM8">
        <v>729</v>
      </c>
      <c r="AN8">
        <v>235</v>
      </c>
      <c r="AO8">
        <v>23</v>
      </c>
      <c r="AP8">
        <v>209</v>
      </c>
      <c r="AQ8">
        <v>123</v>
      </c>
      <c r="AR8">
        <v>414</v>
      </c>
      <c r="AS8">
        <v>8287</v>
      </c>
      <c r="AT8">
        <v>426</v>
      </c>
      <c r="AU8">
        <v>126</v>
      </c>
      <c r="AV8">
        <v>89</v>
      </c>
      <c r="AW8">
        <v>253</v>
      </c>
      <c r="AX8">
        <v>417</v>
      </c>
      <c r="AY8">
        <v>787</v>
      </c>
      <c r="AZ8">
        <v>1505</v>
      </c>
      <c r="BA8">
        <v>3994</v>
      </c>
      <c r="BB8">
        <v>683</v>
      </c>
      <c r="BC8">
        <v>7602</v>
      </c>
      <c r="BD8">
        <v>602</v>
      </c>
      <c r="BE8">
        <v>806</v>
      </c>
      <c r="BF8">
        <v>120</v>
      </c>
      <c r="BG8">
        <v>935</v>
      </c>
      <c r="BH8">
        <v>1509</v>
      </c>
      <c r="BI8">
        <v>689</v>
      </c>
      <c r="BJ8">
        <v>1088</v>
      </c>
      <c r="BK8">
        <v>1014</v>
      </c>
      <c r="BL8">
        <v>843</v>
      </c>
      <c r="BM8">
        <v>2233</v>
      </c>
      <c r="BN8">
        <v>48</v>
      </c>
      <c r="BO8">
        <v>75</v>
      </c>
      <c r="BP8">
        <v>13</v>
      </c>
      <c r="BQ8">
        <v>288</v>
      </c>
      <c r="BR8">
        <v>56</v>
      </c>
      <c r="BS8">
        <v>444</v>
      </c>
      <c r="BT8">
        <v>483</v>
      </c>
      <c r="BU8">
        <v>828</v>
      </c>
      <c r="BV8">
        <v>6287</v>
      </c>
      <c r="BW8">
        <v>381</v>
      </c>
      <c r="BX8">
        <v>246</v>
      </c>
      <c r="BY8">
        <v>0</v>
      </c>
      <c r="BZ8">
        <v>4671</v>
      </c>
      <c r="CA8">
        <v>983</v>
      </c>
      <c r="CB8">
        <v>64775</v>
      </c>
    </row>
    <row r="9" spans="1:80">
      <c r="A9" t="s">
        <v>167</v>
      </c>
      <c r="B9" t="s">
        <v>0</v>
      </c>
      <c r="C9">
        <v>13073</v>
      </c>
      <c r="D9">
        <v>576</v>
      </c>
      <c r="E9">
        <v>3539</v>
      </c>
      <c r="F9">
        <v>1495</v>
      </c>
      <c r="G9">
        <v>1160</v>
      </c>
      <c r="H9">
        <v>2689</v>
      </c>
      <c r="I9">
        <v>921</v>
      </c>
      <c r="J9">
        <v>1877</v>
      </c>
      <c r="K9">
        <v>181</v>
      </c>
      <c r="L9">
        <v>412</v>
      </c>
      <c r="M9">
        <v>223</v>
      </c>
      <c r="N9">
        <v>581</v>
      </c>
      <c r="O9">
        <v>542</v>
      </c>
      <c r="P9">
        <v>43</v>
      </c>
      <c r="Q9">
        <v>14643</v>
      </c>
      <c r="R9">
        <v>492</v>
      </c>
      <c r="S9">
        <v>122</v>
      </c>
      <c r="T9">
        <v>13</v>
      </c>
      <c r="U9">
        <v>647</v>
      </c>
      <c r="V9">
        <v>47</v>
      </c>
      <c r="W9">
        <v>4404</v>
      </c>
      <c r="X9">
        <v>427</v>
      </c>
      <c r="Y9">
        <v>8270</v>
      </c>
      <c r="Z9">
        <v>225</v>
      </c>
      <c r="AA9">
        <v>11976</v>
      </c>
      <c r="AB9">
        <v>7433</v>
      </c>
      <c r="AC9">
        <v>3029</v>
      </c>
      <c r="AD9">
        <v>1518</v>
      </c>
      <c r="AE9">
        <v>256</v>
      </c>
      <c r="AF9">
        <v>216</v>
      </c>
      <c r="AG9">
        <v>2</v>
      </c>
      <c r="AH9">
        <v>38</v>
      </c>
      <c r="AI9">
        <v>2909</v>
      </c>
      <c r="AJ9">
        <v>80</v>
      </c>
      <c r="AK9">
        <v>356</v>
      </c>
      <c r="AL9">
        <v>425</v>
      </c>
      <c r="AM9">
        <v>834</v>
      </c>
      <c r="AN9">
        <v>279</v>
      </c>
      <c r="AO9">
        <v>29</v>
      </c>
      <c r="AP9">
        <v>340</v>
      </c>
      <c r="AQ9">
        <v>159</v>
      </c>
      <c r="AR9">
        <v>406</v>
      </c>
      <c r="AS9">
        <v>9789</v>
      </c>
      <c r="AT9">
        <v>504</v>
      </c>
      <c r="AU9">
        <v>151</v>
      </c>
      <c r="AV9">
        <v>103</v>
      </c>
      <c r="AW9">
        <v>280</v>
      </c>
      <c r="AX9">
        <v>518</v>
      </c>
      <c r="AY9">
        <v>680</v>
      </c>
      <c r="AZ9">
        <v>1767</v>
      </c>
      <c r="BA9">
        <v>5094</v>
      </c>
      <c r="BB9">
        <v>694</v>
      </c>
      <c r="BC9">
        <v>9163</v>
      </c>
      <c r="BD9">
        <v>799</v>
      </c>
      <c r="BE9">
        <v>1063</v>
      </c>
      <c r="BF9">
        <v>142</v>
      </c>
      <c r="BG9">
        <v>1015</v>
      </c>
      <c r="BH9">
        <v>1753</v>
      </c>
      <c r="BI9">
        <v>689</v>
      </c>
      <c r="BJ9">
        <v>1359</v>
      </c>
      <c r="BK9">
        <v>1126</v>
      </c>
      <c r="BL9">
        <v>1218</v>
      </c>
      <c r="BM9">
        <v>2495</v>
      </c>
      <c r="BN9">
        <v>65</v>
      </c>
      <c r="BO9">
        <v>86</v>
      </c>
      <c r="BP9">
        <v>12</v>
      </c>
      <c r="BQ9">
        <v>302</v>
      </c>
      <c r="BR9">
        <v>63</v>
      </c>
      <c r="BS9">
        <v>469</v>
      </c>
      <c r="BT9">
        <v>530</v>
      </c>
      <c r="BU9">
        <v>969</v>
      </c>
      <c r="BV9">
        <v>6785</v>
      </c>
      <c r="BW9">
        <v>424</v>
      </c>
      <c r="BX9">
        <v>163</v>
      </c>
      <c r="BY9">
        <v>0</v>
      </c>
      <c r="BZ9">
        <v>5263</v>
      </c>
      <c r="CA9">
        <v>935</v>
      </c>
      <c r="CB9">
        <v>71670</v>
      </c>
    </row>
    <row r="10" spans="1:80">
      <c r="A10" t="s">
        <v>168</v>
      </c>
      <c r="B10" t="s">
        <v>0</v>
      </c>
      <c r="C10">
        <v>15805</v>
      </c>
      <c r="D10">
        <v>659</v>
      </c>
      <c r="E10">
        <v>2892</v>
      </c>
      <c r="F10">
        <v>1760</v>
      </c>
      <c r="G10">
        <v>1050</v>
      </c>
      <c r="H10">
        <v>5761</v>
      </c>
      <c r="I10">
        <v>1084</v>
      </c>
      <c r="J10">
        <v>1649</v>
      </c>
      <c r="K10">
        <v>196</v>
      </c>
      <c r="L10">
        <v>500</v>
      </c>
      <c r="M10">
        <v>253</v>
      </c>
      <c r="N10">
        <v>738</v>
      </c>
      <c r="O10">
        <v>677</v>
      </c>
      <c r="P10">
        <v>63</v>
      </c>
      <c r="Q10">
        <v>15021</v>
      </c>
      <c r="R10">
        <v>496</v>
      </c>
      <c r="S10">
        <v>218</v>
      </c>
      <c r="T10">
        <v>12</v>
      </c>
      <c r="U10">
        <v>621</v>
      </c>
      <c r="V10">
        <v>14</v>
      </c>
      <c r="W10">
        <v>4285</v>
      </c>
      <c r="X10">
        <v>384</v>
      </c>
      <c r="Y10">
        <v>8771</v>
      </c>
      <c r="Z10">
        <v>222</v>
      </c>
      <c r="AA10">
        <v>13002</v>
      </c>
      <c r="AB10">
        <v>7818</v>
      </c>
      <c r="AC10">
        <v>3508</v>
      </c>
      <c r="AD10">
        <v>1676</v>
      </c>
      <c r="AE10">
        <v>236</v>
      </c>
      <c r="AF10">
        <v>194</v>
      </c>
      <c r="AG10">
        <v>10</v>
      </c>
      <c r="AH10">
        <v>33</v>
      </c>
      <c r="AI10">
        <v>3000</v>
      </c>
      <c r="AJ10">
        <v>91</v>
      </c>
      <c r="AK10">
        <v>333</v>
      </c>
      <c r="AL10">
        <v>420</v>
      </c>
      <c r="AM10">
        <v>942</v>
      </c>
      <c r="AN10">
        <v>300</v>
      </c>
      <c r="AO10">
        <v>23</v>
      </c>
      <c r="AP10">
        <v>299</v>
      </c>
      <c r="AQ10">
        <v>153</v>
      </c>
      <c r="AR10">
        <v>440</v>
      </c>
      <c r="AS10">
        <v>9426</v>
      </c>
      <c r="AT10">
        <v>471</v>
      </c>
      <c r="AU10">
        <v>159</v>
      </c>
      <c r="AV10">
        <v>109</v>
      </c>
      <c r="AW10">
        <v>343</v>
      </c>
      <c r="AX10">
        <v>566</v>
      </c>
      <c r="AY10">
        <v>770</v>
      </c>
      <c r="AZ10">
        <v>1623</v>
      </c>
      <c r="BA10">
        <v>4619</v>
      </c>
      <c r="BB10">
        <v>769</v>
      </c>
      <c r="BC10">
        <v>9959</v>
      </c>
      <c r="BD10">
        <v>878</v>
      </c>
      <c r="BE10">
        <v>1089</v>
      </c>
      <c r="BF10">
        <v>200</v>
      </c>
      <c r="BG10">
        <v>1219</v>
      </c>
      <c r="BH10">
        <v>1781</v>
      </c>
      <c r="BI10">
        <v>655</v>
      </c>
      <c r="BJ10">
        <v>1347</v>
      </c>
      <c r="BK10">
        <v>1538</v>
      </c>
      <c r="BL10">
        <v>1248</v>
      </c>
      <c r="BM10">
        <v>2812</v>
      </c>
      <c r="BN10">
        <v>85</v>
      </c>
      <c r="BO10">
        <v>99</v>
      </c>
      <c r="BP10">
        <v>14</v>
      </c>
      <c r="BQ10">
        <v>339</v>
      </c>
      <c r="BR10">
        <v>64</v>
      </c>
      <c r="BS10">
        <v>596</v>
      </c>
      <c r="BT10">
        <v>578</v>
      </c>
      <c r="BU10">
        <v>1038</v>
      </c>
      <c r="BV10">
        <v>6988</v>
      </c>
      <c r="BW10">
        <v>508</v>
      </c>
      <c r="BX10">
        <v>126</v>
      </c>
      <c r="BY10">
        <v>0</v>
      </c>
      <c r="BZ10">
        <v>5236</v>
      </c>
      <c r="CA10">
        <v>1117</v>
      </c>
      <c r="CB10">
        <v>76982</v>
      </c>
    </row>
    <row r="11" spans="1:80">
      <c r="A11" t="s">
        <v>169</v>
      </c>
      <c r="B11" t="s">
        <v>0</v>
      </c>
      <c r="C11">
        <v>17201</v>
      </c>
      <c r="D11">
        <v>743</v>
      </c>
      <c r="E11">
        <v>3442</v>
      </c>
      <c r="F11">
        <v>1834</v>
      </c>
      <c r="G11">
        <v>1203</v>
      </c>
      <c r="H11">
        <v>6042</v>
      </c>
      <c r="I11">
        <v>1156</v>
      </c>
      <c r="J11">
        <v>1723</v>
      </c>
      <c r="K11">
        <v>193</v>
      </c>
      <c r="L11">
        <v>558</v>
      </c>
      <c r="M11">
        <v>303</v>
      </c>
      <c r="N11">
        <v>892</v>
      </c>
      <c r="O11">
        <v>835</v>
      </c>
      <c r="P11">
        <v>55</v>
      </c>
      <c r="Q11">
        <v>17144</v>
      </c>
      <c r="R11">
        <v>546</v>
      </c>
      <c r="S11">
        <v>255</v>
      </c>
      <c r="T11">
        <v>11</v>
      </c>
      <c r="U11">
        <v>683</v>
      </c>
      <c r="V11">
        <v>19</v>
      </c>
      <c r="W11">
        <v>5225</v>
      </c>
      <c r="X11">
        <v>383</v>
      </c>
      <c r="Y11">
        <v>9801</v>
      </c>
      <c r="Z11">
        <v>227</v>
      </c>
      <c r="AA11">
        <v>14968</v>
      </c>
      <c r="AB11">
        <v>8821</v>
      </c>
      <c r="AC11">
        <v>4102</v>
      </c>
      <c r="AD11">
        <v>2043</v>
      </c>
      <c r="AE11">
        <v>270</v>
      </c>
      <c r="AF11">
        <v>196</v>
      </c>
      <c r="AG11">
        <v>30</v>
      </c>
      <c r="AH11">
        <v>44</v>
      </c>
      <c r="AI11">
        <v>3216</v>
      </c>
      <c r="AJ11">
        <v>143</v>
      </c>
      <c r="AK11">
        <v>328</v>
      </c>
      <c r="AL11">
        <v>439</v>
      </c>
      <c r="AM11">
        <v>1058</v>
      </c>
      <c r="AN11">
        <v>298</v>
      </c>
      <c r="AO11">
        <v>21</v>
      </c>
      <c r="AP11">
        <v>318</v>
      </c>
      <c r="AQ11">
        <v>162</v>
      </c>
      <c r="AR11">
        <v>446</v>
      </c>
      <c r="AS11">
        <v>9917</v>
      </c>
      <c r="AT11">
        <v>510</v>
      </c>
      <c r="AU11">
        <v>163</v>
      </c>
      <c r="AV11">
        <v>107</v>
      </c>
      <c r="AW11">
        <v>416</v>
      </c>
      <c r="AX11">
        <v>626</v>
      </c>
      <c r="AY11">
        <v>783</v>
      </c>
      <c r="AZ11">
        <v>1666</v>
      </c>
      <c r="BA11">
        <v>4897</v>
      </c>
      <c r="BB11">
        <v>749</v>
      </c>
      <c r="BC11">
        <v>11323</v>
      </c>
      <c r="BD11">
        <v>1035</v>
      </c>
      <c r="BE11">
        <v>1189</v>
      </c>
      <c r="BF11">
        <v>221</v>
      </c>
      <c r="BG11">
        <v>1146</v>
      </c>
      <c r="BH11">
        <v>1674</v>
      </c>
      <c r="BI11">
        <v>987</v>
      </c>
      <c r="BJ11">
        <v>1262</v>
      </c>
      <c r="BK11">
        <v>1869</v>
      </c>
      <c r="BL11">
        <v>1931</v>
      </c>
      <c r="BM11">
        <v>3054</v>
      </c>
      <c r="BN11">
        <v>87</v>
      </c>
      <c r="BO11">
        <v>97</v>
      </c>
      <c r="BP11">
        <v>14</v>
      </c>
      <c r="BQ11">
        <v>376</v>
      </c>
      <c r="BR11">
        <v>59</v>
      </c>
      <c r="BS11">
        <v>710</v>
      </c>
      <c r="BT11">
        <v>665</v>
      </c>
      <c r="BU11">
        <v>1043</v>
      </c>
      <c r="BV11">
        <v>6807</v>
      </c>
      <c r="BW11">
        <v>530</v>
      </c>
      <c r="BX11">
        <v>128</v>
      </c>
      <c r="BY11">
        <v>1</v>
      </c>
      <c r="BZ11">
        <v>4923</v>
      </c>
      <c r="CA11">
        <v>1220</v>
      </c>
      <c r="CB11">
        <v>84790</v>
      </c>
    </row>
    <row r="12" spans="1:80">
      <c r="A12" t="s">
        <v>170</v>
      </c>
      <c r="B12" t="s">
        <v>0</v>
      </c>
      <c r="C12">
        <v>15156</v>
      </c>
      <c r="D12">
        <v>567</v>
      </c>
      <c r="E12">
        <v>3911</v>
      </c>
      <c r="F12">
        <v>2142</v>
      </c>
      <c r="G12">
        <v>1178</v>
      </c>
      <c r="H12">
        <v>5017</v>
      </c>
      <c r="I12">
        <v>1135</v>
      </c>
      <c r="J12">
        <v>180</v>
      </c>
      <c r="K12">
        <v>176</v>
      </c>
      <c r="L12">
        <v>545</v>
      </c>
      <c r="M12">
        <v>301</v>
      </c>
      <c r="N12">
        <v>1156</v>
      </c>
      <c r="O12">
        <v>1084</v>
      </c>
      <c r="P12">
        <v>70</v>
      </c>
      <c r="Q12">
        <v>17909</v>
      </c>
      <c r="R12">
        <v>510</v>
      </c>
      <c r="S12">
        <v>452</v>
      </c>
      <c r="T12">
        <v>10</v>
      </c>
      <c r="U12">
        <v>699</v>
      </c>
      <c r="V12">
        <v>22</v>
      </c>
      <c r="W12">
        <v>4503</v>
      </c>
      <c r="X12">
        <v>449</v>
      </c>
      <c r="Y12">
        <v>11015</v>
      </c>
      <c r="Z12">
        <v>248</v>
      </c>
      <c r="AA12">
        <v>15077</v>
      </c>
      <c r="AB12">
        <v>9849</v>
      </c>
      <c r="AC12">
        <v>3374</v>
      </c>
      <c r="AD12">
        <v>1855</v>
      </c>
      <c r="AE12">
        <v>385</v>
      </c>
      <c r="AF12">
        <v>265</v>
      </c>
      <c r="AG12">
        <v>70</v>
      </c>
      <c r="AH12">
        <v>50</v>
      </c>
      <c r="AI12">
        <v>3387</v>
      </c>
      <c r="AJ12">
        <v>139</v>
      </c>
      <c r="AK12">
        <v>316</v>
      </c>
      <c r="AL12">
        <v>525</v>
      </c>
      <c r="AM12">
        <v>1225</v>
      </c>
      <c r="AN12">
        <v>283</v>
      </c>
      <c r="AO12">
        <v>32</v>
      </c>
      <c r="AP12">
        <v>237</v>
      </c>
      <c r="AQ12">
        <v>164</v>
      </c>
      <c r="AR12">
        <v>467</v>
      </c>
      <c r="AS12">
        <v>10423</v>
      </c>
      <c r="AT12">
        <v>497</v>
      </c>
      <c r="AU12">
        <v>169</v>
      </c>
      <c r="AV12">
        <v>104</v>
      </c>
      <c r="AW12">
        <v>421</v>
      </c>
      <c r="AX12">
        <v>593</v>
      </c>
      <c r="AY12">
        <v>698</v>
      </c>
      <c r="AZ12">
        <v>1826</v>
      </c>
      <c r="BA12">
        <v>5418</v>
      </c>
      <c r="BB12">
        <v>702</v>
      </c>
      <c r="BC12">
        <v>10654</v>
      </c>
      <c r="BD12">
        <v>808</v>
      </c>
      <c r="BE12">
        <v>1365</v>
      </c>
      <c r="BF12">
        <v>181</v>
      </c>
      <c r="BG12">
        <v>1034</v>
      </c>
      <c r="BH12">
        <v>1565</v>
      </c>
      <c r="BI12">
        <v>862</v>
      </c>
      <c r="BJ12">
        <v>1277</v>
      </c>
      <c r="BK12">
        <v>1863</v>
      </c>
      <c r="BL12">
        <v>1701</v>
      </c>
      <c r="BM12">
        <v>3342</v>
      </c>
      <c r="BN12">
        <v>85</v>
      </c>
      <c r="BO12">
        <v>98</v>
      </c>
      <c r="BP12">
        <v>12</v>
      </c>
      <c r="BQ12">
        <v>365</v>
      </c>
      <c r="BR12">
        <v>62</v>
      </c>
      <c r="BS12">
        <v>872</v>
      </c>
      <c r="BT12">
        <v>671</v>
      </c>
      <c r="BU12">
        <v>1180</v>
      </c>
      <c r="BV12">
        <v>11495</v>
      </c>
      <c r="BW12">
        <v>766</v>
      </c>
      <c r="BX12">
        <v>135</v>
      </c>
      <c r="BY12">
        <v>2</v>
      </c>
      <c r="BZ12">
        <v>7642</v>
      </c>
      <c r="CA12">
        <v>2948</v>
      </c>
      <c r="CB12">
        <v>88987</v>
      </c>
    </row>
    <row r="13" spans="1:80">
      <c r="A13" t="s">
        <v>171</v>
      </c>
      <c r="B13" t="s">
        <v>0</v>
      </c>
      <c r="C13">
        <v>15876</v>
      </c>
      <c r="D13">
        <v>698</v>
      </c>
      <c r="E13">
        <v>4163</v>
      </c>
      <c r="F13">
        <v>2209</v>
      </c>
      <c r="G13">
        <v>1387</v>
      </c>
      <c r="H13">
        <v>4882</v>
      </c>
      <c r="I13">
        <v>1192</v>
      </c>
      <c r="J13">
        <v>164</v>
      </c>
      <c r="K13">
        <v>213</v>
      </c>
      <c r="L13">
        <v>626</v>
      </c>
      <c r="M13">
        <v>344</v>
      </c>
      <c r="N13">
        <v>1402</v>
      </c>
      <c r="O13">
        <v>1345</v>
      </c>
      <c r="P13">
        <v>57</v>
      </c>
      <c r="Q13">
        <v>16667</v>
      </c>
      <c r="R13">
        <v>343</v>
      </c>
      <c r="S13">
        <v>777</v>
      </c>
      <c r="T13">
        <v>13</v>
      </c>
      <c r="U13">
        <v>698</v>
      </c>
      <c r="V13">
        <v>30</v>
      </c>
      <c r="W13">
        <v>3972</v>
      </c>
      <c r="X13">
        <v>415</v>
      </c>
      <c r="Y13">
        <v>10164</v>
      </c>
      <c r="Z13">
        <v>257</v>
      </c>
      <c r="AA13">
        <v>14464</v>
      </c>
      <c r="AB13">
        <v>8406</v>
      </c>
      <c r="AC13">
        <v>4174</v>
      </c>
      <c r="AD13">
        <v>1880</v>
      </c>
      <c r="AE13">
        <v>324</v>
      </c>
      <c r="AF13">
        <v>226</v>
      </c>
      <c r="AG13">
        <v>51</v>
      </c>
      <c r="AH13">
        <v>51</v>
      </c>
      <c r="AI13">
        <v>3854</v>
      </c>
      <c r="AJ13">
        <v>159</v>
      </c>
      <c r="AK13">
        <v>380</v>
      </c>
      <c r="AL13">
        <v>524</v>
      </c>
      <c r="AM13">
        <v>1481</v>
      </c>
      <c r="AN13">
        <v>334</v>
      </c>
      <c r="AO13">
        <v>31</v>
      </c>
      <c r="AP13">
        <v>232</v>
      </c>
      <c r="AQ13">
        <v>178</v>
      </c>
      <c r="AR13">
        <v>536</v>
      </c>
      <c r="AS13">
        <v>10678</v>
      </c>
      <c r="AT13">
        <v>430</v>
      </c>
      <c r="AU13">
        <v>180</v>
      </c>
      <c r="AV13">
        <v>138</v>
      </c>
      <c r="AW13">
        <v>470</v>
      </c>
      <c r="AX13">
        <v>604</v>
      </c>
      <c r="AY13">
        <v>868</v>
      </c>
      <c r="AZ13">
        <v>1362</v>
      </c>
      <c r="BA13">
        <v>5974</v>
      </c>
      <c r="BB13">
        <v>658</v>
      </c>
      <c r="BC13">
        <v>10987</v>
      </c>
      <c r="BD13">
        <v>793</v>
      </c>
      <c r="BE13">
        <v>1096</v>
      </c>
      <c r="BF13">
        <v>197</v>
      </c>
      <c r="BG13">
        <v>1029</v>
      </c>
      <c r="BH13">
        <v>1405</v>
      </c>
      <c r="BI13">
        <v>906</v>
      </c>
      <c r="BJ13">
        <v>1298</v>
      </c>
      <c r="BK13">
        <v>2441</v>
      </c>
      <c r="BL13">
        <v>1823</v>
      </c>
      <c r="BM13">
        <v>3624</v>
      </c>
      <c r="BN13">
        <v>77</v>
      </c>
      <c r="BO13">
        <v>127</v>
      </c>
      <c r="BP13">
        <v>12</v>
      </c>
      <c r="BQ13">
        <v>331</v>
      </c>
      <c r="BR13">
        <v>63</v>
      </c>
      <c r="BS13">
        <v>1004</v>
      </c>
      <c r="BT13">
        <v>784</v>
      </c>
      <c r="BU13">
        <v>1220</v>
      </c>
      <c r="BV13">
        <v>9016</v>
      </c>
      <c r="BW13">
        <v>1807</v>
      </c>
      <c r="BX13">
        <v>98</v>
      </c>
      <c r="BY13">
        <v>8</v>
      </c>
      <c r="BZ13">
        <v>4810</v>
      </c>
      <c r="CA13">
        <v>2295</v>
      </c>
      <c r="CB13">
        <v>86893</v>
      </c>
    </row>
    <row r="14" spans="1:80">
      <c r="A14" t="s">
        <v>172</v>
      </c>
      <c r="B14" t="s">
        <v>0</v>
      </c>
      <c r="C14">
        <v>18965</v>
      </c>
      <c r="D14">
        <v>798</v>
      </c>
      <c r="E14">
        <v>5038</v>
      </c>
      <c r="F14">
        <v>2724</v>
      </c>
      <c r="G14">
        <v>1690</v>
      </c>
      <c r="H14">
        <v>5406</v>
      </c>
      <c r="I14">
        <v>1460</v>
      </c>
      <c r="J14">
        <v>209</v>
      </c>
      <c r="K14">
        <v>257</v>
      </c>
      <c r="L14">
        <v>977</v>
      </c>
      <c r="M14">
        <v>415</v>
      </c>
      <c r="N14">
        <v>1770</v>
      </c>
      <c r="O14">
        <v>1715</v>
      </c>
      <c r="P14">
        <v>56</v>
      </c>
      <c r="Q14">
        <v>21235</v>
      </c>
      <c r="R14">
        <v>594</v>
      </c>
      <c r="S14">
        <v>723</v>
      </c>
      <c r="T14">
        <v>11</v>
      </c>
      <c r="U14">
        <v>871</v>
      </c>
      <c r="V14">
        <v>52</v>
      </c>
      <c r="W14">
        <v>4879</v>
      </c>
      <c r="X14">
        <v>451</v>
      </c>
      <c r="Y14">
        <v>13382</v>
      </c>
      <c r="Z14">
        <v>273</v>
      </c>
      <c r="AA14">
        <v>23041</v>
      </c>
      <c r="AB14">
        <v>9349</v>
      </c>
      <c r="AC14">
        <v>10465</v>
      </c>
      <c r="AD14">
        <v>3227</v>
      </c>
      <c r="AE14">
        <v>305</v>
      </c>
      <c r="AF14">
        <v>215</v>
      </c>
      <c r="AG14">
        <v>42</v>
      </c>
      <c r="AH14">
        <v>50</v>
      </c>
      <c r="AI14">
        <v>4717</v>
      </c>
      <c r="AJ14">
        <v>123</v>
      </c>
      <c r="AK14">
        <v>489</v>
      </c>
      <c r="AL14">
        <v>620</v>
      </c>
      <c r="AM14">
        <v>2016</v>
      </c>
      <c r="AN14">
        <v>377</v>
      </c>
      <c r="AO14">
        <v>74</v>
      </c>
      <c r="AP14">
        <v>218</v>
      </c>
      <c r="AQ14">
        <v>201</v>
      </c>
      <c r="AR14">
        <v>598</v>
      </c>
      <c r="AS14">
        <v>13572</v>
      </c>
      <c r="AT14">
        <v>504</v>
      </c>
      <c r="AU14">
        <v>165</v>
      </c>
      <c r="AV14">
        <v>174</v>
      </c>
      <c r="AW14">
        <v>565</v>
      </c>
      <c r="AX14">
        <v>600</v>
      </c>
      <c r="AY14">
        <v>1010</v>
      </c>
      <c r="AZ14">
        <v>1172</v>
      </c>
      <c r="BA14">
        <v>8715</v>
      </c>
      <c r="BB14">
        <v>666</v>
      </c>
      <c r="BC14">
        <v>12487</v>
      </c>
      <c r="BD14">
        <v>966</v>
      </c>
      <c r="BE14">
        <v>1235</v>
      </c>
      <c r="BF14">
        <v>256</v>
      </c>
      <c r="BG14">
        <v>1119</v>
      </c>
      <c r="BH14">
        <v>1404</v>
      </c>
      <c r="BI14">
        <v>1450</v>
      </c>
      <c r="BJ14">
        <v>1502</v>
      </c>
      <c r="BK14">
        <v>3275</v>
      </c>
      <c r="BL14">
        <v>1287</v>
      </c>
      <c r="BM14">
        <v>4169</v>
      </c>
      <c r="BN14">
        <v>84</v>
      </c>
      <c r="BO14">
        <v>121</v>
      </c>
      <c r="BP14">
        <v>14</v>
      </c>
      <c r="BQ14">
        <v>340</v>
      </c>
      <c r="BR14">
        <v>65</v>
      </c>
      <c r="BS14">
        <v>1132</v>
      </c>
      <c r="BT14">
        <v>1061</v>
      </c>
      <c r="BU14">
        <v>1349</v>
      </c>
      <c r="BV14">
        <v>10096</v>
      </c>
      <c r="BW14">
        <v>1792</v>
      </c>
      <c r="BX14">
        <v>83</v>
      </c>
      <c r="BY14">
        <v>5</v>
      </c>
      <c r="BZ14">
        <v>4952</v>
      </c>
      <c r="CA14">
        <v>3260</v>
      </c>
      <c r="CB14">
        <v>110355</v>
      </c>
    </row>
    <row r="15" spans="1:80">
      <c r="A15" t="s">
        <v>173</v>
      </c>
      <c r="B15" t="s">
        <v>0</v>
      </c>
      <c r="C15">
        <v>21991</v>
      </c>
      <c r="D15">
        <v>1030</v>
      </c>
      <c r="E15">
        <v>6369</v>
      </c>
      <c r="F15">
        <v>3049</v>
      </c>
      <c r="G15">
        <v>1711</v>
      </c>
      <c r="H15">
        <v>6281</v>
      </c>
      <c r="I15">
        <v>1634</v>
      </c>
      <c r="J15">
        <v>224</v>
      </c>
      <c r="K15">
        <v>258</v>
      </c>
      <c r="L15">
        <v>997</v>
      </c>
      <c r="M15">
        <v>435</v>
      </c>
      <c r="N15">
        <v>2185</v>
      </c>
      <c r="O15">
        <v>2115</v>
      </c>
      <c r="P15">
        <v>72</v>
      </c>
      <c r="Q15">
        <v>23771</v>
      </c>
      <c r="R15">
        <v>828</v>
      </c>
      <c r="S15">
        <v>735</v>
      </c>
      <c r="T15">
        <v>17</v>
      </c>
      <c r="U15">
        <v>859</v>
      </c>
      <c r="V15">
        <v>51</v>
      </c>
      <c r="W15">
        <v>5582</v>
      </c>
      <c r="X15">
        <v>531</v>
      </c>
      <c r="Y15">
        <v>14868</v>
      </c>
      <c r="Z15">
        <v>303</v>
      </c>
      <c r="AA15">
        <v>25428</v>
      </c>
      <c r="AB15">
        <v>12514</v>
      </c>
      <c r="AC15">
        <v>9212</v>
      </c>
      <c r="AD15">
        <v>3704</v>
      </c>
      <c r="AE15">
        <v>308</v>
      </c>
      <c r="AF15">
        <v>217</v>
      </c>
      <c r="AG15">
        <v>44</v>
      </c>
      <c r="AH15">
        <v>48</v>
      </c>
      <c r="AI15">
        <v>5421</v>
      </c>
      <c r="AJ15">
        <v>136</v>
      </c>
      <c r="AK15">
        <v>564</v>
      </c>
      <c r="AL15">
        <v>647</v>
      </c>
      <c r="AM15">
        <v>2434</v>
      </c>
      <c r="AN15">
        <v>394</v>
      </c>
      <c r="AO15">
        <v>152</v>
      </c>
      <c r="AP15">
        <v>234</v>
      </c>
      <c r="AQ15">
        <v>229</v>
      </c>
      <c r="AR15">
        <v>635</v>
      </c>
      <c r="AS15">
        <v>13919</v>
      </c>
      <c r="AT15">
        <v>545</v>
      </c>
      <c r="AU15">
        <v>173</v>
      </c>
      <c r="AV15">
        <v>217</v>
      </c>
      <c r="AW15">
        <v>661</v>
      </c>
      <c r="AX15">
        <v>568</v>
      </c>
      <c r="AY15">
        <v>952</v>
      </c>
      <c r="AZ15">
        <v>737</v>
      </c>
      <c r="BA15">
        <v>9319</v>
      </c>
      <c r="BB15">
        <v>751</v>
      </c>
      <c r="BC15">
        <v>13842</v>
      </c>
      <c r="BD15">
        <v>750</v>
      </c>
      <c r="BE15">
        <v>1376</v>
      </c>
      <c r="BF15">
        <v>208</v>
      </c>
      <c r="BG15">
        <v>1303</v>
      </c>
      <c r="BH15">
        <v>1638</v>
      </c>
      <c r="BI15">
        <v>1357</v>
      </c>
      <c r="BJ15">
        <v>1709</v>
      </c>
      <c r="BK15">
        <v>4250</v>
      </c>
      <c r="BL15">
        <v>1251</v>
      </c>
      <c r="BM15">
        <v>4565</v>
      </c>
      <c r="BN15">
        <v>95</v>
      </c>
      <c r="BO15">
        <v>148</v>
      </c>
      <c r="BP15">
        <v>13</v>
      </c>
      <c r="BQ15">
        <v>369</v>
      </c>
      <c r="BR15">
        <v>62</v>
      </c>
      <c r="BS15">
        <v>1291</v>
      </c>
      <c r="BT15">
        <v>1113</v>
      </c>
      <c r="BU15">
        <v>1470</v>
      </c>
      <c r="BV15">
        <v>11096</v>
      </c>
      <c r="BW15">
        <v>2232</v>
      </c>
      <c r="BX15">
        <v>61</v>
      </c>
      <c r="BY15">
        <v>0</v>
      </c>
      <c r="BZ15">
        <v>5157</v>
      </c>
      <c r="CA15">
        <v>3645</v>
      </c>
      <c r="CB15">
        <v>122531</v>
      </c>
    </row>
    <row r="16" spans="1:80">
      <c r="A16" t="s">
        <v>174</v>
      </c>
      <c r="B16" t="s">
        <v>0</v>
      </c>
      <c r="C16">
        <v>21142</v>
      </c>
      <c r="D16">
        <v>1168</v>
      </c>
      <c r="E16">
        <v>5952</v>
      </c>
      <c r="F16">
        <v>2887</v>
      </c>
      <c r="G16">
        <v>1627</v>
      </c>
      <c r="H16">
        <v>5959</v>
      </c>
      <c r="I16">
        <v>1644</v>
      </c>
      <c r="J16">
        <v>230</v>
      </c>
      <c r="K16">
        <v>281</v>
      </c>
      <c r="L16">
        <v>959</v>
      </c>
      <c r="M16">
        <v>439</v>
      </c>
      <c r="N16">
        <v>2617</v>
      </c>
      <c r="O16">
        <v>2516</v>
      </c>
      <c r="P16">
        <v>100</v>
      </c>
      <c r="Q16">
        <v>22044</v>
      </c>
      <c r="R16">
        <v>658</v>
      </c>
      <c r="S16">
        <v>757</v>
      </c>
      <c r="T16">
        <v>19</v>
      </c>
      <c r="U16">
        <v>972</v>
      </c>
      <c r="V16">
        <v>48</v>
      </c>
      <c r="W16">
        <v>4896</v>
      </c>
      <c r="X16">
        <v>502</v>
      </c>
      <c r="Y16">
        <v>13889</v>
      </c>
      <c r="Z16">
        <v>301</v>
      </c>
      <c r="AA16">
        <v>24699</v>
      </c>
      <c r="AB16">
        <v>12877</v>
      </c>
      <c r="AC16">
        <v>8622</v>
      </c>
      <c r="AD16">
        <v>3201</v>
      </c>
      <c r="AE16">
        <v>316</v>
      </c>
      <c r="AF16">
        <v>208</v>
      </c>
      <c r="AG16">
        <v>55</v>
      </c>
      <c r="AH16">
        <v>57</v>
      </c>
      <c r="AI16">
        <v>5078</v>
      </c>
      <c r="AJ16">
        <v>131</v>
      </c>
      <c r="AK16">
        <v>548</v>
      </c>
      <c r="AL16">
        <v>679</v>
      </c>
      <c r="AM16">
        <v>1944</v>
      </c>
      <c r="AN16">
        <v>492</v>
      </c>
      <c r="AO16">
        <v>118</v>
      </c>
      <c r="AP16">
        <v>234</v>
      </c>
      <c r="AQ16">
        <v>253</v>
      </c>
      <c r="AR16">
        <v>674</v>
      </c>
      <c r="AS16">
        <v>13460</v>
      </c>
      <c r="AT16">
        <v>622</v>
      </c>
      <c r="AU16">
        <v>141</v>
      </c>
      <c r="AV16">
        <v>222</v>
      </c>
      <c r="AW16">
        <v>790</v>
      </c>
      <c r="AX16">
        <v>518</v>
      </c>
      <c r="AY16">
        <v>923</v>
      </c>
      <c r="AZ16">
        <v>795</v>
      </c>
      <c r="BA16">
        <v>8637</v>
      </c>
      <c r="BB16">
        <v>813</v>
      </c>
      <c r="BC16">
        <v>14197</v>
      </c>
      <c r="BD16">
        <v>675</v>
      </c>
      <c r="BE16">
        <v>1367</v>
      </c>
      <c r="BF16">
        <v>143</v>
      </c>
      <c r="BG16">
        <v>1259</v>
      </c>
      <c r="BH16">
        <v>1610</v>
      </c>
      <c r="BI16">
        <v>751</v>
      </c>
      <c r="BJ16">
        <v>1724</v>
      </c>
      <c r="BK16">
        <v>4263</v>
      </c>
      <c r="BL16">
        <v>2400</v>
      </c>
      <c r="BM16">
        <v>4431</v>
      </c>
      <c r="BN16">
        <v>127</v>
      </c>
      <c r="BO16">
        <v>177</v>
      </c>
      <c r="BP16">
        <v>15</v>
      </c>
      <c r="BQ16">
        <v>320</v>
      </c>
      <c r="BR16">
        <v>57</v>
      </c>
      <c r="BS16">
        <v>1335</v>
      </c>
      <c r="BT16">
        <v>725</v>
      </c>
      <c r="BU16">
        <v>1670</v>
      </c>
      <c r="BV16">
        <v>11473</v>
      </c>
      <c r="BW16">
        <v>2493</v>
      </c>
      <c r="BX16">
        <v>68</v>
      </c>
      <c r="BY16">
        <v>0</v>
      </c>
      <c r="BZ16">
        <v>5307</v>
      </c>
      <c r="CA16">
        <v>3603</v>
      </c>
      <c r="CB16">
        <v>119458</v>
      </c>
    </row>
    <row r="17" spans="1:80">
      <c r="A17" t="s">
        <v>175</v>
      </c>
      <c r="B17" t="s">
        <v>0</v>
      </c>
      <c r="C17">
        <v>16385</v>
      </c>
      <c r="D17">
        <v>969</v>
      </c>
      <c r="E17">
        <v>5309</v>
      </c>
      <c r="F17">
        <v>2071</v>
      </c>
      <c r="G17">
        <v>1351</v>
      </c>
      <c r="H17">
        <v>3651</v>
      </c>
      <c r="I17">
        <v>1231</v>
      </c>
      <c r="J17">
        <v>178</v>
      </c>
      <c r="K17">
        <v>281</v>
      </c>
      <c r="L17">
        <v>868</v>
      </c>
      <c r="M17">
        <v>479</v>
      </c>
      <c r="N17">
        <v>2626</v>
      </c>
      <c r="O17">
        <v>2528</v>
      </c>
      <c r="P17">
        <v>98</v>
      </c>
      <c r="Q17">
        <v>20202</v>
      </c>
      <c r="R17">
        <v>637</v>
      </c>
      <c r="S17">
        <v>373</v>
      </c>
      <c r="T17">
        <v>16</v>
      </c>
      <c r="U17">
        <v>959</v>
      </c>
      <c r="V17">
        <v>56</v>
      </c>
      <c r="W17">
        <v>3497</v>
      </c>
      <c r="X17">
        <v>450</v>
      </c>
      <c r="Y17">
        <v>13968</v>
      </c>
      <c r="Z17">
        <v>242</v>
      </c>
      <c r="AA17">
        <v>21348</v>
      </c>
      <c r="AB17">
        <v>10900</v>
      </c>
      <c r="AC17">
        <v>7244</v>
      </c>
      <c r="AD17">
        <v>3201</v>
      </c>
      <c r="AE17">
        <v>326</v>
      </c>
      <c r="AF17">
        <v>239</v>
      </c>
      <c r="AG17">
        <v>38</v>
      </c>
      <c r="AH17">
        <v>51</v>
      </c>
      <c r="AI17">
        <v>5193</v>
      </c>
      <c r="AJ17">
        <v>145</v>
      </c>
      <c r="AK17">
        <v>522</v>
      </c>
      <c r="AL17">
        <v>618</v>
      </c>
      <c r="AM17">
        <v>2236</v>
      </c>
      <c r="AN17">
        <v>432</v>
      </c>
      <c r="AO17">
        <v>151</v>
      </c>
      <c r="AP17">
        <v>203</v>
      </c>
      <c r="AQ17">
        <v>243</v>
      </c>
      <c r="AR17">
        <v>643</v>
      </c>
      <c r="AS17">
        <v>11371</v>
      </c>
      <c r="AT17">
        <v>520</v>
      </c>
      <c r="AU17">
        <v>135</v>
      </c>
      <c r="AV17">
        <v>195</v>
      </c>
      <c r="AW17">
        <v>745</v>
      </c>
      <c r="AX17">
        <v>475</v>
      </c>
      <c r="AY17">
        <v>870</v>
      </c>
      <c r="AZ17">
        <v>893</v>
      </c>
      <c r="BA17">
        <v>6770</v>
      </c>
      <c r="BB17">
        <v>771</v>
      </c>
      <c r="BC17">
        <v>12451</v>
      </c>
      <c r="BD17">
        <v>746</v>
      </c>
      <c r="BE17">
        <v>1178</v>
      </c>
      <c r="BF17">
        <v>141</v>
      </c>
      <c r="BG17">
        <v>1247</v>
      </c>
      <c r="BH17">
        <v>1338</v>
      </c>
      <c r="BI17">
        <v>779</v>
      </c>
      <c r="BJ17">
        <v>1536</v>
      </c>
      <c r="BK17">
        <v>4101</v>
      </c>
      <c r="BL17">
        <v>1385</v>
      </c>
      <c r="BM17">
        <v>4283</v>
      </c>
      <c r="BN17">
        <v>97</v>
      </c>
      <c r="BO17">
        <v>158</v>
      </c>
      <c r="BP17">
        <v>21</v>
      </c>
      <c r="BQ17">
        <v>331</v>
      </c>
      <c r="BR17">
        <v>50</v>
      </c>
      <c r="BS17">
        <v>1205</v>
      </c>
      <c r="BT17">
        <v>583</v>
      </c>
      <c r="BU17">
        <v>1846</v>
      </c>
      <c r="BV17">
        <v>13767</v>
      </c>
      <c r="BW17">
        <v>2703</v>
      </c>
      <c r="BX17">
        <v>80</v>
      </c>
      <c r="BY17">
        <v>0</v>
      </c>
      <c r="BZ17">
        <v>5863</v>
      </c>
      <c r="CA17">
        <v>5120</v>
      </c>
      <c r="CB17">
        <v>107956</v>
      </c>
    </row>
    <row r="18" spans="1:80">
      <c r="A18" t="s">
        <v>176</v>
      </c>
      <c r="B18" t="s">
        <v>0</v>
      </c>
      <c r="C18">
        <v>20438</v>
      </c>
      <c r="D18">
        <v>829</v>
      </c>
      <c r="E18">
        <v>6552</v>
      </c>
      <c r="F18">
        <v>2377</v>
      </c>
      <c r="G18">
        <v>1231</v>
      </c>
      <c r="H18">
        <v>6192</v>
      </c>
      <c r="I18">
        <v>1285</v>
      </c>
      <c r="J18">
        <v>200</v>
      </c>
      <c r="K18">
        <v>286</v>
      </c>
      <c r="L18">
        <v>1017</v>
      </c>
      <c r="M18">
        <v>466</v>
      </c>
      <c r="N18">
        <v>2944</v>
      </c>
      <c r="O18">
        <v>2837</v>
      </c>
      <c r="P18">
        <v>105</v>
      </c>
      <c r="Q18">
        <v>23060</v>
      </c>
      <c r="R18">
        <v>686</v>
      </c>
      <c r="S18">
        <v>635</v>
      </c>
      <c r="T18">
        <v>15</v>
      </c>
      <c r="U18">
        <v>1043</v>
      </c>
      <c r="V18">
        <v>69</v>
      </c>
      <c r="W18">
        <v>3580</v>
      </c>
      <c r="X18">
        <v>420</v>
      </c>
      <c r="Y18">
        <v>16333</v>
      </c>
      <c r="Z18">
        <v>277</v>
      </c>
      <c r="AA18">
        <v>23838</v>
      </c>
      <c r="AB18">
        <v>13475</v>
      </c>
      <c r="AC18">
        <v>7088</v>
      </c>
      <c r="AD18">
        <v>3273</v>
      </c>
      <c r="AE18">
        <v>365</v>
      </c>
      <c r="AF18">
        <v>240</v>
      </c>
      <c r="AG18">
        <v>61</v>
      </c>
      <c r="AH18">
        <v>65</v>
      </c>
      <c r="AI18">
        <v>5523</v>
      </c>
      <c r="AJ18">
        <v>131</v>
      </c>
      <c r="AK18">
        <v>512</v>
      </c>
      <c r="AL18">
        <v>627</v>
      </c>
      <c r="AM18">
        <v>2599</v>
      </c>
      <c r="AN18">
        <v>417</v>
      </c>
      <c r="AO18">
        <v>136</v>
      </c>
      <c r="AP18">
        <v>215</v>
      </c>
      <c r="AQ18">
        <v>282</v>
      </c>
      <c r="AR18">
        <v>607</v>
      </c>
      <c r="AS18">
        <v>12013</v>
      </c>
      <c r="AT18">
        <v>452</v>
      </c>
      <c r="AU18">
        <v>145</v>
      </c>
      <c r="AV18">
        <v>232</v>
      </c>
      <c r="AW18">
        <v>764</v>
      </c>
      <c r="AX18">
        <v>445</v>
      </c>
      <c r="AY18">
        <v>829</v>
      </c>
      <c r="AZ18">
        <v>867</v>
      </c>
      <c r="BA18">
        <v>7506</v>
      </c>
      <c r="BB18">
        <v>771</v>
      </c>
      <c r="BC18">
        <v>11972</v>
      </c>
      <c r="BD18">
        <v>935</v>
      </c>
      <c r="BE18">
        <v>1187</v>
      </c>
      <c r="BF18">
        <v>137</v>
      </c>
      <c r="BG18">
        <v>1370</v>
      </c>
      <c r="BH18">
        <v>1128</v>
      </c>
      <c r="BI18">
        <v>859</v>
      </c>
      <c r="BJ18">
        <v>1537</v>
      </c>
      <c r="BK18">
        <v>3947</v>
      </c>
      <c r="BL18">
        <v>870</v>
      </c>
      <c r="BM18">
        <v>4404</v>
      </c>
      <c r="BN18">
        <v>99</v>
      </c>
      <c r="BO18">
        <v>132</v>
      </c>
      <c r="BP18">
        <v>21</v>
      </c>
      <c r="BQ18">
        <v>290</v>
      </c>
      <c r="BR18">
        <v>44</v>
      </c>
      <c r="BS18">
        <v>1307</v>
      </c>
      <c r="BT18">
        <v>567</v>
      </c>
      <c r="BU18">
        <v>1946</v>
      </c>
      <c r="BV18">
        <v>13217</v>
      </c>
      <c r="BW18">
        <v>1936</v>
      </c>
      <c r="BX18">
        <v>109</v>
      </c>
      <c r="BY18">
        <v>0</v>
      </c>
      <c r="BZ18">
        <v>5641</v>
      </c>
      <c r="CA18">
        <v>5530</v>
      </c>
      <c r="CB18">
        <v>117773</v>
      </c>
    </row>
    <row r="19" spans="1:80">
      <c r="A19" t="s">
        <v>177</v>
      </c>
      <c r="B19" t="s">
        <v>0</v>
      </c>
      <c r="C19">
        <v>18739</v>
      </c>
      <c r="D19">
        <v>817</v>
      </c>
      <c r="E19">
        <v>6860</v>
      </c>
      <c r="F19">
        <v>2439</v>
      </c>
      <c r="G19">
        <v>1222</v>
      </c>
      <c r="H19">
        <v>4406</v>
      </c>
      <c r="I19">
        <v>1289</v>
      </c>
      <c r="J19">
        <v>212</v>
      </c>
      <c r="K19">
        <v>245</v>
      </c>
      <c r="L19">
        <v>806</v>
      </c>
      <c r="M19">
        <v>442</v>
      </c>
      <c r="N19">
        <v>2963</v>
      </c>
      <c r="O19">
        <v>2884</v>
      </c>
      <c r="P19">
        <v>77</v>
      </c>
      <c r="Q19">
        <v>30128</v>
      </c>
      <c r="R19">
        <v>623</v>
      </c>
      <c r="S19">
        <v>398</v>
      </c>
      <c r="T19">
        <v>9</v>
      </c>
      <c r="U19">
        <v>1017</v>
      </c>
      <c r="V19">
        <v>131</v>
      </c>
      <c r="W19">
        <v>3362</v>
      </c>
      <c r="X19">
        <v>503</v>
      </c>
      <c r="Y19">
        <v>23806</v>
      </c>
      <c r="Z19">
        <v>279</v>
      </c>
      <c r="AA19">
        <v>35570</v>
      </c>
      <c r="AB19">
        <v>21895</v>
      </c>
      <c r="AC19">
        <v>9054</v>
      </c>
      <c r="AD19">
        <v>4622</v>
      </c>
      <c r="AE19">
        <v>293</v>
      </c>
      <c r="AF19">
        <v>204</v>
      </c>
      <c r="AG19">
        <v>56</v>
      </c>
      <c r="AH19">
        <v>36</v>
      </c>
      <c r="AI19">
        <v>6461</v>
      </c>
      <c r="AJ19">
        <v>134</v>
      </c>
      <c r="AK19">
        <v>541</v>
      </c>
      <c r="AL19">
        <v>625</v>
      </c>
      <c r="AM19">
        <v>3229</v>
      </c>
      <c r="AN19">
        <v>462</v>
      </c>
      <c r="AO19">
        <v>188</v>
      </c>
      <c r="AP19">
        <v>310</v>
      </c>
      <c r="AQ19">
        <v>317</v>
      </c>
      <c r="AR19">
        <v>654</v>
      </c>
      <c r="AS19">
        <v>12937</v>
      </c>
      <c r="AT19">
        <v>398</v>
      </c>
      <c r="AU19">
        <v>168</v>
      </c>
      <c r="AV19">
        <v>236</v>
      </c>
      <c r="AW19">
        <v>701</v>
      </c>
      <c r="AX19">
        <v>430</v>
      </c>
      <c r="AY19">
        <v>858</v>
      </c>
      <c r="AZ19">
        <v>746</v>
      </c>
      <c r="BA19">
        <v>8540</v>
      </c>
      <c r="BB19">
        <v>858</v>
      </c>
      <c r="BC19">
        <v>13145</v>
      </c>
      <c r="BD19">
        <v>1119</v>
      </c>
      <c r="BE19">
        <v>1424</v>
      </c>
      <c r="BF19">
        <v>183</v>
      </c>
      <c r="BG19">
        <v>1494</v>
      </c>
      <c r="BH19">
        <v>1215</v>
      </c>
      <c r="BI19">
        <v>794</v>
      </c>
      <c r="BJ19">
        <v>1523</v>
      </c>
      <c r="BK19">
        <v>4287</v>
      </c>
      <c r="BL19">
        <v>1102</v>
      </c>
      <c r="BM19">
        <v>4440</v>
      </c>
      <c r="BN19">
        <v>116</v>
      </c>
      <c r="BO19">
        <v>131</v>
      </c>
      <c r="BP19">
        <v>24</v>
      </c>
      <c r="BQ19">
        <v>271</v>
      </c>
      <c r="BR19">
        <v>44</v>
      </c>
      <c r="BS19">
        <v>1500</v>
      </c>
      <c r="BT19">
        <v>338</v>
      </c>
      <c r="BU19">
        <v>2021</v>
      </c>
      <c r="BV19">
        <v>14401</v>
      </c>
      <c r="BW19">
        <v>2017</v>
      </c>
      <c r="BX19">
        <v>113</v>
      </c>
      <c r="BY19">
        <v>0</v>
      </c>
      <c r="BZ19">
        <v>5823</v>
      </c>
      <c r="CA19">
        <v>6451</v>
      </c>
      <c r="CB19">
        <v>139080</v>
      </c>
    </row>
    <row r="20" spans="1:80">
      <c r="A20" t="s">
        <v>178</v>
      </c>
      <c r="B20" t="s">
        <v>0</v>
      </c>
      <c r="C20">
        <v>20066</v>
      </c>
      <c r="D20">
        <v>881</v>
      </c>
      <c r="E20">
        <v>7084</v>
      </c>
      <c r="F20">
        <v>2424</v>
      </c>
      <c r="G20">
        <v>1222</v>
      </c>
      <c r="H20">
        <v>5193</v>
      </c>
      <c r="I20">
        <v>1453</v>
      </c>
      <c r="J20">
        <v>278</v>
      </c>
      <c r="K20">
        <v>217</v>
      </c>
      <c r="L20">
        <v>874</v>
      </c>
      <c r="M20">
        <v>439</v>
      </c>
      <c r="N20">
        <v>3009</v>
      </c>
      <c r="O20">
        <v>2892</v>
      </c>
      <c r="P20">
        <v>116</v>
      </c>
      <c r="Q20">
        <v>39192</v>
      </c>
      <c r="R20">
        <v>661</v>
      </c>
      <c r="S20">
        <v>366</v>
      </c>
      <c r="T20">
        <v>0</v>
      </c>
      <c r="U20">
        <v>1143</v>
      </c>
      <c r="V20">
        <v>158</v>
      </c>
      <c r="W20">
        <v>3415</v>
      </c>
      <c r="X20">
        <v>542</v>
      </c>
      <c r="Y20">
        <v>32664</v>
      </c>
      <c r="Z20">
        <v>238</v>
      </c>
      <c r="AA20">
        <v>39337</v>
      </c>
      <c r="AB20">
        <v>23357</v>
      </c>
      <c r="AC20">
        <v>9812</v>
      </c>
      <c r="AD20">
        <v>6166</v>
      </c>
      <c r="AE20">
        <v>288</v>
      </c>
      <c r="AF20">
        <v>206</v>
      </c>
      <c r="AG20">
        <v>65</v>
      </c>
      <c r="AH20">
        <v>13</v>
      </c>
      <c r="AI20">
        <v>6906</v>
      </c>
      <c r="AJ20">
        <v>157</v>
      </c>
      <c r="AK20">
        <v>648</v>
      </c>
      <c r="AL20">
        <v>641</v>
      </c>
      <c r="AM20">
        <v>3450</v>
      </c>
      <c r="AN20">
        <v>485</v>
      </c>
      <c r="AO20">
        <v>148</v>
      </c>
      <c r="AP20">
        <v>269</v>
      </c>
      <c r="AQ20">
        <v>353</v>
      </c>
      <c r="AR20">
        <v>753</v>
      </c>
      <c r="AS20">
        <v>17287</v>
      </c>
      <c r="AT20">
        <v>419</v>
      </c>
      <c r="AU20">
        <v>182</v>
      </c>
      <c r="AV20">
        <v>202</v>
      </c>
      <c r="AW20">
        <v>721</v>
      </c>
      <c r="AX20">
        <v>414</v>
      </c>
      <c r="AY20">
        <v>896</v>
      </c>
      <c r="AZ20">
        <v>1062</v>
      </c>
      <c r="BA20">
        <v>12413</v>
      </c>
      <c r="BB20">
        <v>978</v>
      </c>
      <c r="BC20">
        <v>12998</v>
      </c>
      <c r="BD20">
        <v>1292</v>
      </c>
      <c r="BE20">
        <v>1439</v>
      </c>
      <c r="BF20">
        <v>177</v>
      </c>
      <c r="BG20">
        <v>1609</v>
      </c>
      <c r="BH20">
        <v>1262</v>
      </c>
      <c r="BI20">
        <v>764</v>
      </c>
      <c r="BJ20">
        <v>1638</v>
      </c>
      <c r="BK20">
        <v>3836</v>
      </c>
      <c r="BL20">
        <v>984</v>
      </c>
      <c r="BM20">
        <v>4803</v>
      </c>
      <c r="BN20">
        <v>108</v>
      </c>
      <c r="BO20">
        <v>141</v>
      </c>
      <c r="BP20">
        <v>25</v>
      </c>
      <c r="BQ20">
        <v>244</v>
      </c>
      <c r="BR20">
        <v>43</v>
      </c>
      <c r="BS20">
        <v>1691</v>
      </c>
      <c r="BT20">
        <v>358</v>
      </c>
      <c r="BU20">
        <v>2186</v>
      </c>
      <c r="BV20">
        <v>19873</v>
      </c>
      <c r="BW20">
        <v>2696</v>
      </c>
      <c r="BX20">
        <v>151</v>
      </c>
      <c r="BY20">
        <v>0</v>
      </c>
      <c r="BZ20">
        <v>9153</v>
      </c>
      <c r="CA20">
        <v>7869</v>
      </c>
      <c r="CB20">
        <v>163753</v>
      </c>
    </row>
    <row r="21" spans="1:80">
      <c r="A21" t="s">
        <v>179</v>
      </c>
      <c r="B21" t="s">
        <v>0</v>
      </c>
      <c r="C21">
        <v>17429</v>
      </c>
      <c r="D21">
        <v>928</v>
      </c>
      <c r="E21">
        <v>6624</v>
      </c>
      <c r="F21">
        <v>2435</v>
      </c>
      <c r="G21">
        <v>1110</v>
      </c>
      <c r="H21">
        <v>3362</v>
      </c>
      <c r="I21">
        <v>1285</v>
      </c>
      <c r="J21">
        <v>223</v>
      </c>
      <c r="K21">
        <v>256</v>
      </c>
      <c r="L21">
        <v>761</v>
      </c>
      <c r="M21">
        <v>444</v>
      </c>
      <c r="N21">
        <v>3247</v>
      </c>
      <c r="O21">
        <v>3101</v>
      </c>
      <c r="P21">
        <v>147</v>
      </c>
      <c r="Q21">
        <v>42060</v>
      </c>
      <c r="R21">
        <v>734</v>
      </c>
      <c r="S21">
        <v>150</v>
      </c>
      <c r="T21">
        <v>3</v>
      </c>
      <c r="U21">
        <v>1254</v>
      </c>
      <c r="V21">
        <v>227</v>
      </c>
      <c r="W21">
        <v>3339</v>
      </c>
      <c r="X21">
        <v>543</v>
      </c>
      <c r="Y21">
        <v>35606</v>
      </c>
      <c r="Z21">
        <v>203</v>
      </c>
      <c r="AA21">
        <v>38268</v>
      </c>
      <c r="AB21">
        <v>20875</v>
      </c>
      <c r="AC21">
        <v>11211</v>
      </c>
      <c r="AD21">
        <v>6178</v>
      </c>
      <c r="AE21">
        <v>363</v>
      </c>
      <c r="AF21">
        <v>282</v>
      </c>
      <c r="AG21">
        <v>68</v>
      </c>
      <c r="AH21">
        <v>13</v>
      </c>
      <c r="AI21">
        <v>7902</v>
      </c>
      <c r="AJ21">
        <v>160</v>
      </c>
      <c r="AK21">
        <v>814</v>
      </c>
      <c r="AL21">
        <v>616</v>
      </c>
      <c r="AM21">
        <v>3948</v>
      </c>
      <c r="AN21">
        <v>531</v>
      </c>
      <c r="AO21">
        <v>259</v>
      </c>
      <c r="AP21">
        <v>373</v>
      </c>
      <c r="AQ21">
        <v>349</v>
      </c>
      <c r="AR21">
        <v>848</v>
      </c>
      <c r="AS21">
        <v>18580</v>
      </c>
      <c r="AT21">
        <v>381</v>
      </c>
      <c r="AU21">
        <v>243</v>
      </c>
      <c r="AV21">
        <v>167</v>
      </c>
      <c r="AW21">
        <v>709</v>
      </c>
      <c r="AX21">
        <v>410</v>
      </c>
      <c r="AY21">
        <v>768</v>
      </c>
      <c r="AZ21">
        <v>1203</v>
      </c>
      <c r="BA21">
        <v>13642</v>
      </c>
      <c r="BB21">
        <v>1056</v>
      </c>
      <c r="BC21">
        <v>13769</v>
      </c>
      <c r="BD21">
        <v>1169</v>
      </c>
      <c r="BE21">
        <v>1720</v>
      </c>
      <c r="BF21">
        <v>204</v>
      </c>
      <c r="BG21">
        <v>1665</v>
      </c>
      <c r="BH21">
        <v>1155</v>
      </c>
      <c r="BI21">
        <v>879</v>
      </c>
      <c r="BJ21">
        <v>1847</v>
      </c>
      <c r="BK21">
        <v>4095</v>
      </c>
      <c r="BL21">
        <v>1036</v>
      </c>
      <c r="BM21">
        <v>5063</v>
      </c>
      <c r="BN21">
        <v>137</v>
      </c>
      <c r="BO21">
        <v>110</v>
      </c>
      <c r="BP21">
        <v>30</v>
      </c>
      <c r="BQ21">
        <v>241</v>
      </c>
      <c r="BR21">
        <v>45</v>
      </c>
      <c r="BS21">
        <v>1811</v>
      </c>
      <c r="BT21">
        <v>321</v>
      </c>
      <c r="BU21">
        <v>2366</v>
      </c>
      <c r="BV21">
        <v>21708</v>
      </c>
      <c r="BW21">
        <v>1350</v>
      </c>
      <c r="BX21">
        <v>209</v>
      </c>
      <c r="BY21">
        <v>0</v>
      </c>
      <c r="BZ21">
        <v>11361</v>
      </c>
      <c r="CA21">
        <v>8790</v>
      </c>
      <c r="CB21">
        <v>168386</v>
      </c>
    </row>
    <row r="22" spans="1:80">
      <c r="A22" t="s">
        <v>180</v>
      </c>
      <c r="B22" t="s">
        <v>0</v>
      </c>
      <c r="C22">
        <v>21813</v>
      </c>
      <c r="D22">
        <v>1119</v>
      </c>
      <c r="E22">
        <v>7197</v>
      </c>
      <c r="F22">
        <v>2655</v>
      </c>
      <c r="G22">
        <v>1106</v>
      </c>
      <c r="H22">
        <v>6098</v>
      </c>
      <c r="I22">
        <v>1407</v>
      </c>
      <c r="J22">
        <v>239</v>
      </c>
      <c r="K22">
        <v>269</v>
      </c>
      <c r="L22">
        <v>1119</v>
      </c>
      <c r="M22">
        <v>607</v>
      </c>
      <c r="N22">
        <v>2775</v>
      </c>
      <c r="O22">
        <v>2649</v>
      </c>
      <c r="P22">
        <v>125</v>
      </c>
      <c r="Q22">
        <v>56259</v>
      </c>
      <c r="R22">
        <v>720</v>
      </c>
      <c r="S22">
        <v>395</v>
      </c>
      <c r="T22">
        <v>11</v>
      </c>
      <c r="U22">
        <v>1374</v>
      </c>
      <c r="V22">
        <v>292</v>
      </c>
      <c r="W22">
        <v>2783</v>
      </c>
      <c r="X22">
        <v>400</v>
      </c>
      <c r="Y22">
        <v>50045</v>
      </c>
      <c r="Z22">
        <v>243</v>
      </c>
      <c r="AA22">
        <v>71105</v>
      </c>
      <c r="AB22">
        <v>46868</v>
      </c>
      <c r="AC22">
        <v>13808</v>
      </c>
      <c r="AD22">
        <v>10432</v>
      </c>
      <c r="AE22">
        <v>572</v>
      </c>
      <c r="AF22">
        <v>392</v>
      </c>
      <c r="AG22">
        <v>167</v>
      </c>
      <c r="AH22">
        <v>13</v>
      </c>
      <c r="AI22">
        <v>8466</v>
      </c>
      <c r="AJ22">
        <v>185</v>
      </c>
      <c r="AK22">
        <v>768</v>
      </c>
      <c r="AL22">
        <v>584</v>
      </c>
      <c r="AM22">
        <v>3982</v>
      </c>
      <c r="AN22">
        <v>593</v>
      </c>
      <c r="AO22">
        <v>649</v>
      </c>
      <c r="AP22">
        <v>331</v>
      </c>
      <c r="AQ22">
        <v>362</v>
      </c>
      <c r="AR22">
        <v>1013</v>
      </c>
      <c r="AS22">
        <v>18017</v>
      </c>
      <c r="AT22">
        <v>325</v>
      </c>
      <c r="AU22">
        <v>276</v>
      </c>
      <c r="AV22">
        <v>163</v>
      </c>
      <c r="AW22">
        <v>717</v>
      </c>
      <c r="AX22">
        <v>379</v>
      </c>
      <c r="AY22">
        <v>814</v>
      </c>
      <c r="AZ22">
        <v>1705</v>
      </c>
      <c r="BA22">
        <v>12494</v>
      </c>
      <c r="BB22">
        <v>1140</v>
      </c>
      <c r="BC22">
        <v>15287</v>
      </c>
      <c r="BD22">
        <v>1057</v>
      </c>
      <c r="BE22">
        <v>1872</v>
      </c>
      <c r="BF22">
        <v>202</v>
      </c>
      <c r="BG22">
        <v>1827</v>
      </c>
      <c r="BH22">
        <v>1191</v>
      </c>
      <c r="BI22">
        <v>1034</v>
      </c>
      <c r="BJ22">
        <v>1857</v>
      </c>
      <c r="BK22">
        <v>4842</v>
      </c>
      <c r="BL22">
        <v>1401</v>
      </c>
      <c r="BM22">
        <v>5366</v>
      </c>
      <c r="BN22">
        <v>134</v>
      </c>
      <c r="BO22">
        <v>118</v>
      </c>
      <c r="BP22">
        <v>32</v>
      </c>
      <c r="BQ22">
        <v>253</v>
      </c>
      <c r="BR22">
        <v>51</v>
      </c>
      <c r="BS22">
        <v>2065</v>
      </c>
      <c r="BT22">
        <v>353</v>
      </c>
      <c r="BU22">
        <v>2366</v>
      </c>
      <c r="BV22">
        <v>22680</v>
      </c>
      <c r="BW22">
        <v>1362</v>
      </c>
      <c r="BX22">
        <v>415</v>
      </c>
      <c r="BY22">
        <v>0</v>
      </c>
      <c r="BZ22">
        <v>14298</v>
      </c>
      <c r="CA22">
        <v>6603</v>
      </c>
      <c r="CB22">
        <v>222341</v>
      </c>
    </row>
    <row r="23" spans="1:80">
      <c r="A23" t="s">
        <v>181</v>
      </c>
      <c r="B23" t="s">
        <v>0</v>
      </c>
      <c r="C23">
        <v>21624</v>
      </c>
      <c r="D23">
        <v>1151</v>
      </c>
      <c r="E23">
        <v>6635</v>
      </c>
      <c r="F23">
        <v>2137</v>
      </c>
      <c r="G23">
        <v>1034</v>
      </c>
      <c r="H23">
        <v>6483</v>
      </c>
      <c r="I23">
        <v>1689</v>
      </c>
      <c r="J23">
        <v>272</v>
      </c>
      <c r="K23">
        <v>304</v>
      </c>
      <c r="L23">
        <v>1263</v>
      </c>
      <c r="M23">
        <v>655</v>
      </c>
      <c r="N23">
        <v>2590</v>
      </c>
      <c r="O23">
        <v>2462</v>
      </c>
      <c r="P23">
        <v>129</v>
      </c>
      <c r="Q23">
        <v>51326</v>
      </c>
      <c r="R23">
        <v>523</v>
      </c>
      <c r="S23">
        <v>765</v>
      </c>
      <c r="T23">
        <v>12</v>
      </c>
      <c r="U23">
        <v>1090</v>
      </c>
      <c r="V23">
        <v>210</v>
      </c>
      <c r="W23">
        <v>2426</v>
      </c>
      <c r="X23">
        <v>289</v>
      </c>
      <c r="Y23">
        <v>45798</v>
      </c>
      <c r="Z23">
        <v>213</v>
      </c>
      <c r="AA23">
        <v>57835</v>
      </c>
      <c r="AB23">
        <v>39602</v>
      </c>
      <c r="AC23">
        <v>9600</v>
      </c>
      <c r="AD23">
        <v>8631</v>
      </c>
      <c r="AE23">
        <v>445</v>
      </c>
      <c r="AF23">
        <v>272</v>
      </c>
      <c r="AG23">
        <v>161</v>
      </c>
      <c r="AH23">
        <v>15</v>
      </c>
      <c r="AI23">
        <v>8092</v>
      </c>
      <c r="AJ23">
        <v>154</v>
      </c>
      <c r="AK23">
        <v>518</v>
      </c>
      <c r="AL23">
        <v>676</v>
      </c>
      <c r="AM23">
        <v>4071</v>
      </c>
      <c r="AN23">
        <v>602</v>
      </c>
      <c r="AO23">
        <v>405</v>
      </c>
      <c r="AP23">
        <v>253</v>
      </c>
      <c r="AQ23">
        <v>419</v>
      </c>
      <c r="AR23">
        <v>996</v>
      </c>
      <c r="AS23">
        <v>13721</v>
      </c>
      <c r="AT23">
        <v>249</v>
      </c>
      <c r="AU23">
        <v>203</v>
      </c>
      <c r="AV23">
        <v>156</v>
      </c>
      <c r="AW23">
        <v>657</v>
      </c>
      <c r="AX23">
        <v>308</v>
      </c>
      <c r="AY23">
        <v>831</v>
      </c>
      <c r="AZ23">
        <v>860</v>
      </c>
      <c r="BA23">
        <v>9388</v>
      </c>
      <c r="BB23">
        <v>1070</v>
      </c>
      <c r="BC23">
        <v>11902</v>
      </c>
      <c r="BD23">
        <v>785</v>
      </c>
      <c r="BE23">
        <v>1863</v>
      </c>
      <c r="BF23">
        <v>146</v>
      </c>
      <c r="BG23">
        <v>1764</v>
      </c>
      <c r="BH23">
        <v>1019</v>
      </c>
      <c r="BI23">
        <v>1006</v>
      </c>
      <c r="BJ23">
        <v>1535</v>
      </c>
      <c r="BK23">
        <v>2501</v>
      </c>
      <c r="BL23">
        <v>1285</v>
      </c>
      <c r="BM23">
        <v>5068</v>
      </c>
      <c r="BN23">
        <v>143</v>
      </c>
      <c r="BO23">
        <v>108</v>
      </c>
      <c r="BP23">
        <v>33</v>
      </c>
      <c r="BQ23">
        <v>231</v>
      </c>
      <c r="BR23">
        <v>43</v>
      </c>
      <c r="BS23">
        <v>2092</v>
      </c>
      <c r="BT23">
        <v>332</v>
      </c>
      <c r="BU23">
        <v>2086</v>
      </c>
      <c r="BV23">
        <v>23953</v>
      </c>
      <c r="BW23">
        <v>1944</v>
      </c>
      <c r="BX23">
        <v>551</v>
      </c>
      <c r="BY23">
        <v>0</v>
      </c>
      <c r="BZ23">
        <v>15052</v>
      </c>
      <c r="CA23">
        <v>6410</v>
      </c>
      <c r="CB23">
        <v>196556</v>
      </c>
    </row>
    <row r="24" spans="1:80">
      <c r="A24" t="s">
        <v>182</v>
      </c>
      <c r="B24" t="s">
        <v>0</v>
      </c>
      <c r="C24">
        <v>20875</v>
      </c>
      <c r="D24">
        <v>1145</v>
      </c>
      <c r="E24">
        <v>6709</v>
      </c>
      <c r="F24">
        <v>2160</v>
      </c>
      <c r="G24">
        <v>1019</v>
      </c>
      <c r="H24">
        <v>5862</v>
      </c>
      <c r="I24">
        <v>1555</v>
      </c>
      <c r="J24">
        <v>337</v>
      </c>
      <c r="K24">
        <v>285</v>
      </c>
      <c r="L24">
        <v>1010</v>
      </c>
      <c r="M24">
        <v>798</v>
      </c>
      <c r="N24">
        <v>2419</v>
      </c>
      <c r="O24">
        <v>2292</v>
      </c>
      <c r="P24">
        <v>127</v>
      </c>
      <c r="Q24">
        <v>75903</v>
      </c>
      <c r="R24">
        <v>720</v>
      </c>
      <c r="S24">
        <v>584</v>
      </c>
      <c r="T24">
        <v>15</v>
      </c>
      <c r="U24">
        <v>1216</v>
      </c>
      <c r="V24">
        <v>264</v>
      </c>
      <c r="W24">
        <v>3318</v>
      </c>
      <c r="X24">
        <v>361</v>
      </c>
      <c r="Y24">
        <v>69212</v>
      </c>
      <c r="Z24">
        <v>207</v>
      </c>
      <c r="AA24">
        <v>66589</v>
      </c>
      <c r="AB24">
        <v>43125</v>
      </c>
      <c r="AC24">
        <v>12957</v>
      </c>
      <c r="AD24">
        <v>10508</v>
      </c>
      <c r="AE24">
        <v>471</v>
      </c>
      <c r="AF24">
        <v>306</v>
      </c>
      <c r="AG24">
        <v>152</v>
      </c>
      <c r="AH24">
        <v>12</v>
      </c>
      <c r="AI24">
        <v>8081</v>
      </c>
      <c r="AJ24">
        <v>183</v>
      </c>
      <c r="AK24">
        <v>566</v>
      </c>
      <c r="AL24">
        <v>663</v>
      </c>
      <c r="AM24">
        <v>3998</v>
      </c>
      <c r="AN24">
        <v>653</v>
      </c>
      <c r="AO24">
        <v>326</v>
      </c>
      <c r="AP24">
        <v>347</v>
      </c>
      <c r="AQ24">
        <v>346</v>
      </c>
      <c r="AR24">
        <v>997</v>
      </c>
      <c r="AS24">
        <v>15255</v>
      </c>
      <c r="AT24">
        <v>276</v>
      </c>
      <c r="AU24">
        <v>187</v>
      </c>
      <c r="AV24">
        <v>151</v>
      </c>
      <c r="AW24">
        <v>796</v>
      </c>
      <c r="AX24">
        <v>265</v>
      </c>
      <c r="AY24">
        <v>728</v>
      </c>
      <c r="AZ24">
        <v>1404</v>
      </c>
      <c r="BA24">
        <v>10383</v>
      </c>
      <c r="BB24">
        <v>1060</v>
      </c>
      <c r="BC24">
        <v>12228</v>
      </c>
      <c r="BD24">
        <v>834</v>
      </c>
      <c r="BE24">
        <v>1903</v>
      </c>
      <c r="BF24">
        <v>136</v>
      </c>
      <c r="BG24">
        <v>1794</v>
      </c>
      <c r="BH24">
        <v>1182</v>
      </c>
      <c r="BI24">
        <v>933</v>
      </c>
      <c r="BJ24">
        <v>1545</v>
      </c>
      <c r="BK24">
        <v>2894</v>
      </c>
      <c r="BL24">
        <v>1008</v>
      </c>
      <c r="BM24">
        <v>4871</v>
      </c>
      <c r="BN24">
        <v>144</v>
      </c>
      <c r="BO24">
        <v>101</v>
      </c>
      <c r="BP24">
        <v>31</v>
      </c>
      <c r="BQ24">
        <v>241</v>
      </c>
      <c r="BR24">
        <v>42</v>
      </c>
      <c r="BS24">
        <v>1948</v>
      </c>
      <c r="BT24">
        <v>266</v>
      </c>
      <c r="BU24">
        <v>2100</v>
      </c>
      <c r="BV24">
        <v>24453</v>
      </c>
      <c r="BW24">
        <v>1577</v>
      </c>
      <c r="BX24">
        <v>569</v>
      </c>
      <c r="BY24">
        <v>0</v>
      </c>
      <c r="BZ24">
        <v>14436</v>
      </c>
      <c r="CA24">
        <v>7866</v>
      </c>
      <c r="CB24">
        <v>231143</v>
      </c>
    </row>
    <row r="25" spans="1:80">
      <c r="A25" t="s">
        <v>183</v>
      </c>
      <c r="B25" t="s">
        <v>0</v>
      </c>
      <c r="C25">
        <v>24188</v>
      </c>
      <c r="D25">
        <v>1072</v>
      </c>
      <c r="E25">
        <v>7130</v>
      </c>
      <c r="F25">
        <v>2172</v>
      </c>
      <c r="G25">
        <v>1063</v>
      </c>
      <c r="H25">
        <v>8490</v>
      </c>
      <c r="I25">
        <v>1672</v>
      </c>
      <c r="J25">
        <v>330</v>
      </c>
      <c r="K25">
        <v>294</v>
      </c>
      <c r="L25">
        <v>1076</v>
      </c>
      <c r="M25">
        <v>890</v>
      </c>
      <c r="N25">
        <v>2210</v>
      </c>
      <c r="O25">
        <v>2088</v>
      </c>
      <c r="P25">
        <v>121</v>
      </c>
      <c r="Q25">
        <v>95783</v>
      </c>
      <c r="R25">
        <v>850</v>
      </c>
      <c r="S25">
        <v>1307</v>
      </c>
      <c r="T25">
        <v>17</v>
      </c>
      <c r="U25">
        <v>1092</v>
      </c>
      <c r="V25">
        <v>249</v>
      </c>
      <c r="W25">
        <v>5427</v>
      </c>
      <c r="X25">
        <v>415</v>
      </c>
      <c r="Y25">
        <v>86221</v>
      </c>
      <c r="Z25">
        <v>202</v>
      </c>
      <c r="AA25">
        <v>73394</v>
      </c>
      <c r="AB25">
        <v>46948</v>
      </c>
      <c r="AC25">
        <v>14396</v>
      </c>
      <c r="AD25">
        <v>12047</v>
      </c>
      <c r="AE25">
        <v>601</v>
      </c>
      <c r="AF25">
        <v>413</v>
      </c>
      <c r="AG25">
        <v>174</v>
      </c>
      <c r="AH25">
        <v>12</v>
      </c>
      <c r="AI25">
        <v>7894</v>
      </c>
      <c r="AJ25">
        <v>189</v>
      </c>
      <c r="AK25">
        <v>586</v>
      </c>
      <c r="AL25">
        <v>775</v>
      </c>
      <c r="AM25">
        <v>3743</v>
      </c>
      <c r="AN25">
        <v>623</v>
      </c>
      <c r="AO25">
        <v>396</v>
      </c>
      <c r="AP25">
        <v>301</v>
      </c>
      <c r="AQ25">
        <v>325</v>
      </c>
      <c r="AR25">
        <v>960</v>
      </c>
      <c r="AS25">
        <v>15981</v>
      </c>
      <c r="AT25">
        <v>242</v>
      </c>
      <c r="AU25">
        <v>204</v>
      </c>
      <c r="AV25">
        <v>117</v>
      </c>
      <c r="AW25">
        <v>848</v>
      </c>
      <c r="AX25">
        <v>264</v>
      </c>
      <c r="AY25">
        <v>653</v>
      </c>
      <c r="AZ25">
        <v>1234</v>
      </c>
      <c r="BA25">
        <v>11376</v>
      </c>
      <c r="BB25">
        <v>1040</v>
      </c>
      <c r="BC25">
        <v>12586</v>
      </c>
      <c r="BD25">
        <v>961</v>
      </c>
      <c r="BE25">
        <v>1949</v>
      </c>
      <c r="BF25">
        <v>161</v>
      </c>
      <c r="BG25">
        <v>1835</v>
      </c>
      <c r="BH25">
        <v>1151</v>
      </c>
      <c r="BI25">
        <v>974</v>
      </c>
      <c r="BJ25">
        <v>1557</v>
      </c>
      <c r="BK25">
        <v>2541</v>
      </c>
      <c r="BL25">
        <v>1459</v>
      </c>
      <c r="BM25">
        <v>5182</v>
      </c>
      <c r="BN25">
        <v>118</v>
      </c>
      <c r="BO25">
        <v>98</v>
      </c>
      <c r="BP25">
        <v>31</v>
      </c>
      <c r="BQ25">
        <v>250</v>
      </c>
      <c r="BR25">
        <v>52</v>
      </c>
      <c r="BS25">
        <v>1939</v>
      </c>
      <c r="BT25">
        <v>260</v>
      </c>
      <c r="BU25">
        <v>2439</v>
      </c>
      <c r="BV25">
        <v>23886</v>
      </c>
      <c r="BW25">
        <v>1282</v>
      </c>
      <c r="BX25">
        <v>896</v>
      </c>
      <c r="BY25">
        <v>0</v>
      </c>
      <c r="BZ25">
        <v>15075</v>
      </c>
      <c r="CA25">
        <v>6626</v>
      </c>
      <c r="CB25">
        <v>261697</v>
      </c>
    </row>
    <row r="26" spans="1:80">
      <c r="A26" t="s">
        <v>184</v>
      </c>
      <c r="B26" t="s">
        <v>0</v>
      </c>
      <c r="C26">
        <v>25264</v>
      </c>
      <c r="D26">
        <v>1049</v>
      </c>
      <c r="E26">
        <v>7201</v>
      </c>
      <c r="F26">
        <v>2170</v>
      </c>
      <c r="G26">
        <v>953</v>
      </c>
      <c r="H26">
        <v>9037</v>
      </c>
      <c r="I26">
        <v>2082</v>
      </c>
      <c r="J26">
        <v>295</v>
      </c>
      <c r="K26">
        <v>253</v>
      </c>
      <c r="L26">
        <v>1302</v>
      </c>
      <c r="M26">
        <v>914</v>
      </c>
      <c r="N26">
        <v>2152</v>
      </c>
      <c r="O26">
        <v>2070</v>
      </c>
      <c r="P26">
        <v>83</v>
      </c>
      <c r="Q26">
        <v>86233</v>
      </c>
      <c r="R26">
        <v>818</v>
      </c>
      <c r="S26">
        <v>1797</v>
      </c>
      <c r="T26">
        <v>22</v>
      </c>
      <c r="U26">
        <v>888</v>
      </c>
      <c r="V26">
        <v>236</v>
      </c>
      <c r="W26">
        <v>5214</v>
      </c>
      <c r="X26">
        <v>428</v>
      </c>
      <c r="Y26">
        <v>76571</v>
      </c>
      <c r="Z26">
        <v>257</v>
      </c>
      <c r="AA26">
        <v>70344</v>
      </c>
      <c r="AB26">
        <v>41566</v>
      </c>
      <c r="AC26">
        <v>14286</v>
      </c>
      <c r="AD26">
        <v>14492</v>
      </c>
      <c r="AE26">
        <v>508</v>
      </c>
      <c r="AF26">
        <v>339</v>
      </c>
      <c r="AG26">
        <v>159</v>
      </c>
      <c r="AH26">
        <v>10</v>
      </c>
      <c r="AI26">
        <v>8421</v>
      </c>
      <c r="AJ26">
        <v>223</v>
      </c>
      <c r="AK26">
        <v>698</v>
      </c>
      <c r="AL26">
        <v>669</v>
      </c>
      <c r="AM26">
        <v>4321</v>
      </c>
      <c r="AN26">
        <v>625</v>
      </c>
      <c r="AO26">
        <v>309</v>
      </c>
      <c r="AP26">
        <v>329</v>
      </c>
      <c r="AQ26">
        <v>313</v>
      </c>
      <c r="AR26">
        <v>936</v>
      </c>
      <c r="AS26">
        <v>13824</v>
      </c>
      <c r="AT26">
        <v>196</v>
      </c>
      <c r="AU26">
        <v>210</v>
      </c>
      <c r="AV26">
        <v>95</v>
      </c>
      <c r="AW26">
        <v>802</v>
      </c>
      <c r="AX26">
        <v>247</v>
      </c>
      <c r="AY26">
        <v>610</v>
      </c>
      <c r="AZ26">
        <v>710</v>
      </c>
      <c r="BA26">
        <v>9879</v>
      </c>
      <c r="BB26">
        <v>1073</v>
      </c>
      <c r="BC26">
        <v>13303</v>
      </c>
      <c r="BD26">
        <v>843</v>
      </c>
      <c r="BE26">
        <v>2125</v>
      </c>
      <c r="BF26">
        <v>170</v>
      </c>
      <c r="BG26">
        <v>1890</v>
      </c>
      <c r="BH26">
        <v>1109</v>
      </c>
      <c r="BI26">
        <v>1008</v>
      </c>
      <c r="BJ26">
        <v>1579</v>
      </c>
      <c r="BK26">
        <v>3023</v>
      </c>
      <c r="BL26">
        <v>1558</v>
      </c>
      <c r="BM26">
        <v>4922</v>
      </c>
      <c r="BN26">
        <v>135</v>
      </c>
      <c r="BO26">
        <v>83</v>
      </c>
      <c r="BP26">
        <v>36</v>
      </c>
      <c r="BQ26">
        <v>256</v>
      </c>
      <c r="BR26">
        <v>49</v>
      </c>
      <c r="BS26">
        <v>1810</v>
      </c>
      <c r="BT26">
        <v>238</v>
      </c>
      <c r="BU26">
        <v>2312</v>
      </c>
      <c r="BV26">
        <v>22773</v>
      </c>
      <c r="BW26">
        <v>1034</v>
      </c>
      <c r="BX26">
        <v>732</v>
      </c>
      <c r="BY26">
        <v>0</v>
      </c>
      <c r="BZ26">
        <v>15526</v>
      </c>
      <c r="CA26">
        <v>5483</v>
      </c>
      <c r="CB26">
        <v>247749</v>
      </c>
    </row>
    <row r="27" spans="1:80">
      <c r="A27" t="s">
        <v>185</v>
      </c>
      <c r="B27" t="s">
        <v>0</v>
      </c>
      <c r="C27">
        <v>27113</v>
      </c>
      <c r="D27">
        <v>1036</v>
      </c>
      <c r="E27">
        <v>8651</v>
      </c>
      <c r="F27">
        <v>2305</v>
      </c>
      <c r="G27">
        <v>1024</v>
      </c>
      <c r="H27">
        <v>9079</v>
      </c>
      <c r="I27">
        <v>2220</v>
      </c>
      <c r="J27">
        <v>287</v>
      </c>
      <c r="K27">
        <v>256</v>
      </c>
      <c r="L27">
        <v>1164</v>
      </c>
      <c r="M27">
        <v>1093</v>
      </c>
      <c r="N27">
        <v>2102</v>
      </c>
      <c r="O27">
        <v>2046</v>
      </c>
      <c r="P27">
        <v>56</v>
      </c>
      <c r="Q27">
        <v>101759</v>
      </c>
      <c r="R27">
        <v>1030</v>
      </c>
      <c r="S27">
        <v>2543</v>
      </c>
      <c r="T27">
        <v>19</v>
      </c>
      <c r="U27">
        <v>973</v>
      </c>
      <c r="V27">
        <v>231</v>
      </c>
      <c r="W27">
        <v>5287</v>
      </c>
      <c r="X27">
        <v>324</v>
      </c>
      <c r="Y27">
        <v>91067</v>
      </c>
      <c r="Z27">
        <v>285</v>
      </c>
      <c r="AA27">
        <v>67513</v>
      </c>
      <c r="AB27">
        <v>40009</v>
      </c>
      <c r="AC27">
        <v>11783</v>
      </c>
      <c r="AD27">
        <v>15721</v>
      </c>
      <c r="AE27">
        <v>644</v>
      </c>
      <c r="AF27">
        <v>405</v>
      </c>
      <c r="AG27">
        <v>217</v>
      </c>
      <c r="AH27">
        <v>22</v>
      </c>
      <c r="AI27">
        <v>7790</v>
      </c>
      <c r="AJ27">
        <v>168</v>
      </c>
      <c r="AK27">
        <v>837</v>
      </c>
      <c r="AL27">
        <v>688</v>
      </c>
      <c r="AM27">
        <v>3563</v>
      </c>
      <c r="AN27">
        <v>689</v>
      </c>
      <c r="AO27">
        <v>207</v>
      </c>
      <c r="AP27">
        <v>292</v>
      </c>
      <c r="AQ27">
        <v>327</v>
      </c>
      <c r="AR27">
        <v>1017</v>
      </c>
      <c r="AS27">
        <v>14476</v>
      </c>
      <c r="AT27">
        <v>217</v>
      </c>
      <c r="AU27">
        <v>200</v>
      </c>
      <c r="AV27">
        <v>75</v>
      </c>
      <c r="AW27">
        <v>935</v>
      </c>
      <c r="AX27">
        <v>233</v>
      </c>
      <c r="AY27">
        <v>825</v>
      </c>
      <c r="AZ27">
        <v>692</v>
      </c>
      <c r="BA27">
        <v>10227</v>
      </c>
      <c r="BB27">
        <v>1068</v>
      </c>
      <c r="BC27">
        <v>13615</v>
      </c>
      <c r="BD27">
        <v>899</v>
      </c>
      <c r="BE27">
        <v>1980</v>
      </c>
      <c r="BF27">
        <v>163</v>
      </c>
      <c r="BG27">
        <v>1903</v>
      </c>
      <c r="BH27">
        <v>1267</v>
      </c>
      <c r="BI27">
        <v>1135</v>
      </c>
      <c r="BJ27">
        <v>1482</v>
      </c>
      <c r="BK27">
        <v>3067</v>
      </c>
      <c r="BL27">
        <v>1724</v>
      </c>
      <c r="BM27">
        <v>5037</v>
      </c>
      <c r="BN27">
        <v>167</v>
      </c>
      <c r="BO27">
        <v>86</v>
      </c>
      <c r="BP27">
        <v>39</v>
      </c>
      <c r="BQ27">
        <v>238</v>
      </c>
      <c r="BR27">
        <v>57</v>
      </c>
      <c r="BS27">
        <v>1873</v>
      </c>
      <c r="BT27">
        <v>246</v>
      </c>
      <c r="BU27">
        <v>2331</v>
      </c>
      <c r="BV27">
        <v>21908</v>
      </c>
      <c r="BW27">
        <v>1145</v>
      </c>
      <c r="BX27">
        <v>1042</v>
      </c>
      <c r="BY27">
        <v>0</v>
      </c>
      <c r="BZ27">
        <v>13898</v>
      </c>
      <c r="CA27">
        <v>5822</v>
      </c>
      <c r="CB27">
        <v>261958</v>
      </c>
    </row>
    <row r="28" spans="1:80">
      <c r="A28" t="s">
        <v>186</v>
      </c>
      <c r="B28" t="s">
        <v>0</v>
      </c>
      <c r="C28">
        <v>31103</v>
      </c>
      <c r="D28">
        <v>1617</v>
      </c>
      <c r="E28">
        <v>11574</v>
      </c>
      <c r="F28">
        <v>2560</v>
      </c>
      <c r="G28">
        <v>1210</v>
      </c>
      <c r="H28">
        <v>8975</v>
      </c>
      <c r="I28">
        <v>2363</v>
      </c>
      <c r="J28">
        <v>244</v>
      </c>
      <c r="K28">
        <v>296</v>
      </c>
      <c r="L28">
        <v>1162</v>
      </c>
      <c r="M28">
        <v>1105</v>
      </c>
      <c r="N28">
        <v>2151</v>
      </c>
      <c r="O28">
        <v>2086</v>
      </c>
      <c r="P28">
        <v>64</v>
      </c>
      <c r="Q28">
        <v>97436</v>
      </c>
      <c r="R28">
        <v>1027</v>
      </c>
      <c r="S28">
        <v>1627</v>
      </c>
      <c r="T28">
        <v>14</v>
      </c>
      <c r="U28">
        <v>1260</v>
      </c>
      <c r="V28">
        <v>235</v>
      </c>
      <c r="W28">
        <v>4500</v>
      </c>
      <c r="X28">
        <v>437</v>
      </c>
      <c r="Y28">
        <v>88010</v>
      </c>
      <c r="Z28">
        <v>327</v>
      </c>
      <c r="AA28">
        <v>70511</v>
      </c>
      <c r="AB28">
        <v>38193</v>
      </c>
      <c r="AC28">
        <v>13401</v>
      </c>
      <c r="AD28">
        <v>18917</v>
      </c>
      <c r="AE28">
        <v>648</v>
      </c>
      <c r="AF28">
        <v>422</v>
      </c>
      <c r="AG28">
        <v>209</v>
      </c>
      <c r="AH28">
        <v>19</v>
      </c>
      <c r="AI28">
        <v>7342</v>
      </c>
      <c r="AJ28">
        <v>168</v>
      </c>
      <c r="AK28">
        <v>800</v>
      </c>
      <c r="AL28">
        <v>779</v>
      </c>
      <c r="AM28">
        <v>2923</v>
      </c>
      <c r="AN28">
        <v>719</v>
      </c>
      <c r="AO28">
        <v>242</v>
      </c>
      <c r="AP28">
        <v>331</v>
      </c>
      <c r="AQ28">
        <v>345</v>
      </c>
      <c r="AR28">
        <v>1029</v>
      </c>
      <c r="AS28">
        <v>15366</v>
      </c>
      <c r="AT28">
        <v>241</v>
      </c>
      <c r="AU28">
        <v>208</v>
      </c>
      <c r="AV28">
        <v>101</v>
      </c>
      <c r="AW28">
        <v>985</v>
      </c>
      <c r="AX28">
        <v>238</v>
      </c>
      <c r="AY28">
        <v>930</v>
      </c>
      <c r="AZ28">
        <v>676</v>
      </c>
      <c r="BA28">
        <v>10909</v>
      </c>
      <c r="BB28">
        <v>1078</v>
      </c>
      <c r="BC28">
        <v>14709</v>
      </c>
      <c r="BD28">
        <v>915</v>
      </c>
      <c r="BE28">
        <v>1988</v>
      </c>
      <c r="BF28">
        <v>189</v>
      </c>
      <c r="BG28">
        <v>1978</v>
      </c>
      <c r="BH28">
        <v>1531</v>
      </c>
      <c r="BI28">
        <v>1347</v>
      </c>
      <c r="BJ28">
        <v>1544</v>
      </c>
      <c r="BK28">
        <v>2996</v>
      </c>
      <c r="BL28">
        <v>2225</v>
      </c>
      <c r="BM28">
        <v>5389</v>
      </c>
      <c r="BN28">
        <v>146</v>
      </c>
      <c r="BO28">
        <v>100</v>
      </c>
      <c r="BP28">
        <v>44</v>
      </c>
      <c r="BQ28">
        <v>247</v>
      </c>
      <c r="BR28">
        <v>68</v>
      </c>
      <c r="BS28">
        <v>2127</v>
      </c>
      <c r="BT28">
        <v>286</v>
      </c>
      <c r="BU28">
        <v>2372</v>
      </c>
      <c r="BV28">
        <v>21271</v>
      </c>
      <c r="BW28">
        <v>1292</v>
      </c>
      <c r="BX28">
        <v>710</v>
      </c>
      <c r="BY28">
        <v>1</v>
      </c>
      <c r="BZ28">
        <v>13459</v>
      </c>
      <c r="CA28">
        <v>5807</v>
      </c>
      <c r="CB28">
        <v>265923</v>
      </c>
    </row>
    <row r="29" spans="1:80">
      <c r="A29" t="s">
        <v>187</v>
      </c>
      <c r="B29" t="s">
        <v>0</v>
      </c>
      <c r="C29">
        <v>35650</v>
      </c>
      <c r="D29">
        <v>1897</v>
      </c>
      <c r="E29">
        <v>13138</v>
      </c>
      <c r="F29">
        <v>2388</v>
      </c>
      <c r="G29">
        <v>1396</v>
      </c>
      <c r="H29">
        <v>9339</v>
      </c>
      <c r="I29">
        <v>3894</v>
      </c>
      <c r="J29">
        <v>281</v>
      </c>
      <c r="K29">
        <v>328</v>
      </c>
      <c r="L29">
        <v>1208</v>
      </c>
      <c r="M29">
        <v>1779</v>
      </c>
      <c r="N29">
        <v>2522</v>
      </c>
      <c r="O29">
        <v>2455</v>
      </c>
      <c r="P29">
        <v>66</v>
      </c>
      <c r="Q29">
        <v>81539</v>
      </c>
      <c r="R29">
        <v>1023</v>
      </c>
      <c r="S29">
        <v>1606</v>
      </c>
      <c r="T29">
        <v>11</v>
      </c>
      <c r="U29">
        <v>1553</v>
      </c>
      <c r="V29">
        <v>254</v>
      </c>
      <c r="W29">
        <v>4071</v>
      </c>
      <c r="X29">
        <v>594</v>
      </c>
      <c r="Y29">
        <v>71950</v>
      </c>
      <c r="Z29">
        <v>481</v>
      </c>
      <c r="AA29">
        <v>62248</v>
      </c>
      <c r="AB29">
        <v>37110</v>
      </c>
      <c r="AC29">
        <v>8085</v>
      </c>
      <c r="AD29">
        <v>17054</v>
      </c>
      <c r="AE29">
        <v>655</v>
      </c>
      <c r="AF29">
        <v>393</v>
      </c>
      <c r="AG29">
        <v>236</v>
      </c>
      <c r="AH29">
        <v>25</v>
      </c>
      <c r="AI29">
        <v>7334</v>
      </c>
      <c r="AJ29">
        <v>207</v>
      </c>
      <c r="AK29">
        <v>832</v>
      </c>
      <c r="AL29">
        <v>845</v>
      </c>
      <c r="AM29">
        <v>2473</v>
      </c>
      <c r="AN29">
        <v>823</v>
      </c>
      <c r="AO29">
        <v>363</v>
      </c>
      <c r="AP29">
        <v>364</v>
      </c>
      <c r="AQ29">
        <v>376</v>
      </c>
      <c r="AR29">
        <v>1049</v>
      </c>
      <c r="AS29">
        <v>14714</v>
      </c>
      <c r="AT29">
        <v>252</v>
      </c>
      <c r="AU29">
        <v>242</v>
      </c>
      <c r="AV29">
        <v>103</v>
      </c>
      <c r="AW29">
        <v>1003</v>
      </c>
      <c r="AX29">
        <v>282</v>
      </c>
      <c r="AY29">
        <v>1080</v>
      </c>
      <c r="AZ29">
        <v>680</v>
      </c>
      <c r="BA29">
        <v>10002</v>
      </c>
      <c r="BB29">
        <v>1072</v>
      </c>
      <c r="BC29">
        <v>16038</v>
      </c>
      <c r="BD29">
        <v>998</v>
      </c>
      <c r="BE29">
        <v>1938</v>
      </c>
      <c r="BF29">
        <v>160</v>
      </c>
      <c r="BG29">
        <v>2163</v>
      </c>
      <c r="BH29">
        <v>1756</v>
      </c>
      <c r="BI29">
        <v>1704</v>
      </c>
      <c r="BJ29">
        <v>1646</v>
      </c>
      <c r="BK29">
        <v>3339</v>
      </c>
      <c r="BL29">
        <v>2331</v>
      </c>
      <c r="BM29">
        <v>6302</v>
      </c>
      <c r="BN29">
        <v>184</v>
      </c>
      <c r="BO29">
        <v>128</v>
      </c>
      <c r="BP29">
        <v>45</v>
      </c>
      <c r="BQ29">
        <v>303</v>
      </c>
      <c r="BR29">
        <v>82</v>
      </c>
      <c r="BS29">
        <v>2433</v>
      </c>
      <c r="BT29">
        <v>390</v>
      </c>
      <c r="BU29">
        <v>2736</v>
      </c>
      <c r="BV29">
        <v>22613</v>
      </c>
      <c r="BW29">
        <v>1302</v>
      </c>
      <c r="BX29">
        <v>838</v>
      </c>
      <c r="BY29">
        <v>5</v>
      </c>
      <c r="BZ29">
        <v>14504</v>
      </c>
      <c r="CA29">
        <v>5963</v>
      </c>
      <c r="CB29">
        <v>249613</v>
      </c>
    </row>
    <row r="30" spans="1:80">
      <c r="A30" t="s">
        <v>188</v>
      </c>
      <c r="B30" t="s">
        <v>0</v>
      </c>
      <c r="C30">
        <v>32621</v>
      </c>
      <c r="D30">
        <v>1874</v>
      </c>
      <c r="E30">
        <v>11088</v>
      </c>
      <c r="F30">
        <v>2208</v>
      </c>
      <c r="G30">
        <v>1379</v>
      </c>
      <c r="H30">
        <v>7580</v>
      </c>
      <c r="I30">
        <v>4153</v>
      </c>
      <c r="J30">
        <v>319</v>
      </c>
      <c r="K30">
        <v>363</v>
      </c>
      <c r="L30">
        <v>1174</v>
      </c>
      <c r="M30">
        <v>2478</v>
      </c>
      <c r="N30">
        <v>2679</v>
      </c>
      <c r="O30">
        <v>2610</v>
      </c>
      <c r="P30">
        <v>68</v>
      </c>
      <c r="Q30">
        <v>83621</v>
      </c>
      <c r="R30">
        <v>827</v>
      </c>
      <c r="S30">
        <v>1415</v>
      </c>
      <c r="T30">
        <v>7</v>
      </c>
      <c r="U30">
        <v>1769</v>
      </c>
      <c r="V30">
        <v>242</v>
      </c>
      <c r="W30">
        <v>4722</v>
      </c>
      <c r="X30">
        <v>665</v>
      </c>
      <c r="Y30">
        <v>73494</v>
      </c>
      <c r="Z30">
        <v>476</v>
      </c>
      <c r="AA30">
        <v>67702</v>
      </c>
      <c r="AB30">
        <v>42273</v>
      </c>
      <c r="AC30">
        <v>6946</v>
      </c>
      <c r="AD30">
        <v>18480</v>
      </c>
      <c r="AE30">
        <v>675</v>
      </c>
      <c r="AF30">
        <v>422</v>
      </c>
      <c r="AG30">
        <v>217</v>
      </c>
      <c r="AH30">
        <v>37</v>
      </c>
      <c r="AI30">
        <v>8367</v>
      </c>
      <c r="AJ30">
        <v>227</v>
      </c>
      <c r="AK30">
        <v>657</v>
      </c>
      <c r="AL30">
        <v>847</v>
      </c>
      <c r="AM30">
        <v>3486</v>
      </c>
      <c r="AN30">
        <v>985</v>
      </c>
      <c r="AO30">
        <v>369</v>
      </c>
      <c r="AP30">
        <v>315</v>
      </c>
      <c r="AQ30">
        <v>418</v>
      </c>
      <c r="AR30">
        <v>1065</v>
      </c>
      <c r="AS30">
        <v>13406</v>
      </c>
      <c r="AT30">
        <v>184</v>
      </c>
      <c r="AU30">
        <v>246</v>
      </c>
      <c r="AV30">
        <v>111</v>
      </c>
      <c r="AW30">
        <v>984</v>
      </c>
      <c r="AX30">
        <v>268</v>
      </c>
      <c r="AY30">
        <v>1060</v>
      </c>
      <c r="AZ30">
        <v>602</v>
      </c>
      <c r="BA30">
        <v>8842</v>
      </c>
      <c r="BB30">
        <v>1107</v>
      </c>
      <c r="BC30">
        <v>15387</v>
      </c>
      <c r="BD30">
        <v>872</v>
      </c>
      <c r="BE30">
        <v>1872</v>
      </c>
      <c r="BF30">
        <v>161</v>
      </c>
      <c r="BG30">
        <v>2269</v>
      </c>
      <c r="BH30">
        <v>1542</v>
      </c>
      <c r="BI30">
        <v>1752</v>
      </c>
      <c r="BJ30">
        <v>1691</v>
      </c>
      <c r="BK30">
        <v>2940</v>
      </c>
      <c r="BL30">
        <v>2290</v>
      </c>
      <c r="BM30">
        <v>6558</v>
      </c>
      <c r="BN30">
        <v>136</v>
      </c>
      <c r="BO30">
        <v>133</v>
      </c>
      <c r="BP30">
        <v>64</v>
      </c>
      <c r="BQ30">
        <v>328</v>
      </c>
      <c r="BR30">
        <v>92</v>
      </c>
      <c r="BS30">
        <v>2532</v>
      </c>
      <c r="BT30">
        <v>409</v>
      </c>
      <c r="BU30">
        <v>2862</v>
      </c>
      <c r="BV30">
        <v>27452</v>
      </c>
      <c r="BW30">
        <v>1563</v>
      </c>
      <c r="BX30">
        <v>989</v>
      </c>
      <c r="BY30">
        <v>1</v>
      </c>
      <c r="BZ30">
        <v>18857</v>
      </c>
      <c r="CA30">
        <v>6043</v>
      </c>
      <c r="CB30">
        <v>258469</v>
      </c>
    </row>
    <row r="31" spans="1:80">
      <c r="A31" t="s">
        <v>189</v>
      </c>
      <c r="B31" t="s">
        <v>0</v>
      </c>
      <c r="C31">
        <v>36596</v>
      </c>
      <c r="D31">
        <v>1618</v>
      </c>
      <c r="E31">
        <v>11834</v>
      </c>
      <c r="F31">
        <v>2345</v>
      </c>
      <c r="G31">
        <v>1424</v>
      </c>
      <c r="H31">
        <v>9336</v>
      </c>
      <c r="I31">
        <v>5099</v>
      </c>
      <c r="J31">
        <v>330</v>
      </c>
      <c r="K31">
        <v>369</v>
      </c>
      <c r="L31">
        <v>1230</v>
      </c>
      <c r="M31">
        <v>3011</v>
      </c>
      <c r="N31">
        <v>3031</v>
      </c>
      <c r="O31">
        <v>2962</v>
      </c>
      <c r="P31">
        <v>67</v>
      </c>
      <c r="Q31">
        <v>99473</v>
      </c>
      <c r="R31">
        <v>808</v>
      </c>
      <c r="S31">
        <v>1906</v>
      </c>
      <c r="T31">
        <v>0</v>
      </c>
      <c r="U31">
        <v>1975</v>
      </c>
      <c r="V31">
        <v>277</v>
      </c>
      <c r="W31">
        <v>5852</v>
      </c>
      <c r="X31">
        <v>1575</v>
      </c>
      <c r="Y31">
        <v>86583</v>
      </c>
      <c r="Z31">
        <v>496</v>
      </c>
      <c r="AA31">
        <v>91149</v>
      </c>
      <c r="AB31">
        <v>57133</v>
      </c>
      <c r="AC31">
        <v>7662</v>
      </c>
      <c r="AD31">
        <v>26355</v>
      </c>
      <c r="AE31">
        <v>680</v>
      </c>
      <c r="AF31">
        <v>390</v>
      </c>
      <c r="AG31">
        <v>241</v>
      </c>
      <c r="AH31">
        <v>49</v>
      </c>
      <c r="AI31">
        <v>8643</v>
      </c>
      <c r="AJ31">
        <v>199</v>
      </c>
      <c r="AK31">
        <v>702</v>
      </c>
      <c r="AL31">
        <v>959</v>
      </c>
      <c r="AM31">
        <v>3478</v>
      </c>
      <c r="AN31">
        <v>1180</v>
      </c>
      <c r="AO31">
        <v>265</v>
      </c>
      <c r="AP31">
        <v>339</v>
      </c>
      <c r="AQ31">
        <v>443</v>
      </c>
      <c r="AR31">
        <v>1072</v>
      </c>
      <c r="AS31">
        <v>14749</v>
      </c>
      <c r="AT31">
        <v>166</v>
      </c>
      <c r="AU31">
        <v>294</v>
      </c>
      <c r="AV31">
        <v>115</v>
      </c>
      <c r="AW31">
        <v>1013</v>
      </c>
      <c r="AX31">
        <v>274</v>
      </c>
      <c r="AY31">
        <v>902</v>
      </c>
      <c r="AZ31">
        <v>917</v>
      </c>
      <c r="BA31">
        <v>9957</v>
      </c>
      <c r="BB31">
        <v>1114</v>
      </c>
      <c r="BC31">
        <v>14638</v>
      </c>
      <c r="BD31">
        <v>742</v>
      </c>
      <c r="BE31">
        <v>1886</v>
      </c>
      <c r="BF31">
        <v>188</v>
      </c>
      <c r="BG31">
        <v>2191</v>
      </c>
      <c r="BH31">
        <v>1226</v>
      </c>
      <c r="BI31">
        <v>2012</v>
      </c>
      <c r="BJ31">
        <v>1847</v>
      </c>
      <c r="BK31">
        <v>2264</v>
      </c>
      <c r="BL31">
        <v>2283</v>
      </c>
      <c r="BM31">
        <v>6857</v>
      </c>
      <c r="BN31">
        <v>144</v>
      </c>
      <c r="BO31">
        <v>141</v>
      </c>
      <c r="BP31">
        <v>70</v>
      </c>
      <c r="BQ31">
        <v>328</v>
      </c>
      <c r="BR31">
        <v>115</v>
      </c>
      <c r="BS31">
        <v>2619</v>
      </c>
      <c r="BT31">
        <v>427</v>
      </c>
      <c r="BU31">
        <v>3017</v>
      </c>
      <c r="BV31">
        <v>25523</v>
      </c>
      <c r="BW31">
        <v>1474</v>
      </c>
      <c r="BX31">
        <v>677</v>
      </c>
      <c r="BY31">
        <v>1</v>
      </c>
      <c r="BZ31">
        <v>17620</v>
      </c>
      <c r="CA31">
        <v>5749</v>
      </c>
      <c r="CB31">
        <v>301334</v>
      </c>
    </row>
    <row r="32" spans="1:80">
      <c r="A32" t="s">
        <v>190</v>
      </c>
      <c r="B32" t="s">
        <v>0</v>
      </c>
      <c r="C32">
        <v>35271</v>
      </c>
      <c r="D32">
        <v>1825</v>
      </c>
      <c r="E32">
        <v>13605</v>
      </c>
      <c r="F32">
        <v>2481</v>
      </c>
      <c r="G32">
        <v>1469</v>
      </c>
      <c r="H32">
        <v>7326</v>
      </c>
      <c r="I32">
        <v>3567</v>
      </c>
      <c r="J32">
        <v>300</v>
      </c>
      <c r="K32">
        <v>393</v>
      </c>
      <c r="L32">
        <v>1359</v>
      </c>
      <c r="M32">
        <v>2946</v>
      </c>
      <c r="N32">
        <v>3377</v>
      </c>
      <c r="O32">
        <v>3318</v>
      </c>
      <c r="P32">
        <v>59</v>
      </c>
      <c r="Q32">
        <v>106879</v>
      </c>
      <c r="R32">
        <v>731</v>
      </c>
      <c r="S32">
        <v>1398</v>
      </c>
      <c r="T32">
        <v>15</v>
      </c>
      <c r="U32">
        <v>2218</v>
      </c>
      <c r="V32">
        <v>238</v>
      </c>
      <c r="W32">
        <v>6474</v>
      </c>
      <c r="X32">
        <v>2110</v>
      </c>
      <c r="Y32">
        <v>93112</v>
      </c>
      <c r="Z32">
        <v>584</v>
      </c>
      <c r="AA32">
        <v>122269</v>
      </c>
      <c r="AB32">
        <v>66848</v>
      </c>
      <c r="AC32">
        <v>11191</v>
      </c>
      <c r="AD32">
        <v>44229</v>
      </c>
      <c r="AE32">
        <v>663</v>
      </c>
      <c r="AF32">
        <v>368</v>
      </c>
      <c r="AG32">
        <v>240</v>
      </c>
      <c r="AH32">
        <v>55</v>
      </c>
      <c r="AI32">
        <v>10510</v>
      </c>
      <c r="AJ32">
        <v>201</v>
      </c>
      <c r="AK32">
        <v>937</v>
      </c>
      <c r="AL32">
        <v>1029</v>
      </c>
      <c r="AM32">
        <v>4750</v>
      </c>
      <c r="AN32">
        <v>1346</v>
      </c>
      <c r="AO32">
        <v>320</v>
      </c>
      <c r="AP32">
        <v>298</v>
      </c>
      <c r="AQ32">
        <v>443</v>
      </c>
      <c r="AR32">
        <v>1185</v>
      </c>
      <c r="AS32">
        <v>17031</v>
      </c>
      <c r="AT32">
        <v>166</v>
      </c>
      <c r="AU32">
        <v>307</v>
      </c>
      <c r="AV32">
        <v>97</v>
      </c>
      <c r="AW32">
        <v>1145</v>
      </c>
      <c r="AX32">
        <v>273</v>
      </c>
      <c r="AY32">
        <v>927</v>
      </c>
      <c r="AZ32">
        <v>1029</v>
      </c>
      <c r="BA32">
        <v>11823</v>
      </c>
      <c r="BB32">
        <v>1265</v>
      </c>
      <c r="BC32">
        <v>15352</v>
      </c>
      <c r="BD32">
        <v>939</v>
      </c>
      <c r="BE32">
        <v>1833</v>
      </c>
      <c r="BF32">
        <v>275</v>
      </c>
      <c r="BG32">
        <v>2296</v>
      </c>
      <c r="BH32">
        <v>1284</v>
      </c>
      <c r="BI32">
        <v>2008</v>
      </c>
      <c r="BJ32">
        <v>2078</v>
      </c>
      <c r="BK32">
        <v>1693</v>
      </c>
      <c r="BL32">
        <v>2945</v>
      </c>
      <c r="BM32">
        <v>7288</v>
      </c>
      <c r="BN32">
        <v>162</v>
      </c>
      <c r="BO32">
        <v>152</v>
      </c>
      <c r="BP32">
        <v>80</v>
      </c>
      <c r="BQ32">
        <v>336</v>
      </c>
      <c r="BR32">
        <v>124</v>
      </c>
      <c r="BS32">
        <v>2765</v>
      </c>
      <c r="BT32">
        <v>440</v>
      </c>
      <c r="BU32">
        <v>3231</v>
      </c>
      <c r="BV32">
        <v>25975</v>
      </c>
      <c r="BW32">
        <v>1371</v>
      </c>
      <c r="BX32">
        <v>814</v>
      </c>
      <c r="BY32">
        <v>0</v>
      </c>
      <c r="BZ32">
        <v>19136</v>
      </c>
      <c r="CA32">
        <v>4651</v>
      </c>
      <c r="CB32">
        <v>344615</v>
      </c>
    </row>
    <row r="33" spans="1:80">
      <c r="A33" t="s">
        <v>191</v>
      </c>
      <c r="B33" t="s">
        <v>0</v>
      </c>
      <c r="C33">
        <v>37649</v>
      </c>
      <c r="D33">
        <v>2126</v>
      </c>
      <c r="E33">
        <v>16462</v>
      </c>
      <c r="F33">
        <v>2488</v>
      </c>
      <c r="G33">
        <v>1529</v>
      </c>
      <c r="H33">
        <v>5891</v>
      </c>
      <c r="I33">
        <v>4112</v>
      </c>
      <c r="J33">
        <v>268</v>
      </c>
      <c r="K33">
        <v>425</v>
      </c>
      <c r="L33">
        <v>1374</v>
      </c>
      <c r="M33">
        <v>2977</v>
      </c>
      <c r="N33">
        <v>3582</v>
      </c>
      <c r="O33">
        <v>3523</v>
      </c>
      <c r="P33">
        <v>59</v>
      </c>
      <c r="Q33">
        <v>136415</v>
      </c>
      <c r="R33">
        <v>579</v>
      </c>
      <c r="S33">
        <v>1051</v>
      </c>
      <c r="T33">
        <v>20</v>
      </c>
      <c r="U33">
        <v>2225</v>
      </c>
      <c r="V33">
        <v>183</v>
      </c>
      <c r="W33">
        <v>4844</v>
      </c>
      <c r="X33">
        <v>1717</v>
      </c>
      <c r="Y33">
        <v>125211</v>
      </c>
      <c r="Z33">
        <v>584</v>
      </c>
      <c r="AA33">
        <v>126288</v>
      </c>
      <c r="AB33">
        <v>63941</v>
      </c>
      <c r="AC33">
        <v>12224</v>
      </c>
      <c r="AD33">
        <v>50124</v>
      </c>
      <c r="AE33">
        <v>647</v>
      </c>
      <c r="AF33">
        <v>359</v>
      </c>
      <c r="AG33">
        <v>243</v>
      </c>
      <c r="AH33">
        <v>47</v>
      </c>
      <c r="AI33">
        <v>11971</v>
      </c>
      <c r="AJ33">
        <v>212</v>
      </c>
      <c r="AK33">
        <v>754</v>
      </c>
      <c r="AL33">
        <v>1008</v>
      </c>
      <c r="AM33">
        <v>6249</v>
      </c>
      <c r="AN33">
        <v>1532</v>
      </c>
      <c r="AO33">
        <v>262</v>
      </c>
      <c r="AP33">
        <v>328</v>
      </c>
      <c r="AQ33">
        <v>397</v>
      </c>
      <c r="AR33">
        <v>1225</v>
      </c>
      <c r="AS33">
        <v>17567</v>
      </c>
      <c r="AT33">
        <v>141</v>
      </c>
      <c r="AU33">
        <v>325</v>
      </c>
      <c r="AV33">
        <v>108</v>
      </c>
      <c r="AW33">
        <v>1094</v>
      </c>
      <c r="AX33">
        <v>305</v>
      </c>
      <c r="AY33">
        <v>1005</v>
      </c>
      <c r="AZ33">
        <v>1217</v>
      </c>
      <c r="BA33">
        <v>11999</v>
      </c>
      <c r="BB33">
        <v>1372</v>
      </c>
      <c r="BC33">
        <v>16992</v>
      </c>
      <c r="BD33">
        <v>1064</v>
      </c>
      <c r="BE33">
        <v>1961</v>
      </c>
      <c r="BF33">
        <v>192</v>
      </c>
      <c r="BG33">
        <v>2456</v>
      </c>
      <c r="BH33">
        <v>1410</v>
      </c>
      <c r="BI33">
        <v>2657</v>
      </c>
      <c r="BJ33">
        <v>2131</v>
      </c>
      <c r="BK33">
        <v>1919</v>
      </c>
      <c r="BL33">
        <v>3208</v>
      </c>
      <c r="BM33">
        <v>8208</v>
      </c>
      <c r="BN33">
        <v>157</v>
      </c>
      <c r="BO33">
        <v>182</v>
      </c>
      <c r="BP33">
        <v>94</v>
      </c>
      <c r="BQ33">
        <v>377</v>
      </c>
      <c r="BR33">
        <v>122</v>
      </c>
      <c r="BS33">
        <v>3906</v>
      </c>
      <c r="BT33">
        <v>466</v>
      </c>
      <c r="BU33">
        <v>2901</v>
      </c>
      <c r="BV33">
        <v>30661</v>
      </c>
      <c r="BW33">
        <v>1239</v>
      </c>
      <c r="BX33">
        <v>861</v>
      </c>
      <c r="BY33">
        <v>0</v>
      </c>
      <c r="BZ33">
        <v>23372</v>
      </c>
      <c r="CA33">
        <v>5188</v>
      </c>
      <c r="CB33">
        <v>389981</v>
      </c>
    </row>
    <row r="34" spans="1:80">
      <c r="A34" t="s">
        <v>192</v>
      </c>
      <c r="B34" t="s">
        <v>0</v>
      </c>
      <c r="C34">
        <v>35628</v>
      </c>
      <c r="D34">
        <v>1949</v>
      </c>
      <c r="E34">
        <v>14705</v>
      </c>
      <c r="F34">
        <v>2544</v>
      </c>
      <c r="G34">
        <v>1229</v>
      </c>
      <c r="H34">
        <v>6440</v>
      </c>
      <c r="I34">
        <v>4127</v>
      </c>
      <c r="J34">
        <v>283</v>
      </c>
      <c r="K34">
        <v>447</v>
      </c>
      <c r="L34">
        <v>1310</v>
      </c>
      <c r="M34">
        <v>2591</v>
      </c>
      <c r="N34">
        <v>3283</v>
      </c>
      <c r="O34">
        <v>3246</v>
      </c>
      <c r="P34">
        <v>37</v>
      </c>
      <c r="Q34">
        <v>151968</v>
      </c>
      <c r="R34">
        <v>414</v>
      </c>
      <c r="S34">
        <v>1183</v>
      </c>
      <c r="T34">
        <v>10</v>
      </c>
      <c r="U34">
        <v>1669</v>
      </c>
      <c r="V34">
        <v>172</v>
      </c>
      <c r="W34">
        <v>2739</v>
      </c>
      <c r="X34">
        <v>1163</v>
      </c>
      <c r="Y34">
        <v>144068</v>
      </c>
      <c r="Z34">
        <v>551</v>
      </c>
      <c r="AA34">
        <v>88821</v>
      </c>
      <c r="AB34">
        <v>43367</v>
      </c>
      <c r="AC34">
        <v>7755</v>
      </c>
      <c r="AD34">
        <v>37699</v>
      </c>
      <c r="AE34">
        <v>761</v>
      </c>
      <c r="AF34">
        <v>444</v>
      </c>
      <c r="AG34">
        <v>282</v>
      </c>
      <c r="AH34">
        <v>33</v>
      </c>
      <c r="AI34">
        <v>11092</v>
      </c>
      <c r="AJ34">
        <v>227</v>
      </c>
      <c r="AK34">
        <v>641</v>
      </c>
      <c r="AL34">
        <v>894</v>
      </c>
      <c r="AM34">
        <v>5547</v>
      </c>
      <c r="AN34">
        <v>1590</v>
      </c>
      <c r="AO34">
        <v>330</v>
      </c>
      <c r="AP34">
        <v>232</v>
      </c>
      <c r="AQ34">
        <v>311</v>
      </c>
      <c r="AR34">
        <v>1325</v>
      </c>
      <c r="AS34">
        <v>14708</v>
      </c>
      <c r="AT34">
        <v>112</v>
      </c>
      <c r="AU34">
        <v>260</v>
      </c>
      <c r="AV34">
        <v>103</v>
      </c>
      <c r="AW34">
        <v>934</v>
      </c>
      <c r="AX34">
        <v>276</v>
      </c>
      <c r="AY34">
        <v>736</v>
      </c>
      <c r="AZ34">
        <v>920</v>
      </c>
      <c r="BA34">
        <v>10215</v>
      </c>
      <c r="BB34">
        <v>1154</v>
      </c>
      <c r="BC34">
        <v>14678</v>
      </c>
      <c r="BD34">
        <v>1068</v>
      </c>
      <c r="BE34">
        <v>1769</v>
      </c>
      <c r="BF34">
        <v>138</v>
      </c>
      <c r="BG34">
        <v>2164</v>
      </c>
      <c r="BH34">
        <v>1300</v>
      </c>
      <c r="BI34">
        <v>2251</v>
      </c>
      <c r="BJ34">
        <v>2006</v>
      </c>
      <c r="BK34">
        <v>1598</v>
      </c>
      <c r="BL34">
        <v>2387</v>
      </c>
      <c r="BM34">
        <v>7376</v>
      </c>
      <c r="BN34">
        <v>161</v>
      </c>
      <c r="BO34">
        <v>136</v>
      </c>
      <c r="BP34">
        <v>112</v>
      </c>
      <c r="BQ34">
        <v>387</v>
      </c>
      <c r="BR34">
        <v>129</v>
      </c>
      <c r="BS34">
        <v>3526</v>
      </c>
      <c r="BT34">
        <v>432</v>
      </c>
      <c r="BU34">
        <v>2494</v>
      </c>
      <c r="BV34">
        <v>34408</v>
      </c>
      <c r="BW34">
        <v>1063</v>
      </c>
      <c r="BX34">
        <v>1303</v>
      </c>
      <c r="BY34">
        <v>2</v>
      </c>
      <c r="BZ34">
        <v>25492</v>
      </c>
      <c r="CA34">
        <v>6551</v>
      </c>
      <c r="CB34">
        <v>362728</v>
      </c>
    </row>
    <row r="35" spans="1:80">
      <c r="A35" t="s">
        <v>193</v>
      </c>
      <c r="B35" t="s">
        <v>0</v>
      </c>
      <c r="C35">
        <v>43540</v>
      </c>
      <c r="D35">
        <v>1646</v>
      </c>
      <c r="E35">
        <v>14801</v>
      </c>
      <c r="F35">
        <v>2947</v>
      </c>
      <c r="G35">
        <v>1207</v>
      </c>
      <c r="H35">
        <v>14105</v>
      </c>
      <c r="I35">
        <v>4512</v>
      </c>
      <c r="J35">
        <v>318</v>
      </c>
      <c r="K35">
        <v>476</v>
      </c>
      <c r="L35">
        <v>1424</v>
      </c>
      <c r="M35">
        <v>2105</v>
      </c>
      <c r="N35">
        <v>2523</v>
      </c>
      <c r="O35">
        <v>2503</v>
      </c>
      <c r="P35">
        <v>21</v>
      </c>
      <c r="Q35">
        <v>198179</v>
      </c>
      <c r="R35">
        <v>504</v>
      </c>
      <c r="S35">
        <v>3166</v>
      </c>
      <c r="T35">
        <v>11</v>
      </c>
      <c r="U35">
        <v>1338</v>
      </c>
      <c r="V35">
        <v>266</v>
      </c>
      <c r="W35">
        <v>5081</v>
      </c>
      <c r="X35">
        <v>1948</v>
      </c>
      <c r="Y35">
        <v>185259</v>
      </c>
      <c r="Z35">
        <v>613</v>
      </c>
      <c r="AA35">
        <v>126395</v>
      </c>
      <c r="AB35">
        <v>63504</v>
      </c>
      <c r="AC35">
        <v>11715</v>
      </c>
      <c r="AD35">
        <v>51179</v>
      </c>
      <c r="AE35">
        <v>1085</v>
      </c>
      <c r="AF35">
        <v>669</v>
      </c>
      <c r="AG35">
        <v>360</v>
      </c>
      <c r="AH35">
        <v>54</v>
      </c>
      <c r="AI35">
        <v>10052</v>
      </c>
      <c r="AJ35">
        <v>239</v>
      </c>
      <c r="AK35">
        <v>808</v>
      </c>
      <c r="AL35">
        <v>1036</v>
      </c>
      <c r="AM35">
        <v>3630</v>
      </c>
      <c r="AN35">
        <v>1663</v>
      </c>
      <c r="AO35">
        <v>490</v>
      </c>
      <c r="AP35">
        <v>368</v>
      </c>
      <c r="AQ35">
        <v>345</v>
      </c>
      <c r="AR35">
        <v>1474</v>
      </c>
      <c r="AS35">
        <v>16703</v>
      </c>
      <c r="AT35">
        <v>160</v>
      </c>
      <c r="AU35">
        <v>257</v>
      </c>
      <c r="AV35">
        <v>96</v>
      </c>
      <c r="AW35">
        <v>948</v>
      </c>
      <c r="AX35">
        <v>333</v>
      </c>
      <c r="AY35">
        <v>570</v>
      </c>
      <c r="AZ35">
        <v>793</v>
      </c>
      <c r="BA35">
        <v>12328</v>
      </c>
      <c r="BB35">
        <v>1220</v>
      </c>
      <c r="BC35">
        <v>14728</v>
      </c>
      <c r="BD35">
        <v>872</v>
      </c>
      <c r="BE35">
        <v>1678</v>
      </c>
      <c r="BF35">
        <v>175</v>
      </c>
      <c r="BG35">
        <v>2230</v>
      </c>
      <c r="BH35">
        <v>1376</v>
      </c>
      <c r="BI35">
        <v>2331</v>
      </c>
      <c r="BJ35">
        <v>2227</v>
      </c>
      <c r="BK35">
        <v>1853</v>
      </c>
      <c r="BL35">
        <v>1988</v>
      </c>
      <c r="BM35">
        <v>8036</v>
      </c>
      <c r="BN35">
        <v>203</v>
      </c>
      <c r="BO35">
        <v>145</v>
      </c>
      <c r="BP35">
        <v>116</v>
      </c>
      <c r="BQ35">
        <v>480</v>
      </c>
      <c r="BR35">
        <v>119</v>
      </c>
      <c r="BS35">
        <v>3875</v>
      </c>
      <c r="BT35">
        <v>453</v>
      </c>
      <c r="BU35">
        <v>2646</v>
      </c>
      <c r="BV35">
        <v>36933</v>
      </c>
      <c r="BW35">
        <v>1789</v>
      </c>
      <c r="BX35">
        <v>2576</v>
      </c>
      <c r="BY35">
        <v>2</v>
      </c>
      <c r="BZ35">
        <v>23281</v>
      </c>
      <c r="CA35">
        <v>9283</v>
      </c>
      <c r="CB35">
        <v>458168</v>
      </c>
    </row>
    <row r="36" spans="1:80">
      <c r="A36" t="s">
        <v>194</v>
      </c>
      <c r="B36" t="s">
        <v>0</v>
      </c>
      <c r="C36">
        <v>53122</v>
      </c>
      <c r="D36">
        <v>1518</v>
      </c>
      <c r="E36">
        <v>16600</v>
      </c>
      <c r="F36">
        <v>3385</v>
      </c>
      <c r="G36">
        <v>1205</v>
      </c>
      <c r="H36">
        <v>20672</v>
      </c>
      <c r="I36">
        <v>5027</v>
      </c>
      <c r="J36">
        <v>321</v>
      </c>
      <c r="K36">
        <v>517</v>
      </c>
      <c r="L36">
        <v>1719</v>
      </c>
      <c r="M36">
        <v>2160</v>
      </c>
      <c r="N36">
        <v>2572</v>
      </c>
      <c r="O36">
        <v>2553</v>
      </c>
      <c r="P36">
        <v>19</v>
      </c>
      <c r="Q36">
        <v>188296</v>
      </c>
      <c r="R36">
        <v>454</v>
      </c>
      <c r="S36">
        <v>7762</v>
      </c>
      <c r="T36">
        <v>9</v>
      </c>
      <c r="U36">
        <v>1523</v>
      </c>
      <c r="V36">
        <v>307</v>
      </c>
      <c r="W36">
        <v>7710</v>
      </c>
      <c r="X36">
        <v>12384</v>
      </c>
      <c r="Y36">
        <v>157451</v>
      </c>
      <c r="Z36">
        <v>692</v>
      </c>
      <c r="AA36">
        <v>251334</v>
      </c>
      <c r="AB36">
        <v>142345</v>
      </c>
      <c r="AC36">
        <v>17341</v>
      </c>
      <c r="AD36">
        <v>91648</v>
      </c>
      <c r="AE36">
        <v>1682</v>
      </c>
      <c r="AF36">
        <v>1080</v>
      </c>
      <c r="AG36">
        <v>538</v>
      </c>
      <c r="AH36">
        <v>64</v>
      </c>
      <c r="AI36">
        <v>12575</v>
      </c>
      <c r="AJ36">
        <v>245</v>
      </c>
      <c r="AK36">
        <v>1675</v>
      </c>
      <c r="AL36">
        <v>1068</v>
      </c>
      <c r="AM36">
        <v>4328</v>
      </c>
      <c r="AN36">
        <v>1768</v>
      </c>
      <c r="AO36">
        <v>731</v>
      </c>
      <c r="AP36">
        <v>303</v>
      </c>
      <c r="AQ36">
        <v>451</v>
      </c>
      <c r="AR36">
        <v>2007</v>
      </c>
      <c r="AS36">
        <v>19431</v>
      </c>
      <c r="AT36">
        <v>148</v>
      </c>
      <c r="AU36">
        <v>363</v>
      </c>
      <c r="AV36">
        <v>96</v>
      </c>
      <c r="AW36">
        <v>1014</v>
      </c>
      <c r="AX36">
        <v>356</v>
      </c>
      <c r="AY36">
        <v>604</v>
      </c>
      <c r="AZ36">
        <v>1340</v>
      </c>
      <c r="BA36">
        <v>14078</v>
      </c>
      <c r="BB36">
        <v>1430</v>
      </c>
      <c r="BC36">
        <v>16516</v>
      </c>
      <c r="BD36">
        <v>1027</v>
      </c>
      <c r="BE36">
        <v>1911</v>
      </c>
      <c r="BF36">
        <v>260</v>
      </c>
      <c r="BG36">
        <v>2489</v>
      </c>
      <c r="BH36">
        <v>1545</v>
      </c>
      <c r="BI36">
        <v>2337</v>
      </c>
      <c r="BJ36">
        <v>2692</v>
      </c>
      <c r="BK36">
        <v>2013</v>
      </c>
      <c r="BL36">
        <v>2245</v>
      </c>
      <c r="BM36">
        <v>9077</v>
      </c>
      <c r="BN36">
        <v>175</v>
      </c>
      <c r="BO36">
        <v>166</v>
      </c>
      <c r="BP36">
        <v>201</v>
      </c>
      <c r="BQ36">
        <v>649</v>
      </c>
      <c r="BR36">
        <v>141</v>
      </c>
      <c r="BS36">
        <v>4409</v>
      </c>
      <c r="BT36">
        <v>506</v>
      </c>
      <c r="BU36">
        <v>2834</v>
      </c>
      <c r="BV36">
        <v>39255</v>
      </c>
      <c r="BW36">
        <v>764</v>
      </c>
      <c r="BX36">
        <v>3046</v>
      </c>
      <c r="BY36">
        <v>9</v>
      </c>
      <c r="BZ36">
        <v>23514</v>
      </c>
      <c r="CA36">
        <v>11921</v>
      </c>
      <c r="CB36">
        <v>593865</v>
      </c>
    </row>
    <row r="37" spans="1:80">
      <c r="A37" t="s">
        <v>195</v>
      </c>
      <c r="B37" t="s">
        <v>0</v>
      </c>
      <c r="C37">
        <v>54749</v>
      </c>
      <c r="D37">
        <v>1236</v>
      </c>
      <c r="E37">
        <v>17798</v>
      </c>
      <c r="F37">
        <v>3000</v>
      </c>
      <c r="G37">
        <v>1346</v>
      </c>
      <c r="H37">
        <v>20628</v>
      </c>
      <c r="I37">
        <v>5891</v>
      </c>
      <c r="J37">
        <v>297</v>
      </c>
      <c r="K37">
        <v>509</v>
      </c>
      <c r="L37">
        <v>1737</v>
      </c>
      <c r="M37">
        <v>2314</v>
      </c>
      <c r="N37">
        <v>2548</v>
      </c>
      <c r="O37">
        <v>2524</v>
      </c>
      <c r="P37">
        <v>24</v>
      </c>
      <c r="Q37">
        <v>202961</v>
      </c>
      <c r="R37">
        <v>451</v>
      </c>
      <c r="S37">
        <v>5508</v>
      </c>
      <c r="T37">
        <v>14</v>
      </c>
      <c r="U37">
        <v>1435</v>
      </c>
      <c r="V37">
        <v>203</v>
      </c>
      <c r="W37">
        <v>7407</v>
      </c>
      <c r="X37">
        <v>19055</v>
      </c>
      <c r="Y37">
        <v>168243</v>
      </c>
      <c r="Z37">
        <v>650</v>
      </c>
      <c r="AA37">
        <v>195549</v>
      </c>
      <c r="AB37">
        <v>103331</v>
      </c>
      <c r="AC37">
        <v>15760</v>
      </c>
      <c r="AD37">
        <v>76456</v>
      </c>
      <c r="AE37">
        <v>1609</v>
      </c>
      <c r="AF37">
        <v>1053</v>
      </c>
      <c r="AG37">
        <v>420</v>
      </c>
      <c r="AH37">
        <v>136</v>
      </c>
      <c r="AI37">
        <v>11484</v>
      </c>
      <c r="AJ37">
        <v>221</v>
      </c>
      <c r="AK37">
        <v>1264</v>
      </c>
      <c r="AL37">
        <v>920</v>
      </c>
      <c r="AM37">
        <v>4754</v>
      </c>
      <c r="AN37">
        <v>1686</v>
      </c>
      <c r="AO37">
        <v>338</v>
      </c>
      <c r="AP37">
        <v>277</v>
      </c>
      <c r="AQ37">
        <v>385</v>
      </c>
      <c r="AR37">
        <v>1643</v>
      </c>
      <c r="AS37">
        <v>19357</v>
      </c>
      <c r="AT37">
        <v>109</v>
      </c>
      <c r="AU37">
        <v>397</v>
      </c>
      <c r="AV37">
        <v>98</v>
      </c>
      <c r="AW37">
        <v>888</v>
      </c>
      <c r="AX37">
        <v>364</v>
      </c>
      <c r="AY37">
        <v>854</v>
      </c>
      <c r="AZ37">
        <v>1256</v>
      </c>
      <c r="BA37">
        <v>13950</v>
      </c>
      <c r="BB37">
        <v>1442</v>
      </c>
      <c r="BC37">
        <v>18604</v>
      </c>
      <c r="BD37">
        <v>1303</v>
      </c>
      <c r="BE37">
        <v>2113</v>
      </c>
      <c r="BF37">
        <v>272</v>
      </c>
      <c r="BG37">
        <v>3044</v>
      </c>
      <c r="BH37">
        <v>1489</v>
      </c>
      <c r="BI37">
        <v>2677</v>
      </c>
      <c r="BJ37">
        <v>2954</v>
      </c>
      <c r="BK37">
        <v>2180</v>
      </c>
      <c r="BL37">
        <v>2574</v>
      </c>
      <c r="BM37">
        <v>10517</v>
      </c>
      <c r="BN37">
        <v>170</v>
      </c>
      <c r="BO37">
        <v>188</v>
      </c>
      <c r="BP37">
        <v>188</v>
      </c>
      <c r="BQ37">
        <v>706</v>
      </c>
      <c r="BR37">
        <v>181</v>
      </c>
      <c r="BS37">
        <v>4871</v>
      </c>
      <c r="BT37">
        <v>576</v>
      </c>
      <c r="BU37">
        <v>3636</v>
      </c>
      <c r="BV37">
        <v>41247</v>
      </c>
      <c r="BW37">
        <v>612</v>
      </c>
      <c r="BX37">
        <v>2011</v>
      </c>
      <c r="BY37">
        <v>11</v>
      </c>
      <c r="BZ37">
        <v>28352</v>
      </c>
      <c r="CA37">
        <v>10257</v>
      </c>
      <c r="CB37">
        <v>558623</v>
      </c>
    </row>
    <row r="38" spans="1:80">
      <c r="A38" t="s">
        <v>275</v>
      </c>
      <c r="B38" t="s">
        <v>0</v>
      </c>
      <c r="C38">
        <v>52718</v>
      </c>
      <c r="D38">
        <v>1114</v>
      </c>
      <c r="E38">
        <v>21379</v>
      </c>
      <c r="F38">
        <v>3437</v>
      </c>
      <c r="G38">
        <v>1227</v>
      </c>
      <c r="H38">
        <v>13754</v>
      </c>
      <c r="I38">
        <v>7127</v>
      </c>
      <c r="J38">
        <v>299</v>
      </c>
      <c r="K38">
        <v>549</v>
      </c>
      <c r="L38">
        <v>1578</v>
      </c>
      <c r="M38">
        <v>2257</v>
      </c>
      <c r="N38">
        <v>3187</v>
      </c>
      <c r="O38">
        <v>3167</v>
      </c>
      <c r="P38">
        <v>20</v>
      </c>
      <c r="Q38">
        <v>179557</v>
      </c>
      <c r="R38">
        <v>534</v>
      </c>
      <c r="S38">
        <v>5001</v>
      </c>
      <c r="T38">
        <v>20</v>
      </c>
      <c r="U38">
        <v>1435</v>
      </c>
      <c r="V38">
        <v>243</v>
      </c>
      <c r="W38">
        <v>6501</v>
      </c>
      <c r="X38">
        <v>5157</v>
      </c>
      <c r="Y38">
        <v>160031</v>
      </c>
      <c r="Z38">
        <v>637</v>
      </c>
      <c r="AA38">
        <v>171431</v>
      </c>
      <c r="AB38">
        <v>85981</v>
      </c>
      <c r="AC38">
        <v>15733</v>
      </c>
      <c r="AD38">
        <v>69718</v>
      </c>
      <c r="AE38">
        <v>1400</v>
      </c>
      <c r="AF38">
        <v>866</v>
      </c>
      <c r="AG38">
        <v>417</v>
      </c>
      <c r="AH38">
        <v>118</v>
      </c>
      <c r="AI38">
        <v>12289</v>
      </c>
      <c r="AJ38">
        <v>215</v>
      </c>
      <c r="AK38">
        <v>948</v>
      </c>
      <c r="AL38">
        <v>1163</v>
      </c>
      <c r="AM38">
        <v>5388</v>
      </c>
      <c r="AN38">
        <v>1709</v>
      </c>
      <c r="AO38">
        <v>437</v>
      </c>
      <c r="AP38">
        <v>295</v>
      </c>
      <c r="AQ38">
        <v>412</v>
      </c>
      <c r="AR38">
        <v>1724</v>
      </c>
      <c r="AS38">
        <v>20559</v>
      </c>
      <c r="AT38">
        <v>112</v>
      </c>
      <c r="AU38">
        <v>333</v>
      </c>
      <c r="AV38">
        <v>98</v>
      </c>
      <c r="AW38">
        <v>894</v>
      </c>
      <c r="AX38">
        <v>392</v>
      </c>
      <c r="AY38">
        <v>591</v>
      </c>
      <c r="AZ38">
        <v>1328</v>
      </c>
      <c r="BA38">
        <v>15335</v>
      </c>
      <c r="BB38">
        <v>1478</v>
      </c>
      <c r="BC38">
        <v>20549</v>
      </c>
      <c r="BD38">
        <v>1380</v>
      </c>
      <c r="BE38">
        <v>2355</v>
      </c>
      <c r="BF38">
        <v>287</v>
      </c>
      <c r="BG38">
        <v>3128</v>
      </c>
      <c r="BH38">
        <v>1582</v>
      </c>
      <c r="BI38">
        <v>2928</v>
      </c>
      <c r="BJ38">
        <v>3233</v>
      </c>
      <c r="BK38">
        <v>2281</v>
      </c>
      <c r="BL38">
        <v>3381</v>
      </c>
      <c r="BM38">
        <v>11000</v>
      </c>
      <c r="BN38">
        <v>193</v>
      </c>
      <c r="BO38">
        <v>170</v>
      </c>
      <c r="BP38">
        <v>178</v>
      </c>
      <c r="BQ38">
        <v>774</v>
      </c>
      <c r="BR38">
        <v>191</v>
      </c>
      <c r="BS38">
        <v>4087</v>
      </c>
      <c r="BT38">
        <v>611</v>
      </c>
      <c r="BU38">
        <v>4795</v>
      </c>
      <c r="BV38">
        <v>45165</v>
      </c>
      <c r="BW38">
        <v>566</v>
      </c>
      <c r="BX38">
        <v>1340</v>
      </c>
      <c r="BY38">
        <v>23</v>
      </c>
      <c r="BZ38">
        <v>35703</v>
      </c>
      <c r="CA38">
        <v>7534</v>
      </c>
      <c r="CB38">
        <v>517857</v>
      </c>
    </row>
    <row r="39" spans="1:80">
      <c r="A39" t="s">
        <v>160</v>
      </c>
      <c r="B39" t="s">
        <v>196</v>
      </c>
      <c r="C39">
        <v>1688</v>
      </c>
      <c r="D39">
        <v>154</v>
      </c>
      <c r="E39">
        <v>25</v>
      </c>
      <c r="F39">
        <v>90</v>
      </c>
      <c r="G39">
        <v>406</v>
      </c>
      <c r="H39">
        <v>69</v>
      </c>
      <c r="I39">
        <v>312</v>
      </c>
      <c r="J39">
        <v>37</v>
      </c>
      <c r="K39">
        <v>359</v>
      </c>
      <c r="L39">
        <v>60</v>
      </c>
      <c r="M39">
        <v>177</v>
      </c>
      <c r="N39">
        <v>367</v>
      </c>
      <c r="O39">
        <v>264</v>
      </c>
      <c r="P39">
        <v>103</v>
      </c>
      <c r="Q39">
        <v>1515</v>
      </c>
      <c r="R39">
        <v>13</v>
      </c>
      <c r="S39">
        <v>43</v>
      </c>
      <c r="T39">
        <v>111</v>
      </c>
      <c r="U39">
        <v>483</v>
      </c>
      <c r="V39">
        <v>232</v>
      </c>
      <c r="W39">
        <v>185</v>
      </c>
      <c r="X39">
        <v>266</v>
      </c>
      <c r="Y39">
        <v>81</v>
      </c>
      <c r="Z39">
        <v>104</v>
      </c>
      <c r="AA39">
        <v>1703</v>
      </c>
      <c r="AB39">
        <v>3</v>
      </c>
      <c r="AC39">
        <v>1693</v>
      </c>
      <c r="AD39">
        <v>3</v>
      </c>
      <c r="AE39">
        <v>111</v>
      </c>
      <c r="AF39">
        <v>0</v>
      </c>
      <c r="AG39">
        <v>94</v>
      </c>
      <c r="AH39">
        <v>11</v>
      </c>
      <c r="AI39">
        <v>4638</v>
      </c>
      <c r="AJ39">
        <v>1172</v>
      </c>
      <c r="AK39">
        <v>594</v>
      </c>
      <c r="AL39">
        <v>200</v>
      </c>
      <c r="AM39">
        <v>687</v>
      </c>
      <c r="AN39">
        <v>270</v>
      </c>
      <c r="AO39">
        <v>171</v>
      </c>
      <c r="AP39">
        <v>597</v>
      </c>
      <c r="AQ39">
        <v>421</v>
      </c>
      <c r="AR39">
        <v>532</v>
      </c>
      <c r="AS39">
        <v>7269</v>
      </c>
      <c r="AT39">
        <v>150</v>
      </c>
      <c r="AU39">
        <v>621</v>
      </c>
      <c r="AV39">
        <v>214</v>
      </c>
      <c r="AW39">
        <v>1212</v>
      </c>
      <c r="AX39">
        <v>1911</v>
      </c>
      <c r="AY39">
        <v>885</v>
      </c>
      <c r="AZ39">
        <v>892</v>
      </c>
      <c r="BA39">
        <v>297</v>
      </c>
      <c r="BB39">
        <v>1089</v>
      </c>
      <c r="BC39">
        <v>17885</v>
      </c>
      <c r="BD39">
        <v>1123</v>
      </c>
      <c r="BE39">
        <v>2131</v>
      </c>
      <c r="BF39">
        <v>354</v>
      </c>
      <c r="BG39">
        <v>2326</v>
      </c>
      <c r="BH39">
        <v>2899</v>
      </c>
      <c r="BI39">
        <v>1543</v>
      </c>
      <c r="BJ39">
        <v>2213</v>
      </c>
      <c r="BK39">
        <v>3852</v>
      </c>
      <c r="BL39">
        <v>1441</v>
      </c>
      <c r="BM39">
        <v>5957</v>
      </c>
      <c r="BN39">
        <v>116</v>
      </c>
      <c r="BO39">
        <v>251</v>
      </c>
      <c r="BP39">
        <v>175</v>
      </c>
      <c r="BQ39">
        <v>700</v>
      </c>
      <c r="BR39">
        <v>304</v>
      </c>
      <c r="BS39">
        <v>993</v>
      </c>
      <c r="BT39">
        <v>763</v>
      </c>
      <c r="BU39">
        <v>2657</v>
      </c>
      <c r="BV39">
        <v>1288</v>
      </c>
      <c r="BW39">
        <v>935</v>
      </c>
      <c r="BX39">
        <v>17</v>
      </c>
      <c r="BY39">
        <v>0</v>
      </c>
      <c r="BZ39">
        <v>104</v>
      </c>
      <c r="CA39">
        <v>229</v>
      </c>
      <c r="CB39">
        <v>42417</v>
      </c>
    </row>
    <row r="40" spans="1:80">
      <c r="A40" t="s">
        <v>161</v>
      </c>
      <c r="B40" t="s">
        <v>196</v>
      </c>
      <c r="C40">
        <v>1929</v>
      </c>
      <c r="D40">
        <v>151</v>
      </c>
      <c r="E40">
        <v>30</v>
      </c>
      <c r="F40">
        <v>96</v>
      </c>
      <c r="G40">
        <v>441</v>
      </c>
      <c r="H40">
        <v>86</v>
      </c>
      <c r="I40">
        <v>418</v>
      </c>
      <c r="J40">
        <v>49</v>
      </c>
      <c r="K40">
        <v>357</v>
      </c>
      <c r="L40">
        <v>67</v>
      </c>
      <c r="M40">
        <v>233</v>
      </c>
      <c r="N40">
        <v>391</v>
      </c>
      <c r="O40">
        <v>298</v>
      </c>
      <c r="P40">
        <v>88</v>
      </c>
      <c r="Q40">
        <v>1604</v>
      </c>
      <c r="R40">
        <v>10</v>
      </c>
      <c r="S40">
        <v>33</v>
      </c>
      <c r="T40">
        <v>103</v>
      </c>
      <c r="U40">
        <v>571</v>
      </c>
      <c r="V40">
        <v>239</v>
      </c>
      <c r="W40">
        <v>159</v>
      </c>
      <c r="X40">
        <v>256</v>
      </c>
      <c r="Y40">
        <v>118</v>
      </c>
      <c r="Z40">
        <v>119</v>
      </c>
      <c r="AA40">
        <v>2644</v>
      </c>
      <c r="AB40">
        <v>23</v>
      </c>
      <c r="AC40">
        <v>2612</v>
      </c>
      <c r="AD40">
        <v>8</v>
      </c>
      <c r="AE40">
        <v>121</v>
      </c>
      <c r="AF40">
        <v>1</v>
      </c>
      <c r="AG40">
        <v>107</v>
      </c>
      <c r="AH40">
        <v>12</v>
      </c>
      <c r="AI40">
        <v>5189</v>
      </c>
      <c r="AJ40">
        <v>1123</v>
      </c>
      <c r="AK40">
        <v>760</v>
      </c>
      <c r="AL40">
        <v>233</v>
      </c>
      <c r="AM40">
        <v>739</v>
      </c>
      <c r="AN40">
        <v>327</v>
      </c>
      <c r="AO40">
        <v>227</v>
      </c>
      <c r="AP40">
        <v>699</v>
      </c>
      <c r="AQ40">
        <v>483</v>
      </c>
      <c r="AR40">
        <v>597</v>
      </c>
      <c r="AS40">
        <v>8580</v>
      </c>
      <c r="AT40">
        <v>146</v>
      </c>
      <c r="AU40">
        <v>734</v>
      </c>
      <c r="AV40">
        <v>243</v>
      </c>
      <c r="AW40">
        <v>1342</v>
      </c>
      <c r="AX40">
        <v>2045</v>
      </c>
      <c r="AY40">
        <v>1078</v>
      </c>
      <c r="AZ40">
        <v>1218</v>
      </c>
      <c r="BA40">
        <v>414</v>
      </c>
      <c r="BB40">
        <v>1359</v>
      </c>
      <c r="BC40">
        <v>23453</v>
      </c>
      <c r="BD40">
        <v>1240</v>
      </c>
      <c r="BE40">
        <v>2752</v>
      </c>
      <c r="BF40">
        <v>388</v>
      </c>
      <c r="BG40">
        <v>2891</v>
      </c>
      <c r="BH40">
        <v>3531</v>
      </c>
      <c r="BI40">
        <v>1880</v>
      </c>
      <c r="BJ40">
        <v>2621</v>
      </c>
      <c r="BK40">
        <v>5397</v>
      </c>
      <c r="BL40">
        <v>2756</v>
      </c>
      <c r="BM40">
        <v>6814</v>
      </c>
      <c r="BN40">
        <v>140</v>
      </c>
      <c r="BO40">
        <v>339</v>
      </c>
      <c r="BP40">
        <v>215</v>
      </c>
      <c r="BQ40">
        <v>848</v>
      </c>
      <c r="BR40">
        <v>342</v>
      </c>
      <c r="BS40">
        <v>1138</v>
      </c>
      <c r="BT40">
        <v>806</v>
      </c>
      <c r="BU40">
        <v>2985</v>
      </c>
      <c r="BV40">
        <v>998</v>
      </c>
      <c r="BW40">
        <v>651</v>
      </c>
      <c r="BX40">
        <v>25</v>
      </c>
      <c r="BY40">
        <v>3</v>
      </c>
      <c r="BZ40">
        <v>189</v>
      </c>
      <c r="CA40">
        <v>127</v>
      </c>
      <c r="CB40">
        <v>51727</v>
      </c>
    </row>
    <row r="41" spans="1:80">
      <c r="A41" t="s">
        <v>162</v>
      </c>
      <c r="B41" t="s">
        <v>196</v>
      </c>
      <c r="C41">
        <v>1914</v>
      </c>
      <c r="D41">
        <v>121</v>
      </c>
      <c r="E41">
        <v>28</v>
      </c>
      <c r="F41">
        <v>115</v>
      </c>
      <c r="G41">
        <v>438</v>
      </c>
      <c r="H41">
        <v>101</v>
      </c>
      <c r="I41">
        <v>388</v>
      </c>
      <c r="J41">
        <v>61</v>
      </c>
      <c r="K41">
        <v>316</v>
      </c>
      <c r="L41">
        <v>69</v>
      </c>
      <c r="M41">
        <v>278</v>
      </c>
      <c r="N41">
        <v>403</v>
      </c>
      <c r="O41">
        <v>301</v>
      </c>
      <c r="P41">
        <v>102</v>
      </c>
      <c r="Q41">
        <v>1403</v>
      </c>
      <c r="R41">
        <v>14</v>
      </c>
      <c r="S41">
        <v>53</v>
      </c>
      <c r="T41">
        <v>83</v>
      </c>
      <c r="U41">
        <v>456</v>
      </c>
      <c r="V41">
        <v>207</v>
      </c>
      <c r="W41">
        <v>141</v>
      </c>
      <c r="X41">
        <v>186</v>
      </c>
      <c r="Y41">
        <v>148</v>
      </c>
      <c r="Z41">
        <v>117</v>
      </c>
      <c r="AA41">
        <v>2811</v>
      </c>
      <c r="AB41">
        <v>3</v>
      </c>
      <c r="AC41">
        <v>2787</v>
      </c>
      <c r="AD41">
        <v>16</v>
      </c>
      <c r="AE41">
        <v>125</v>
      </c>
      <c r="AF41">
        <v>0</v>
      </c>
      <c r="AG41">
        <v>110</v>
      </c>
      <c r="AH41">
        <v>12</v>
      </c>
      <c r="AI41">
        <v>5130</v>
      </c>
      <c r="AJ41">
        <v>984</v>
      </c>
      <c r="AK41">
        <v>695</v>
      </c>
      <c r="AL41">
        <v>229</v>
      </c>
      <c r="AM41">
        <v>904</v>
      </c>
      <c r="AN41">
        <v>339</v>
      </c>
      <c r="AO41">
        <v>261</v>
      </c>
      <c r="AP41">
        <v>613</v>
      </c>
      <c r="AQ41">
        <v>459</v>
      </c>
      <c r="AR41">
        <v>645</v>
      </c>
      <c r="AS41">
        <v>7632</v>
      </c>
      <c r="AT41">
        <v>128</v>
      </c>
      <c r="AU41">
        <v>703</v>
      </c>
      <c r="AV41">
        <v>221</v>
      </c>
      <c r="AW41">
        <v>1255</v>
      </c>
      <c r="AX41">
        <v>1856</v>
      </c>
      <c r="AY41">
        <v>996</v>
      </c>
      <c r="AZ41">
        <v>834</v>
      </c>
      <c r="BA41">
        <v>373</v>
      </c>
      <c r="BB41">
        <v>1261</v>
      </c>
      <c r="BC41">
        <v>22381</v>
      </c>
      <c r="BD41">
        <v>1361</v>
      </c>
      <c r="BE41">
        <v>2446</v>
      </c>
      <c r="BF41">
        <v>354</v>
      </c>
      <c r="BG41">
        <v>2789</v>
      </c>
      <c r="BH41">
        <v>3462</v>
      </c>
      <c r="BI41">
        <v>1778</v>
      </c>
      <c r="BJ41">
        <v>2615</v>
      </c>
      <c r="BK41">
        <v>4825</v>
      </c>
      <c r="BL41">
        <v>2751</v>
      </c>
      <c r="BM41">
        <v>6919</v>
      </c>
      <c r="BN41">
        <v>139</v>
      </c>
      <c r="BO41">
        <v>314</v>
      </c>
      <c r="BP41">
        <v>209</v>
      </c>
      <c r="BQ41">
        <v>914</v>
      </c>
      <c r="BR41">
        <v>359</v>
      </c>
      <c r="BS41">
        <v>1155</v>
      </c>
      <c r="BT41">
        <v>786</v>
      </c>
      <c r="BU41">
        <v>3042</v>
      </c>
      <c r="BV41">
        <v>1090</v>
      </c>
      <c r="BW41">
        <v>493</v>
      </c>
      <c r="BX41">
        <v>28</v>
      </c>
      <c r="BY41">
        <v>7</v>
      </c>
      <c r="BZ41">
        <v>427</v>
      </c>
      <c r="CA41">
        <v>137</v>
      </c>
      <c r="CB41">
        <v>49808</v>
      </c>
    </row>
    <row r="42" spans="1:80">
      <c r="A42" t="s">
        <v>163</v>
      </c>
      <c r="B42" t="s">
        <v>196</v>
      </c>
      <c r="C42">
        <v>2001</v>
      </c>
      <c r="D42">
        <v>62</v>
      </c>
      <c r="E42">
        <v>40</v>
      </c>
      <c r="F42">
        <v>133</v>
      </c>
      <c r="G42">
        <v>453</v>
      </c>
      <c r="H42">
        <v>108</v>
      </c>
      <c r="I42">
        <v>433</v>
      </c>
      <c r="J42">
        <v>57</v>
      </c>
      <c r="K42">
        <v>310</v>
      </c>
      <c r="L42">
        <v>85</v>
      </c>
      <c r="M42">
        <v>328</v>
      </c>
      <c r="N42">
        <v>387</v>
      </c>
      <c r="O42">
        <v>286</v>
      </c>
      <c r="P42">
        <v>102</v>
      </c>
      <c r="Q42">
        <v>1198</v>
      </c>
      <c r="R42">
        <v>9</v>
      </c>
      <c r="S42">
        <v>58</v>
      </c>
      <c r="T42">
        <v>79</v>
      </c>
      <c r="U42">
        <v>437</v>
      </c>
      <c r="V42">
        <v>130</v>
      </c>
      <c r="W42">
        <v>134</v>
      </c>
      <c r="X42">
        <v>123</v>
      </c>
      <c r="Y42">
        <v>115</v>
      </c>
      <c r="Z42">
        <v>110</v>
      </c>
      <c r="AA42">
        <v>2953</v>
      </c>
      <c r="AB42">
        <v>4</v>
      </c>
      <c r="AC42">
        <v>2938</v>
      </c>
      <c r="AD42">
        <v>7</v>
      </c>
      <c r="AE42">
        <v>139</v>
      </c>
      <c r="AF42">
        <v>0</v>
      </c>
      <c r="AG42">
        <v>124</v>
      </c>
      <c r="AH42">
        <v>13</v>
      </c>
      <c r="AI42">
        <v>5253</v>
      </c>
      <c r="AJ42">
        <v>1044</v>
      </c>
      <c r="AK42">
        <v>718</v>
      </c>
      <c r="AL42">
        <v>245</v>
      </c>
      <c r="AM42">
        <v>937</v>
      </c>
      <c r="AN42">
        <v>350</v>
      </c>
      <c r="AO42">
        <v>284</v>
      </c>
      <c r="AP42">
        <v>602</v>
      </c>
      <c r="AQ42">
        <v>454</v>
      </c>
      <c r="AR42">
        <v>618</v>
      </c>
      <c r="AS42">
        <v>7580</v>
      </c>
      <c r="AT42">
        <v>118</v>
      </c>
      <c r="AU42">
        <v>704</v>
      </c>
      <c r="AV42">
        <v>225</v>
      </c>
      <c r="AW42">
        <v>1209</v>
      </c>
      <c r="AX42">
        <v>1907</v>
      </c>
      <c r="AY42">
        <v>925</v>
      </c>
      <c r="AZ42">
        <v>895</v>
      </c>
      <c r="BA42">
        <v>371</v>
      </c>
      <c r="BB42">
        <v>1221</v>
      </c>
      <c r="BC42">
        <v>21885</v>
      </c>
      <c r="BD42">
        <v>1311</v>
      </c>
      <c r="BE42">
        <v>2023</v>
      </c>
      <c r="BF42">
        <v>315</v>
      </c>
      <c r="BG42">
        <v>2764</v>
      </c>
      <c r="BH42">
        <v>3406</v>
      </c>
      <c r="BI42">
        <v>1823</v>
      </c>
      <c r="BJ42">
        <v>2645</v>
      </c>
      <c r="BK42">
        <v>4280</v>
      </c>
      <c r="BL42">
        <v>3319</v>
      </c>
      <c r="BM42">
        <v>7284</v>
      </c>
      <c r="BN42">
        <v>154</v>
      </c>
      <c r="BO42">
        <v>301</v>
      </c>
      <c r="BP42">
        <v>221</v>
      </c>
      <c r="BQ42">
        <v>1027</v>
      </c>
      <c r="BR42">
        <v>384</v>
      </c>
      <c r="BS42">
        <v>1241</v>
      </c>
      <c r="BT42">
        <v>793</v>
      </c>
      <c r="BU42">
        <v>3160</v>
      </c>
      <c r="BV42">
        <v>997</v>
      </c>
      <c r="BW42">
        <v>28</v>
      </c>
      <c r="BX42">
        <v>11</v>
      </c>
      <c r="BY42">
        <v>0</v>
      </c>
      <c r="BZ42">
        <v>866</v>
      </c>
      <c r="CA42">
        <v>93</v>
      </c>
      <c r="CB42">
        <v>49671</v>
      </c>
    </row>
    <row r="43" spans="1:80">
      <c r="A43" t="s">
        <v>164</v>
      </c>
      <c r="B43" t="s">
        <v>196</v>
      </c>
      <c r="C43">
        <v>2144</v>
      </c>
      <c r="D43">
        <v>59</v>
      </c>
      <c r="E43">
        <v>39</v>
      </c>
      <c r="F43">
        <v>152</v>
      </c>
      <c r="G43">
        <v>483</v>
      </c>
      <c r="H43">
        <v>131</v>
      </c>
      <c r="I43">
        <v>475</v>
      </c>
      <c r="J43">
        <v>73</v>
      </c>
      <c r="K43">
        <v>328</v>
      </c>
      <c r="L43">
        <v>70</v>
      </c>
      <c r="M43">
        <v>338</v>
      </c>
      <c r="N43">
        <v>414</v>
      </c>
      <c r="O43">
        <v>303</v>
      </c>
      <c r="P43">
        <v>107</v>
      </c>
      <c r="Q43">
        <v>1424</v>
      </c>
      <c r="R43">
        <v>0</v>
      </c>
      <c r="S43">
        <v>58</v>
      </c>
      <c r="T43">
        <v>93</v>
      </c>
      <c r="U43">
        <v>516</v>
      </c>
      <c r="V43">
        <v>153</v>
      </c>
      <c r="W43">
        <v>142</v>
      </c>
      <c r="X43">
        <v>154</v>
      </c>
      <c r="Y43">
        <v>170</v>
      </c>
      <c r="Z43">
        <v>133</v>
      </c>
      <c r="AA43">
        <v>3244</v>
      </c>
      <c r="AB43">
        <v>5</v>
      </c>
      <c r="AC43">
        <v>3222</v>
      </c>
      <c r="AD43">
        <v>15</v>
      </c>
      <c r="AE43">
        <v>176</v>
      </c>
      <c r="AF43">
        <v>0</v>
      </c>
      <c r="AG43">
        <v>156</v>
      </c>
      <c r="AH43">
        <v>18</v>
      </c>
      <c r="AI43">
        <v>6223</v>
      </c>
      <c r="AJ43">
        <v>1284</v>
      </c>
      <c r="AK43">
        <v>700</v>
      </c>
      <c r="AL43">
        <v>305</v>
      </c>
      <c r="AM43">
        <v>1275</v>
      </c>
      <c r="AN43">
        <v>438</v>
      </c>
      <c r="AO43">
        <v>310</v>
      </c>
      <c r="AP43">
        <v>650</v>
      </c>
      <c r="AQ43">
        <v>531</v>
      </c>
      <c r="AR43">
        <v>727</v>
      </c>
      <c r="AS43">
        <v>8438</v>
      </c>
      <c r="AT43">
        <v>132</v>
      </c>
      <c r="AU43">
        <v>781</v>
      </c>
      <c r="AV43">
        <v>245</v>
      </c>
      <c r="AW43">
        <v>1387</v>
      </c>
      <c r="AX43">
        <v>2090</v>
      </c>
      <c r="AY43">
        <v>1024</v>
      </c>
      <c r="AZ43">
        <v>856</v>
      </c>
      <c r="BA43">
        <v>440</v>
      </c>
      <c r="BB43">
        <v>1478</v>
      </c>
      <c r="BC43">
        <v>23736</v>
      </c>
      <c r="BD43">
        <v>1345</v>
      </c>
      <c r="BE43">
        <v>2350</v>
      </c>
      <c r="BF43">
        <v>314</v>
      </c>
      <c r="BG43">
        <v>2892</v>
      </c>
      <c r="BH43">
        <v>3949</v>
      </c>
      <c r="BI43">
        <v>2188</v>
      </c>
      <c r="BJ43">
        <v>3093</v>
      </c>
      <c r="BK43">
        <v>5576</v>
      </c>
      <c r="BL43">
        <v>2025</v>
      </c>
      <c r="BM43">
        <v>8512</v>
      </c>
      <c r="BN43">
        <v>166</v>
      </c>
      <c r="BO43">
        <v>342</v>
      </c>
      <c r="BP43">
        <v>273</v>
      </c>
      <c r="BQ43">
        <v>1208</v>
      </c>
      <c r="BR43">
        <v>481</v>
      </c>
      <c r="BS43">
        <v>1444</v>
      </c>
      <c r="BT43">
        <v>931</v>
      </c>
      <c r="BU43">
        <v>3670</v>
      </c>
      <c r="BV43">
        <v>1199</v>
      </c>
      <c r="BW43">
        <v>27</v>
      </c>
      <c r="BX43">
        <v>1</v>
      </c>
      <c r="BY43">
        <v>0</v>
      </c>
      <c r="BZ43">
        <v>1104</v>
      </c>
      <c r="CA43">
        <v>66</v>
      </c>
      <c r="CB43">
        <v>55508</v>
      </c>
    </row>
    <row r="44" spans="1:80">
      <c r="A44" t="s">
        <v>165</v>
      </c>
      <c r="B44" t="s">
        <v>196</v>
      </c>
      <c r="C44">
        <v>2386</v>
      </c>
      <c r="D44">
        <v>65</v>
      </c>
      <c r="E44">
        <v>39</v>
      </c>
      <c r="F44">
        <v>159</v>
      </c>
      <c r="G44">
        <v>538</v>
      </c>
      <c r="H44">
        <v>139</v>
      </c>
      <c r="I44">
        <v>501</v>
      </c>
      <c r="J44">
        <v>73</v>
      </c>
      <c r="K44">
        <v>358</v>
      </c>
      <c r="L44">
        <v>87</v>
      </c>
      <c r="M44">
        <v>422</v>
      </c>
      <c r="N44">
        <v>454</v>
      </c>
      <c r="O44">
        <v>318</v>
      </c>
      <c r="P44">
        <v>133</v>
      </c>
      <c r="Q44">
        <v>1547</v>
      </c>
      <c r="R44">
        <v>4</v>
      </c>
      <c r="S44">
        <v>65</v>
      </c>
      <c r="T44">
        <v>111</v>
      </c>
      <c r="U44">
        <v>652</v>
      </c>
      <c r="V44">
        <v>141</v>
      </c>
      <c r="W44">
        <v>153</v>
      </c>
      <c r="X44">
        <v>139</v>
      </c>
      <c r="Y44">
        <v>128</v>
      </c>
      <c r="Z44">
        <v>155</v>
      </c>
      <c r="AA44">
        <v>3822</v>
      </c>
      <c r="AB44">
        <v>16</v>
      </c>
      <c r="AC44">
        <v>3781</v>
      </c>
      <c r="AD44">
        <v>22</v>
      </c>
      <c r="AE44">
        <v>198</v>
      </c>
      <c r="AF44">
        <v>0</v>
      </c>
      <c r="AG44">
        <v>179</v>
      </c>
      <c r="AH44">
        <v>17</v>
      </c>
      <c r="AI44">
        <v>6840</v>
      </c>
      <c r="AJ44">
        <v>1491</v>
      </c>
      <c r="AK44">
        <v>582</v>
      </c>
      <c r="AL44">
        <v>335</v>
      </c>
      <c r="AM44">
        <v>1393</v>
      </c>
      <c r="AN44">
        <v>491</v>
      </c>
      <c r="AO44">
        <v>376</v>
      </c>
      <c r="AP44">
        <v>728</v>
      </c>
      <c r="AQ44">
        <v>606</v>
      </c>
      <c r="AR44">
        <v>841</v>
      </c>
      <c r="AS44">
        <v>9138</v>
      </c>
      <c r="AT44">
        <v>137</v>
      </c>
      <c r="AU44">
        <v>883</v>
      </c>
      <c r="AV44">
        <v>274</v>
      </c>
      <c r="AW44">
        <v>1485</v>
      </c>
      <c r="AX44">
        <v>2208</v>
      </c>
      <c r="AY44">
        <v>1038</v>
      </c>
      <c r="AZ44">
        <v>1038</v>
      </c>
      <c r="BA44">
        <v>476</v>
      </c>
      <c r="BB44">
        <v>1598</v>
      </c>
      <c r="BC44">
        <v>27489</v>
      </c>
      <c r="BD44">
        <v>1665</v>
      </c>
      <c r="BE44">
        <v>2717</v>
      </c>
      <c r="BF44">
        <v>324</v>
      </c>
      <c r="BG44">
        <v>3425</v>
      </c>
      <c r="BH44">
        <v>4576</v>
      </c>
      <c r="BI44">
        <v>2488</v>
      </c>
      <c r="BJ44">
        <v>3752</v>
      </c>
      <c r="BK44">
        <v>6695</v>
      </c>
      <c r="BL44">
        <v>1844</v>
      </c>
      <c r="BM44">
        <v>9417</v>
      </c>
      <c r="BN44">
        <v>182</v>
      </c>
      <c r="BO44">
        <v>369</v>
      </c>
      <c r="BP44">
        <v>272</v>
      </c>
      <c r="BQ44">
        <v>1454</v>
      </c>
      <c r="BR44">
        <v>515</v>
      </c>
      <c r="BS44">
        <v>1648</v>
      </c>
      <c r="BT44">
        <v>1024</v>
      </c>
      <c r="BU44">
        <v>3957</v>
      </c>
      <c r="BV44">
        <v>1108</v>
      </c>
      <c r="BW44">
        <v>37</v>
      </c>
      <c r="BX44">
        <v>1</v>
      </c>
      <c r="BY44">
        <v>0</v>
      </c>
      <c r="BZ44">
        <v>1003</v>
      </c>
      <c r="CA44">
        <v>68</v>
      </c>
      <c r="CB44">
        <v>62403</v>
      </c>
    </row>
    <row r="45" spans="1:80">
      <c r="A45" t="s">
        <v>166</v>
      </c>
      <c r="B45" t="s">
        <v>196</v>
      </c>
      <c r="C45">
        <v>2580</v>
      </c>
      <c r="D45">
        <v>81</v>
      </c>
      <c r="E45">
        <v>42</v>
      </c>
      <c r="F45">
        <v>161</v>
      </c>
      <c r="G45">
        <v>582</v>
      </c>
      <c r="H45">
        <v>148</v>
      </c>
      <c r="I45">
        <v>504</v>
      </c>
      <c r="J45">
        <v>75</v>
      </c>
      <c r="K45">
        <v>437</v>
      </c>
      <c r="L45">
        <v>107</v>
      </c>
      <c r="M45">
        <v>446</v>
      </c>
      <c r="N45">
        <v>500</v>
      </c>
      <c r="O45">
        <v>338</v>
      </c>
      <c r="P45">
        <v>163</v>
      </c>
      <c r="Q45">
        <v>1650</v>
      </c>
      <c r="R45">
        <v>4</v>
      </c>
      <c r="S45">
        <v>105</v>
      </c>
      <c r="T45">
        <v>128</v>
      </c>
      <c r="U45">
        <v>605</v>
      </c>
      <c r="V45">
        <v>131</v>
      </c>
      <c r="W45">
        <v>174</v>
      </c>
      <c r="X45">
        <v>163</v>
      </c>
      <c r="Y45">
        <v>169</v>
      </c>
      <c r="Z45">
        <v>171</v>
      </c>
      <c r="AA45">
        <v>3264</v>
      </c>
      <c r="AB45">
        <v>26</v>
      </c>
      <c r="AC45">
        <v>3212</v>
      </c>
      <c r="AD45">
        <v>26</v>
      </c>
      <c r="AE45">
        <v>211</v>
      </c>
      <c r="AF45">
        <v>2</v>
      </c>
      <c r="AG45">
        <v>187</v>
      </c>
      <c r="AH45">
        <v>20</v>
      </c>
      <c r="AI45">
        <v>7355</v>
      </c>
      <c r="AJ45">
        <v>1706</v>
      </c>
      <c r="AK45">
        <v>462</v>
      </c>
      <c r="AL45">
        <v>355</v>
      </c>
      <c r="AM45">
        <v>1504</v>
      </c>
      <c r="AN45">
        <v>547</v>
      </c>
      <c r="AO45">
        <v>443</v>
      </c>
      <c r="AP45">
        <v>804</v>
      </c>
      <c r="AQ45">
        <v>666</v>
      </c>
      <c r="AR45">
        <v>872</v>
      </c>
      <c r="AS45">
        <v>10017</v>
      </c>
      <c r="AT45">
        <v>156</v>
      </c>
      <c r="AU45">
        <v>998</v>
      </c>
      <c r="AV45">
        <v>305</v>
      </c>
      <c r="AW45">
        <v>1639</v>
      </c>
      <c r="AX45">
        <v>2368</v>
      </c>
      <c r="AY45">
        <v>1144</v>
      </c>
      <c r="AZ45">
        <v>1101</v>
      </c>
      <c r="BA45">
        <v>588</v>
      </c>
      <c r="BB45">
        <v>1720</v>
      </c>
      <c r="BC45">
        <v>31429</v>
      </c>
      <c r="BD45">
        <v>1759</v>
      </c>
      <c r="BE45">
        <v>3341</v>
      </c>
      <c r="BF45">
        <v>436</v>
      </c>
      <c r="BG45">
        <v>3912</v>
      </c>
      <c r="BH45">
        <v>5201</v>
      </c>
      <c r="BI45">
        <v>2874</v>
      </c>
      <c r="BJ45">
        <v>4375</v>
      </c>
      <c r="BK45">
        <v>7963</v>
      </c>
      <c r="BL45">
        <v>1566</v>
      </c>
      <c r="BM45">
        <v>10230</v>
      </c>
      <c r="BN45">
        <v>206</v>
      </c>
      <c r="BO45">
        <v>425</v>
      </c>
      <c r="BP45">
        <v>314</v>
      </c>
      <c r="BQ45">
        <v>1547</v>
      </c>
      <c r="BR45">
        <v>557</v>
      </c>
      <c r="BS45">
        <v>1762</v>
      </c>
      <c r="BT45">
        <v>1140</v>
      </c>
      <c r="BU45">
        <v>4278</v>
      </c>
      <c r="BV45">
        <v>864</v>
      </c>
      <c r="BW45">
        <v>25</v>
      </c>
      <c r="BX45">
        <v>1</v>
      </c>
      <c r="BY45">
        <v>0</v>
      </c>
      <c r="BZ45">
        <v>773</v>
      </c>
      <c r="CA45">
        <v>62</v>
      </c>
      <c r="CB45">
        <v>68099</v>
      </c>
    </row>
    <row r="46" spans="1:80">
      <c r="A46" t="s">
        <v>167</v>
      </c>
      <c r="B46" t="s">
        <v>196</v>
      </c>
      <c r="C46">
        <v>2944</v>
      </c>
      <c r="D46">
        <v>106</v>
      </c>
      <c r="E46">
        <v>51</v>
      </c>
      <c r="F46">
        <v>185</v>
      </c>
      <c r="G46">
        <v>598</v>
      </c>
      <c r="H46">
        <v>218</v>
      </c>
      <c r="I46">
        <v>575</v>
      </c>
      <c r="J46">
        <v>88</v>
      </c>
      <c r="K46">
        <v>525</v>
      </c>
      <c r="L46">
        <v>104</v>
      </c>
      <c r="M46">
        <v>497</v>
      </c>
      <c r="N46">
        <v>503</v>
      </c>
      <c r="O46">
        <v>341</v>
      </c>
      <c r="P46">
        <v>163</v>
      </c>
      <c r="Q46">
        <v>1751</v>
      </c>
      <c r="R46">
        <v>1</v>
      </c>
      <c r="S46">
        <v>131</v>
      </c>
      <c r="T46">
        <v>166</v>
      </c>
      <c r="U46">
        <v>522</v>
      </c>
      <c r="V46">
        <v>205</v>
      </c>
      <c r="W46">
        <v>182</v>
      </c>
      <c r="X46">
        <v>157</v>
      </c>
      <c r="Y46">
        <v>182</v>
      </c>
      <c r="Z46">
        <v>200</v>
      </c>
      <c r="AA46">
        <v>3887</v>
      </c>
      <c r="AB46">
        <v>14</v>
      </c>
      <c r="AC46">
        <v>3823</v>
      </c>
      <c r="AD46">
        <v>50</v>
      </c>
      <c r="AE46">
        <v>251</v>
      </c>
      <c r="AF46">
        <v>2</v>
      </c>
      <c r="AG46">
        <v>226</v>
      </c>
      <c r="AH46">
        <v>23</v>
      </c>
      <c r="AI46">
        <v>8598</v>
      </c>
      <c r="AJ46">
        <v>1862</v>
      </c>
      <c r="AK46">
        <v>797</v>
      </c>
      <c r="AL46">
        <v>370</v>
      </c>
      <c r="AM46">
        <v>1691</v>
      </c>
      <c r="AN46">
        <v>598</v>
      </c>
      <c r="AO46">
        <v>584</v>
      </c>
      <c r="AP46">
        <v>980</v>
      </c>
      <c r="AQ46">
        <v>774</v>
      </c>
      <c r="AR46">
        <v>943</v>
      </c>
      <c r="AS46">
        <v>11349</v>
      </c>
      <c r="AT46">
        <v>168</v>
      </c>
      <c r="AU46">
        <v>1084</v>
      </c>
      <c r="AV46">
        <v>327</v>
      </c>
      <c r="AW46">
        <v>2048</v>
      </c>
      <c r="AX46">
        <v>2416</v>
      </c>
      <c r="AY46">
        <v>1211</v>
      </c>
      <c r="AZ46">
        <v>1459</v>
      </c>
      <c r="BA46">
        <v>689</v>
      </c>
      <c r="BB46">
        <v>1951</v>
      </c>
      <c r="BC46">
        <v>36394</v>
      </c>
      <c r="BD46">
        <v>1845</v>
      </c>
      <c r="BE46">
        <v>3914</v>
      </c>
      <c r="BF46">
        <v>558</v>
      </c>
      <c r="BG46">
        <v>4379</v>
      </c>
      <c r="BH46">
        <v>5969</v>
      </c>
      <c r="BI46">
        <v>3684</v>
      </c>
      <c r="BJ46">
        <v>5298</v>
      </c>
      <c r="BK46">
        <v>8433</v>
      </c>
      <c r="BL46">
        <v>2313</v>
      </c>
      <c r="BM46">
        <v>10963</v>
      </c>
      <c r="BN46">
        <v>218</v>
      </c>
      <c r="BO46">
        <v>457</v>
      </c>
      <c r="BP46">
        <v>359</v>
      </c>
      <c r="BQ46">
        <v>1703</v>
      </c>
      <c r="BR46">
        <v>568</v>
      </c>
      <c r="BS46">
        <v>1887</v>
      </c>
      <c r="BT46">
        <v>1230</v>
      </c>
      <c r="BU46">
        <v>4541</v>
      </c>
      <c r="BV46">
        <v>828</v>
      </c>
      <c r="BW46">
        <v>27</v>
      </c>
      <c r="BX46">
        <v>1</v>
      </c>
      <c r="BY46">
        <v>0</v>
      </c>
      <c r="BZ46">
        <v>731</v>
      </c>
      <c r="CA46">
        <v>68</v>
      </c>
      <c r="CB46">
        <v>77469</v>
      </c>
    </row>
    <row r="47" spans="1:80">
      <c r="A47" t="s">
        <v>168</v>
      </c>
      <c r="B47" t="s">
        <v>196</v>
      </c>
      <c r="C47">
        <v>2918</v>
      </c>
      <c r="D47">
        <v>92</v>
      </c>
      <c r="E47">
        <v>56</v>
      </c>
      <c r="F47">
        <v>201</v>
      </c>
      <c r="G47">
        <v>605</v>
      </c>
      <c r="H47">
        <v>165</v>
      </c>
      <c r="I47">
        <v>597</v>
      </c>
      <c r="J47">
        <v>87</v>
      </c>
      <c r="K47">
        <v>484</v>
      </c>
      <c r="L47">
        <v>105</v>
      </c>
      <c r="M47">
        <v>527</v>
      </c>
      <c r="N47">
        <v>511</v>
      </c>
      <c r="O47">
        <v>341</v>
      </c>
      <c r="P47">
        <v>170</v>
      </c>
      <c r="Q47">
        <v>1512</v>
      </c>
      <c r="R47">
        <v>0</v>
      </c>
      <c r="S47">
        <v>100</v>
      </c>
      <c r="T47">
        <v>144</v>
      </c>
      <c r="U47">
        <v>419</v>
      </c>
      <c r="V47">
        <v>155</v>
      </c>
      <c r="W47">
        <v>166</v>
      </c>
      <c r="X47">
        <v>131</v>
      </c>
      <c r="Y47">
        <v>171</v>
      </c>
      <c r="Z47">
        <v>217</v>
      </c>
      <c r="AA47">
        <v>4900</v>
      </c>
      <c r="AB47">
        <v>15</v>
      </c>
      <c r="AC47">
        <v>4800</v>
      </c>
      <c r="AD47">
        <v>83</v>
      </c>
      <c r="AE47">
        <v>267</v>
      </c>
      <c r="AF47">
        <v>4</v>
      </c>
      <c r="AG47">
        <v>236</v>
      </c>
      <c r="AH47">
        <v>23</v>
      </c>
      <c r="AI47">
        <v>9076</v>
      </c>
      <c r="AJ47">
        <v>2007</v>
      </c>
      <c r="AK47">
        <v>795</v>
      </c>
      <c r="AL47">
        <v>404</v>
      </c>
      <c r="AM47">
        <v>1937</v>
      </c>
      <c r="AN47">
        <v>623</v>
      </c>
      <c r="AO47">
        <v>746</v>
      </c>
      <c r="AP47">
        <v>869</v>
      </c>
      <c r="AQ47">
        <v>719</v>
      </c>
      <c r="AR47">
        <v>978</v>
      </c>
      <c r="AS47">
        <v>10611</v>
      </c>
      <c r="AT47">
        <v>159</v>
      </c>
      <c r="AU47">
        <v>1119</v>
      </c>
      <c r="AV47">
        <v>319</v>
      </c>
      <c r="AW47">
        <v>1770</v>
      </c>
      <c r="AX47">
        <v>2319</v>
      </c>
      <c r="AY47">
        <v>1208</v>
      </c>
      <c r="AZ47">
        <v>1264</v>
      </c>
      <c r="BA47">
        <v>601</v>
      </c>
      <c r="BB47">
        <v>1851</v>
      </c>
      <c r="BC47">
        <v>36809</v>
      </c>
      <c r="BD47">
        <v>2037</v>
      </c>
      <c r="BE47">
        <v>4107</v>
      </c>
      <c r="BF47">
        <v>606</v>
      </c>
      <c r="BG47">
        <v>4567</v>
      </c>
      <c r="BH47">
        <v>5882</v>
      </c>
      <c r="BI47">
        <v>3724</v>
      </c>
      <c r="BJ47">
        <v>5100</v>
      </c>
      <c r="BK47">
        <v>8243</v>
      </c>
      <c r="BL47">
        <v>2547</v>
      </c>
      <c r="BM47">
        <v>11054</v>
      </c>
      <c r="BN47">
        <v>225</v>
      </c>
      <c r="BO47">
        <v>495</v>
      </c>
      <c r="BP47">
        <v>343</v>
      </c>
      <c r="BQ47">
        <v>1802</v>
      </c>
      <c r="BR47">
        <v>610</v>
      </c>
      <c r="BS47">
        <v>1892</v>
      </c>
      <c r="BT47">
        <v>1241</v>
      </c>
      <c r="BU47">
        <v>4447</v>
      </c>
      <c r="BV47">
        <v>752</v>
      </c>
      <c r="BW47">
        <v>31</v>
      </c>
      <c r="BX47">
        <v>9</v>
      </c>
      <c r="BY47">
        <v>0</v>
      </c>
      <c r="BZ47">
        <v>643</v>
      </c>
      <c r="CA47">
        <v>68</v>
      </c>
      <c r="CB47">
        <v>78410</v>
      </c>
    </row>
    <row r="48" spans="1:80">
      <c r="A48" t="s">
        <v>169</v>
      </c>
      <c r="B48" t="s">
        <v>196</v>
      </c>
      <c r="C48">
        <v>3189</v>
      </c>
      <c r="D48">
        <v>120</v>
      </c>
      <c r="E48">
        <v>69</v>
      </c>
      <c r="F48">
        <v>193</v>
      </c>
      <c r="G48">
        <v>631</v>
      </c>
      <c r="H48">
        <v>204</v>
      </c>
      <c r="I48">
        <v>590</v>
      </c>
      <c r="J48">
        <v>90</v>
      </c>
      <c r="K48">
        <v>582</v>
      </c>
      <c r="L48">
        <v>134</v>
      </c>
      <c r="M48">
        <v>579</v>
      </c>
      <c r="N48">
        <v>543</v>
      </c>
      <c r="O48">
        <v>401</v>
      </c>
      <c r="P48">
        <v>143</v>
      </c>
      <c r="Q48">
        <v>1558</v>
      </c>
      <c r="R48">
        <v>1</v>
      </c>
      <c r="S48">
        <v>91</v>
      </c>
      <c r="T48">
        <v>130</v>
      </c>
      <c r="U48">
        <v>462</v>
      </c>
      <c r="V48">
        <v>124</v>
      </c>
      <c r="W48">
        <v>149</v>
      </c>
      <c r="X48">
        <v>165</v>
      </c>
      <c r="Y48">
        <v>199</v>
      </c>
      <c r="Z48">
        <v>241</v>
      </c>
      <c r="AA48">
        <v>5026</v>
      </c>
      <c r="AB48">
        <v>13</v>
      </c>
      <c r="AC48">
        <v>4916</v>
      </c>
      <c r="AD48">
        <v>94</v>
      </c>
      <c r="AE48">
        <v>270</v>
      </c>
      <c r="AF48">
        <v>9</v>
      </c>
      <c r="AG48">
        <v>240</v>
      </c>
      <c r="AH48">
        <v>21</v>
      </c>
      <c r="AI48">
        <v>9397</v>
      </c>
      <c r="AJ48">
        <v>2070</v>
      </c>
      <c r="AK48">
        <v>634</v>
      </c>
      <c r="AL48">
        <v>425</v>
      </c>
      <c r="AM48">
        <v>2215</v>
      </c>
      <c r="AN48">
        <v>676</v>
      </c>
      <c r="AO48">
        <v>661</v>
      </c>
      <c r="AP48">
        <v>926</v>
      </c>
      <c r="AQ48">
        <v>754</v>
      </c>
      <c r="AR48">
        <v>1039</v>
      </c>
      <c r="AS48">
        <v>11529</v>
      </c>
      <c r="AT48">
        <v>159</v>
      </c>
      <c r="AU48">
        <v>1143</v>
      </c>
      <c r="AV48">
        <v>368</v>
      </c>
      <c r="AW48">
        <v>1833</v>
      </c>
      <c r="AX48">
        <v>2385</v>
      </c>
      <c r="AY48">
        <v>1336</v>
      </c>
      <c r="AZ48">
        <v>1466</v>
      </c>
      <c r="BA48">
        <v>692</v>
      </c>
      <c r="BB48">
        <v>2151</v>
      </c>
      <c r="BC48">
        <v>38698</v>
      </c>
      <c r="BD48">
        <v>1952</v>
      </c>
      <c r="BE48">
        <v>4032</v>
      </c>
      <c r="BF48">
        <v>596</v>
      </c>
      <c r="BG48">
        <v>5040</v>
      </c>
      <c r="BH48">
        <v>6496</v>
      </c>
      <c r="BI48">
        <v>3764</v>
      </c>
      <c r="BJ48">
        <v>5085</v>
      </c>
      <c r="BK48">
        <v>9590</v>
      </c>
      <c r="BL48">
        <v>2139</v>
      </c>
      <c r="BM48">
        <v>12287</v>
      </c>
      <c r="BN48">
        <v>258</v>
      </c>
      <c r="BO48">
        <v>613</v>
      </c>
      <c r="BP48">
        <v>358</v>
      </c>
      <c r="BQ48">
        <v>2049</v>
      </c>
      <c r="BR48">
        <v>658</v>
      </c>
      <c r="BS48">
        <v>2138</v>
      </c>
      <c r="BT48">
        <v>1315</v>
      </c>
      <c r="BU48">
        <v>4897</v>
      </c>
      <c r="BV48">
        <v>918</v>
      </c>
      <c r="BW48">
        <v>37</v>
      </c>
      <c r="BX48">
        <v>9</v>
      </c>
      <c r="BY48">
        <v>0</v>
      </c>
      <c r="BZ48">
        <v>796</v>
      </c>
      <c r="CA48">
        <v>75</v>
      </c>
      <c r="CB48">
        <v>83420</v>
      </c>
    </row>
    <row r="49" spans="1:80">
      <c r="A49" t="s">
        <v>170</v>
      </c>
      <c r="B49" t="s">
        <v>196</v>
      </c>
      <c r="C49">
        <v>3663</v>
      </c>
      <c r="D49">
        <v>120</v>
      </c>
      <c r="E49">
        <v>59</v>
      </c>
      <c r="F49">
        <v>239</v>
      </c>
      <c r="G49">
        <v>729</v>
      </c>
      <c r="H49">
        <v>230</v>
      </c>
      <c r="I49">
        <v>666</v>
      </c>
      <c r="J49">
        <v>104</v>
      </c>
      <c r="K49">
        <v>678</v>
      </c>
      <c r="L49">
        <v>155</v>
      </c>
      <c r="M49">
        <v>683</v>
      </c>
      <c r="N49">
        <v>589</v>
      </c>
      <c r="O49">
        <v>434</v>
      </c>
      <c r="P49">
        <v>155</v>
      </c>
      <c r="Q49">
        <v>1624</v>
      </c>
      <c r="R49">
        <v>0</v>
      </c>
      <c r="S49">
        <v>64</v>
      </c>
      <c r="T49">
        <v>118</v>
      </c>
      <c r="U49">
        <v>480</v>
      </c>
      <c r="V49">
        <v>173</v>
      </c>
      <c r="W49">
        <v>139</v>
      </c>
      <c r="X49">
        <v>191</v>
      </c>
      <c r="Y49">
        <v>200</v>
      </c>
      <c r="Z49">
        <v>259</v>
      </c>
      <c r="AA49">
        <v>4324</v>
      </c>
      <c r="AB49">
        <v>28</v>
      </c>
      <c r="AC49">
        <v>4223</v>
      </c>
      <c r="AD49">
        <v>72</v>
      </c>
      <c r="AE49">
        <v>270</v>
      </c>
      <c r="AF49">
        <v>6</v>
      </c>
      <c r="AG49">
        <v>238</v>
      </c>
      <c r="AH49">
        <v>24</v>
      </c>
      <c r="AI49">
        <v>11034</v>
      </c>
      <c r="AJ49">
        <v>2265</v>
      </c>
      <c r="AK49">
        <v>779</v>
      </c>
      <c r="AL49">
        <v>472</v>
      </c>
      <c r="AM49">
        <v>2843</v>
      </c>
      <c r="AN49">
        <v>825</v>
      </c>
      <c r="AO49">
        <v>775</v>
      </c>
      <c r="AP49">
        <v>1010</v>
      </c>
      <c r="AQ49">
        <v>871</v>
      </c>
      <c r="AR49">
        <v>1197</v>
      </c>
      <c r="AS49">
        <v>13020</v>
      </c>
      <c r="AT49">
        <v>137</v>
      </c>
      <c r="AU49">
        <v>1318</v>
      </c>
      <c r="AV49">
        <v>419</v>
      </c>
      <c r="AW49">
        <v>2092</v>
      </c>
      <c r="AX49">
        <v>2600</v>
      </c>
      <c r="AY49">
        <v>1555</v>
      </c>
      <c r="AZ49">
        <v>1609</v>
      </c>
      <c r="BA49">
        <v>874</v>
      </c>
      <c r="BB49">
        <v>2415</v>
      </c>
      <c r="BC49">
        <v>44331</v>
      </c>
      <c r="BD49">
        <v>2163</v>
      </c>
      <c r="BE49">
        <v>4455</v>
      </c>
      <c r="BF49">
        <v>531</v>
      </c>
      <c r="BG49">
        <v>5855</v>
      </c>
      <c r="BH49">
        <v>7089</v>
      </c>
      <c r="BI49">
        <v>4140</v>
      </c>
      <c r="BJ49">
        <v>5716</v>
      </c>
      <c r="BK49">
        <v>11724</v>
      </c>
      <c r="BL49">
        <v>2660</v>
      </c>
      <c r="BM49">
        <v>14555</v>
      </c>
      <c r="BN49">
        <v>309</v>
      </c>
      <c r="BO49">
        <v>751</v>
      </c>
      <c r="BP49">
        <v>360</v>
      </c>
      <c r="BQ49">
        <v>2419</v>
      </c>
      <c r="BR49">
        <v>780</v>
      </c>
      <c r="BS49">
        <v>2457</v>
      </c>
      <c r="BT49">
        <v>1421</v>
      </c>
      <c r="BU49">
        <v>6058</v>
      </c>
      <c r="BV49">
        <v>3369</v>
      </c>
      <c r="BW49">
        <v>43</v>
      </c>
      <c r="BX49">
        <v>4</v>
      </c>
      <c r="BY49">
        <v>0</v>
      </c>
      <c r="BZ49">
        <v>3174</v>
      </c>
      <c r="CA49">
        <v>148</v>
      </c>
      <c r="CB49">
        <v>96773</v>
      </c>
    </row>
    <row r="50" spans="1:80">
      <c r="A50" t="s">
        <v>171</v>
      </c>
      <c r="B50" t="s">
        <v>196</v>
      </c>
      <c r="C50">
        <v>3841</v>
      </c>
      <c r="D50">
        <v>125</v>
      </c>
      <c r="E50">
        <v>98</v>
      </c>
      <c r="F50">
        <v>274</v>
      </c>
      <c r="G50">
        <v>779</v>
      </c>
      <c r="H50">
        <v>253</v>
      </c>
      <c r="I50">
        <v>742</v>
      </c>
      <c r="J50">
        <v>106</v>
      </c>
      <c r="K50">
        <v>630</v>
      </c>
      <c r="L50">
        <v>144</v>
      </c>
      <c r="M50">
        <v>693</v>
      </c>
      <c r="N50">
        <v>672</v>
      </c>
      <c r="O50">
        <v>496</v>
      </c>
      <c r="P50">
        <v>176</v>
      </c>
      <c r="Q50">
        <v>1624</v>
      </c>
      <c r="R50">
        <v>0</v>
      </c>
      <c r="S50">
        <v>68</v>
      </c>
      <c r="T50">
        <v>104</v>
      </c>
      <c r="U50">
        <v>486</v>
      </c>
      <c r="V50">
        <v>203</v>
      </c>
      <c r="W50">
        <v>139</v>
      </c>
      <c r="X50">
        <v>157</v>
      </c>
      <c r="Y50">
        <v>182</v>
      </c>
      <c r="Z50">
        <v>282</v>
      </c>
      <c r="AA50">
        <v>5909</v>
      </c>
      <c r="AB50">
        <v>26</v>
      </c>
      <c r="AC50">
        <v>5797</v>
      </c>
      <c r="AD50">
        <v>86</v>
      </c>
      <c r="AE50">
        <v>287</v>
      </c>
      <c r="AF50">
        <v>6</v>
      </c>
      <c r="AG50">
        <v>244</v>
      </c>
      <c r="AH50">
        <v>34</v>
      </c>
      <c r="AI50">
        <v>11768</v>
      </c>
      <c r="AJ50">
        <v>2557</v>
      </c>
      <c r="AK50">
        <v>660</v>
      </c>
      <c r="AL50">
        <v>500</v>
      </c>
      <c r="AM50">
        <v>3212</v>
      </c>
      <c r="AN50">
        <v>884</v>
      </c>
      <c r="AO50">
        <v>746</v>
      </c>
      <c r="AP50">
        <v>1041</v>
      </c>
      <c r="AQ50">
        <v>901</v>
      </c>
      <c r="AR50">
        <v>1261</v>
      </c>
      <c r="AS50">
        <v>12926</v>
      </c>
      <c r="AT50">
        <v>159</v>
      </c>
      <c r="AU50">
        <v>1231</v>
      </c>
      <c r="AV50">
        <v>510</v>
      </c>
      <c r="AW50">
        <v>2186</v>
      </c>
      <c r="AX50">
        <v>2579</v>
      </c>
      <c r="AY50">
        <v>1678</v>
      </c>
      <c r="AZ50">
        <v>1413</v>
      </c>
      <c r="BA50">
        <v>794</v>
      </c>
      <c r="BB50">
        <v>2384</v>
      </c>
      <c r="BC50">
        <v>47802</v>
      </c>
      <c r="BD50">
        <v>2363</v>
      </c>
      <c r="BE50">
        <v>4063</v>
      </c>
      <c r="BF50">
        <v>436</v>
      </c>
      <c r="BG50">
        <v>5355</v>
      </c>
      <c r="BH50">
        <v>7199</v>
      </c>
      <c r="BI50">
        <v>5907</v>
      </c>
      <c r="BJ50">
        <v>5897</v>
      </c>
      <c r="BK50">
        <v>12373</v>
      </c>
      <c r="BL50">
        <v>4208</v>
      </c>
      <c r="BM50">
        <v>14516</v>
      </c>
      <c r="BN50">
        <v>325</v>
      </c>
      <c r="BO50">
        <v>893</v>
      </c>
      <c r="BP50">
        <v>382</v>
      </c>
      <c r="BQ50">
        <v>2573</v>
      </c>
      <c r="BR50">
        <v>782</v>
      </c>
      <c r="BS50">
        <v>2494</v>
      </c>
      <c r="BT50">
        <v>1447</v>
      </c>
      <c r="BU50">
        <v>5617</v>
      </c>
      <c r="BV50">
        <v>2168</v>
      </c>
      <c r="BW50">
        <v>37</v>
      </c>
      <c r="BX50">
        <v>7</v>
      </c>
      <c r="BY50">
        <v>5</v>
      </c>
      <c r="BZ50">
        <v>2005</v>
      </c>
      <c r="CA50">
        <v>112</v>
      </c>
      <c r="CB50">
        <v>101517</v>
      </c>
    </row>
    <row r="51" spans="1:80">
      <c r="A51" t="s">
        <v>172</v>
      </c>
      <c r="B51" t="s">
        <v>196</v>
      </c>
      <c r="C51">
        <v>4082</v>
      </c>
      <c r="D51">
        <v>97</v>
      </c>
      <c r="E51">
        <v>162</v>
      </c>
      <c r="F51">
        <v>277</v>
      </c>
      <c r="G51">
        <v>803</v>
      </c>
      <c r="H51">
        <v>296</v>
      </c>
      <c r="I51">
        <v>744</v>
      </c>
      <c r="J51">
        <v>118</v>
      </c>
      <c r="K51">
        <v>602</v>
      </c>
      <c r="L51">
        <v>152</v>
      </c>
      <c r="M51">
        <v>827</v>
      </c>
      <c r="N51">
        <v>797</v>
      </c>
      <c r="O51">
        <v>611</v>
      </c>
      <c r="P51">
        <v>186</v>
      </c>
      <c r="Q51">
        <v>2043</v>
      </c>
      <c r="R51">
        <v>0</v>
      </c>
      <c r="S51">
        <v>91</v>
      </c>
      <c r="T51">
        <v>117</v>
      </c>
      <c r="U51">
        <v>666</v>
      </c>
      <c r="V51">
        <v>337</v>
      </c>
      <c r="W51">
        <v>146</v>
      </c>
      <c r="X51">
        <v>176</v>
      </c>
      <c r="Y51">
        <v>233</v>
      </c>
      <c r="Z51">
        <v>272</v>
      </c>
      <c r="AA51">
        <v>9490</v>
      </c>
      <c r="AB51">
        <v>16</v>
      </c>
      <c r="AC51">
        <v>9315</v>
      </c>
      <c r="AD51">
        <v>162</v>
      </c>
      <c r="AE51">
        <v>283</v>
      </c>
      <c r="AF51">
        <v>9</v>
      </c>
      <c r="AG51">
        <v>237</v>
      </c>
      <c r="AH51">
        <v>35</v>
      </c>
      <c r="AI51">
        <v>13312</v>
      </c>
      <c r="AJ51">
        <v>2904</v>
      </c>
      <c r="AK51">
        <v>745</v>
      </c>
      <c r="AL51">
        <v>546</v>
      </c>
      <c r="AM51">
        <v>4002</v>
      </c>
      <c r="AN51">
        <v>954</v>
      </c>
      <c r="AO51">
        <v>729</v>
      </c>
      <c r="AP51">
        <v>1141</v>
      </c>
      <c r="AQ51">
        <v>974</v>
      </c>
      <c r="AR51">
        <v>1318</v>
      </c>
      <c r="AS51">
        <v>14169</v>
      </c>
      <c r="AT51">
        <v>177</v>
      </c>
      <c r="AU51">
        <v>1312</v>
      </c>
      <c r="AV51">
        <v>571</v>
      </c>
      <c r="AW51">
        <v>2467</v>
      </c>
      <c r="AX51">
        <v>2662</v>
      </c>
      <c r="AY51">
        <v>1940</v>
      </c>
      <c r="AZ51">
        <v>1506</v>
      </c>
      <c r="BA51">
        <v>846</v>
      </c>
      <c r="BB51">
        <v>2684</v>
      </c>
      <c r="BC51">
        <v>54476</v>
      </c>
      <c r="BD51">
        <v>2721</v>
      </c>
      <c r="BE51">
        <v>3972</v>
      </c>
      <c r="BF51">
        <v>435</v>
      </c>
      <c r="BG51">
        <v>5576</v>
      </c>
      <c r="BH51">
        <v>8498</v>
      </c>
      <c r="BI51">
        <v>8231</v>
      </c>
      <c r="BJ51">
        <v>6765</v>
      </c>
      <c r="BK51">
        <v>14122</v>
      </c>
      <c r="BL51">
        <v>4154</v>
      </c>
      <c r="BM51">
        <v>16457</v>
      </c>
      <c r="BN51">
        <v>375</v>
      </c>
      <c r="BO51">
        <v>1110</v>
      </c>
      <c r="BP51">
        <v>454</v>
      </c>
      <c r="BQ51">
        <v>3058</v>
      </c>
      <c r="BR51">
        <v>903</v>
      </c>
      <c r="BS51">
        <v>2656</v>
      </c>
      <c r="BT51">
        <v>1597</v>
      </c>
      <c r="BU51">
        <v>6298</v>
      </c>
      <c r="BV51">
        <v>1849</v>
      </c>
      <c r="BW51">
        <v>59</v>
      </c>
      <c r="BX51">
        <v>9</v>
      </c>
      <c r="BY51">
        <v>1</v>
      </c>
      <c r="BZ51">
        <v>1646</v>
      </c>
      <c r="CA51">
        <v>134</v>
      </c>
      <c r="CB51">
        <v>116954</v>
      </c>
    </row>
    <row r="52" spans="1:80">
      <c r="A52" t="s">
        <v>173</v>
      </c>
      <c r="B52" t="s">
        <v>196</v>
      </c>
      <c r="C52">
        <v>4461</v>
      </c>
      <c r="D52">
        <v>68</v>
      </c>
      <c r="E52">
        <v>175</v>
      </c>
      <c r="F52">
        <v>328</v>
      </c>
      <c r="G52">
        <v>905</v>
      </c>
      <c r="H52">
        <v>299</v>
      </c>
      <c r="I52">
        <v>798</v>
      </c>
      <c r="J52">
        <v>128</v>
      </c>
      <c r="K52">
        <v>604</v>
      </c>
      <c r="L52">
        <v>236</v>
      </c>
      <c r="M52">
        <v>918</v>
      </c>
      <c r="N52">
        <v>935</v>
      </c>
      <c r="O52">
        <v>719</v>
      </c>
      <c r="P52">
        <v>217</v>
      </c>
      <c r="Q52">
        <v>1744</v>
      </c>
      <c r="R52">
        <v>2</v>
      </c>
      <c r="S52">
        <v>41</v>
      </c>
      <c r="T52">
        <v>131</v>
      </c>
      <c r="U52">
        <v>435</v>
      </c>
      <c r="V52">
        <v>247</v>
      </c>
      <c r="W52">
        <v>145</v>
      </c>
      <c r="X52">
        <v>204</v>
      </c>
      <c r="Y52">
        <v>266</v>
      </c>
      <c r="Z52">
        <v>269</v>
      </c>
      <c r="AA52">
        <v>9942</v>
      </c>
      <c r="AB52">
        <v>12</v>
      </c>
      <c r="AC52">
        <v>9801</v>
      </c>
      <c r="AD52">
        <v>131</v>
      </c>
      <c r="AE52">
        <v>285</v>
      </c>
      <c r="AF52">
        <v>16</v>
      </c>
      <c r="AG52">
        <v>238</v>
      </c>
      <c r="AH52">
        <v>33</v>
      </c>
      <c r="AI52">
        <v>14584</v>
      </c>
      <c r="AJ52">
        <v>2694</v>
      </c>
      <c r="AK52">
        <v>1089</v>
      </c>
      <c r="AL52">
        <v>564</v>
      </c>
      <c r="AM52">
        <v>4618</v>
      </c>
      <c r="AN52">
        <v>1170</v>
      </c>
      <c r="AO52">
        <v>832</v>
      </c>
      <c r="AP52">
        <v>1197</v>
      </c>
      <c r="AQ52">
        <v>981</v>
      </c>
      <c r="AR52">
        <v>1439</v>
      </c>
      <c r="AS52">
        <v>14186</v>
      </c>
      <c r="AT52">
        <v>198</v>
      </c>
      <c r="AU52">
        <v>1530</v>
      </c>
      <c r="AV52">
        <v>532</v>
      </c>
      <c r="AW52">
        <v>2320</v>
      </c>
      <c r="AX52">
        <v>2515</v>
      </c>
      <c r="AY52">
        <v>1884</v>
      </c>
      <c r="AZ52">
        <v>1584</v>
      </c>
      <c r="BA52">
        <v>911</v>
      </c>
      <c r="BB52">
        <v>2714</v>
      </c>
      <c r="BC52">
        <v>52218</v>
      </c>
      <c r="BD52">
        <v>3056</v>
      </c>
      <c r="BE52">
        <v>3902</v>
      </c>
      <c r="BF52">
        <v>520</v>
      </c>
      <c r="BG52">
        <v>6114</v>
      </c>
      <c r="BH52">
        <v>7830</v>
      </c>
      <c r="BI52">
        <v>7056</v>
      </c>
      <c r="BJ52">
        <v>6614</v>
      </c>
      <c r="BK52">
        <v>14209</v>
      </c>
      <c r="BL52">
        <v>2922</v>
      </c>
      <c r="BM52">
        <v>17042</v>
      </c>
      <c r="BN52">
        <v>389</v>
      </c>
      <c r="BO52">
        <v>1129</v>
      </c>
      <c r="BP52">
        <v>477</v>
      </c>
      <c r="BQ52">
        <v>3168</v>
      </c>
      <c r="BR52">
        <v>939</v>
      </c>
      <c r="BS52">
        <v>2972</v>
      </c>
      <c r="BT52">
        <v>1613</v>
      </c>
      <c r="BU52">
        <v>6354</v>
      </c>
      <c r="BV52">
        <v>2345</v>
      </c>
      <c r="BW52">
        <v>43</v>
      </c>
      <c r="BX52">
        <v>7</v>
      </c>
      <c r="BY52">
        <v>0</v>
      </c>
      <c r="BZ52">
        <v>2155</v>
      </c>
      <c r="CA52">
        <v>138</v>
      </c>
      <c r="CB52">
        <v>117745</v>
      </c>
    </row>
    <row r="53" spans="1:80">
      <c r="A53" t="s">
        <v>174</v>
      </c>
      <c r="B53" t="s">
        <v>196</v>
      </c>
      <c r="C53">
        <v>4773</v>
      </c>
      <c r="D53">
        <v>85</v>
      </c>
      <c r="E53">
        <v>219</v>
      </c>
      <c r="F53">
        <v>296</v>
      </c>
      <c r="G53">
        <v>918</v>
      </c>
      <c r="H53">
        <v>302</v>
      </c>
      <c r="I53">
        <v>869</v>
      </c>
      <c r="J53">
        <v>151</v>
      </c>
      <c r="K53">
        <v>666</v>
      </c>
      <c r="L53">
        <v>302</v>
      </c>
      <c r="M53">
        <v>967</v>
      </c>
      <c r="N53">
        <v>968</v>
      </c>
      <c r="O53">
        <v>681</v>
      </c>
      <c r="P53">
        <v>284</v>
      </c>
      <c r="Q53">
        <v>1885</v>
      </c>
      <c r="R53">
        <v>3</v>
      </c>
      <c r="S53">
        <v>45</v>
      </c>
      <c r="T53">
        <v>122</v>
      </c>
      <c r="U53">
        <v>561</v>
      </c>
      <c r="V53">
        <v>251</v>
      </c>
      <c r="W53">
        <v>163</v>
      </c>
      <c r="X53">
        <v>206</v>
      </c>
      <c r="Y53">
        <v>251</v>
      </c>
      <c r="Z53">
        <v>283</v>
      </c>
      <c r="AA53">
        <v>9305</v>
      </c>
      <c r="AB53">
        <v>22</v>
      </c>
      <c r="AC53">
        <v>9163</v>
      </c>
      <c r="AD53">
        <v>121</v>
      </c>
      <c r="AE53">
        <v>339</v>
      </c>
      <c r="AF53">
        <v>18</v>
      </c>
      <c r="AG53">
        <v>283</v>
      </c>
      <c r="AH53">
        <v>40</v>
      </c>
      <c r="AI53">
        <v>14744</v>
      </c>
      <c r="AJ53">
        <v>2452</v>
      </c>
      <c r="AK53">
        <v>708</v>
      </c>
      <c r="AL53">
        <v>543</v>
      </c>
      <c r="AM53">
        <v>5198</v>
      </c>
      <c r="AN53">
        <v>1215</v>
      </c>
      <c r="AO53">
        <v>789</v>
      </c>
      <c r="AP53">
        <v>1299</v>
      </c>
      <c r="AQ53">
        <v>1028</v>
      </c>
      <c r="AR53">
        <v>1511</v>
      </c>
      <c r="AS53">
        <v>15602</v>
      </c>
      <c r="AT53">
        <v>215</v>
      </c>
      <c r="AU53">
        <v>1710</v>
      </c>
      <c r="AV53">
        <v>663</v>
      </c>
      <c r="AW53">
        <v>2441</v>
      </c>
      <c r="AX53">
        <v>2707</v>
      </c>
      <c r="AY53">
        <v>2087</v>
      </c>
      <c r="AZ53">
        <v>1837</v>
      </c>
      <c r="BA53">
        <v>955</v>
      </c>
      <c r="BB53">
        <v>2985</v>
      </c>
      <c r="BC53">
        <v>58457</v>
      </c>
      <c r="BD53">
        <v>3097</v>
      </c>
      <c r="BE53">
        <v>4456</v>
      </c>
      <c r="BF53">
        <v>601</v>
      </c>
      <c r="BG53">
        <v>6709</v>
      </c>
      <c r="BH53">
        <v>7961</v>
      </c>
      <c r="BI53">
        <v>6795</v>
      </c>
      <c r="BJ53">
        <v>6788</v>
      </c>
      <c r="BK53">
        <v>15832</v>
      </c>
      <c r="BL53">
        <v>6217</v>
      </c>
      <c r="BM53">
        <v>18388</v>
      </c>
      <c r="BN53">
        <v>419</v>
      </c>
      <c r="BO53">
        <v>1384</v>
      </c>
      <c r="BP53">
        <v>467</v>
      </c>
      <c r="BQ53">
        <v>3342</v>
      </c>
      <c r="BR53">
        <v>1033</v>
      </c>
      <c r="BS53">
        <v>2982</v>
      </c>
      <c r="BT53">
        <v>1556</v>
      </c>
      <c r="BU53">
        <v>7205</v>
      </c>
      <c r="BV53">
        <v>3203</v>
      </c>
      <c r="BW53">
        <v>40</v>
      </c>
      <c r="BX53">
        <v>8</v>
      </c>
      <c r="BY53">
        <v>0</v>
      </c>
      <c r="BZ53">
        <v>2513</v>
      </c>
      <c r="CA53">
        <v>643</v>
      </c>
      <c r="CB53">
        <v>127665</v>
      </c>
    </row>
    <row r="54" spans="1:80">
      <c r="A54" t="s">
        <v>175</v>
      </c>
      <c r="B54" t="s">
        <v>196</v>
      </c>
      <c r="C54">
        <v>5171</v>
      </c>
      <c r="D54">
        <v>82</v>
      </c>
      <c r="E54">
        <v>234</v>
      </c>
      <c r="F54">
        <v>319</v>
      </c>
      <c r="G54">
        <v>949</v>
      </c>
      <c r="H54">
        <v>409</v>
      </c>
      <c r="I54">
        <v>957</v>
      </c>
      <c r="J54">
        <v>192</v>
      </c>
      <c r="K54">
        <v>670</v>
      </c>
      <c r="L54">
        <v>310</v>
      </c>
      <c r="M54">
        <v>1049</v>
      </c>
      <c r="N54">
        <v>960</v>
      </c>
      <c r="O54">
        <v>705</v>
      </c>
      <c r="P54">
        <v>254</v>
      </c>
      <c r="Q54">
        <v>1939</v>
      </c>
      <c r="R54">
        <v>2</v>
      </c>
      <c r="S54">
        <v>71</v>
      </c>
      <c r="T54">
        <v>133</v>
      </c>
      <c r="U54">
        <v>598</v>
      </c>
      <c r="V54">
        <v>233</v>
      </c>
      <c r="W54">
        <v>167</v>
      </c>
      <c r="X54">
        <v>189</v>
      </c>
      <c r="Y54">
        <v>270</v>
      </c>
      <c r="Z54">
        <v>274</v>
      </c>
      <c r="AA54">
        <v>10031</v>
      </c>
      <c r="AB54">
        <v>17</v>
      </c>
      <c r="AC54">
        <v>9917</v>
      </c>
      <c r="AD54">
        <v>99</v>
      </c>
      <c r="AE54">
        <v>355</v>
      </c>
      <c r="AF54">
        <v>25</v>
      </c>
      <c r="AG54">
        <v>290</v>
      </c>
      <c r="AH54">
        <v>42</v>
      </c>
      <c r="AI54">
        <v>14936</v>
      </c>
      <c r="AJ54">
        <v>2371</v>
      </c>
      <c r="AK54">
        <v>692</v>
      </c>
      <c r="AL54">
        <v>537</v>
      </c>
      <c r="AM54">
        <v>5526</v>
      </c>
      <c r="AN54">
        <v>1268</v>
      </c>
      <c r="AO54">
        <v>767</v>
      </c>
      <c r="AP54">
        <v>1279</v>
      </c>
      <c r="AQ54">
        <v>1040</v>
      </c>
      <c r="AR54">
        <v>1458</v>
      </c>
      <c r="AS54">
        <v>15809</v>
      </c>
      <c r="AT54">
        <v>174</v>
      </c>
      <c r="AU54">
        <v>1731</v>
      </c>
      <c r="AV54">
        <v>657</v>
      </c>
      <c r="AW54">
        <v>2475</v>
      </c>
      <c r="AX54">
        <v>2551</v>
      </c>
      <c r="AY54">
        <v>2054</v>
      </c>
      <c r="AZ54">
        <v>1998</v>
      </c>
      <c r="BA54">
        <v>1044</v>
      </c>
      <c r="BB54">
        <v>3120</v>
      </c>
      <c r="BC54">
        <v>59167</v>
      </c>
      <c r="BD54">
        <v>3011</v>
      </c>
      <c r="BE54">
        <v>4559</v>
      </c>
      <c r="BF54">
        <v>813</v>
      </c>
      <c r="BG54">
        <v>6956</v>
      </c>
      <c r="BH54">
        <v>7519</v>
      </c>
      <c r="BI54">
        <v>7028</v>
      </c>
      <c r="BJ54">
        <v>6897</v>
      </c>
      <c r="BK54">
        <v>17210</v>
      </c>
      <c r="BL54">
        <v>5172</v>
      </c>
      <c r="BM54">
        <v>18348</v>
      </c>
      <c r="BN54">
        <v>451</v>
      </c>
      <c r="BO54">
        <v>1515</v>
      </c>
      <c r="BP54">
        <v>469</v>
      </c>
      <c r="BQ54">
        <v>3363</v>
      </c>
      <c r="BR54">
        <v>917</v>
      </c>
      <c r="BS54">
        <v>3065</v>
      </c>
      <c r="BT54">
        <v>1378</v>
      </c>
      <c r="BU54">
        <v>7188</v>
      </c>
      <c r="BV54">
        <v>3269</v>
      </c>
      <c r="BW54">
        <v>29</v>
      </c>
      <c r="BX54">
        <v>2</v>
      </c>
      <c r="BY54">
        <v>0</v>
      </c>
      <c r="BZ54">
        <v>2913</v>
      </c>
      <c r="CA54">
        <v>321</v>
      </c>
      <c r="CB54">
        <v>129984</v>
      </c>
    </row>
    <row r="55" spans="1:80">
      <c r="A55" t="s">
        <v>176</v>
      </c>
      <c r="B55" t="s">
        <v>196</v>
      </c>
      <c r="C55">
        <v>5271</v>
      </c>
      <c r="D55">
        <v>66</v>
      </c>
      <c r="E55">
        <v>285</v>
      </c>
      <c r="F55">
        <v>354</v>
      </c>
      <c r="G55">
        <v>920</v>
      </c>
      <c r="H55">
        <v>381</v>
      </c>
      <c r="I55">
        <v>1061</v>
      </c>
      <c r="J55">
        <v>174</v>
      </c>
      <c r="K55">
        <v>671</v>
      </c>
      <c r="L55">
        <v>267</v>
      </c>
      <c r="M55">
        <v>1091</v>
      </c>
      <c r="N55">
        <v>951</v>
      </c>
      <c r="O55">
        <v>785</v>
      </c>
      <c r="P55">
        <v>165</v>
      </c>
      <c r="Q55">
        <v>1892</v>
      </c>
      <c r="R55">
        <v>0</v>
      </c>
      <c r="S55">
        <v>64</v>
      </c>
      <c r="T55">
        <v>135</v>
      </c>
      <c r="U55">
        <v>601</v>
      </c>
      <c r="V55">
        <v>240</v>
      </c>
      <c r="W55">
        <v>155</v>
      </c>
      <c r="X55">
        <v>178</v>
      </c>
      <c r="Y55">
        <v>254</v>
      </c>
      <c r="Z55">
        <v>262</v>
      </c>
      <c r="AA55">
        <v>12864</v>
      </c>
      <c r="AB55">
        <v>18</v>
      </c>
      <c r="AC55">
        <v>12700</v>
      </c>
      <c r="AD55">
        <v>147</v>
      </c>
      <c r="AE55">
        <v>380</v>
      </c>
      <c r="AF55">
        <v>18</v>
      </c>
      <c r="AG55">
        <v>323</v>
      </c>
      <c r="AH55">
        <v>43</v>
      </c>
      <c r="AI55">
        <v>16359</v>
      </c>
      <c r="AJ55">
        <v>2572</v>
      </c>
      <c r="AK55">
        <v>725</v>
      </c>
      <c r="AL55">
        <v>531</v>
      </c>
      <c r="AM55">
        <v>6525</v>
      </c>
      <c r="AN55">
        <v>1295</v>
      </c>
      <c r="AO55">
        <v>883</v>
      </c>
      <c r="AP55">
        <v>1243</v>
      </c>
      <c r="AQ55">
        <v>1068</v>
      </c>
      <c r="AR55">
        <v>1521</v>
      </c>
      <c r="AS55">
        <v>16724</v>
      </c>
      <c r="AT55">
        <v>164</v>
      </c>
      <c r="AU55">
        <v>1767</v>
      </c>
      <c r="AV55">
        <v>666</v>
      </c>
      <c r="AW55">
        <v>2508</v>
      </c>
      <c r="AX55">
        <v>2483</v>
      </c>
      <c r="AY55">
        <v>2167</v>
      </c>
      <c r="AZ55">
        <v>2493</v>
      </c>
      <c r="BA55">
        <v>965</v>
      </c>
      <c r="BB55">
        <v>3515</v>
      </c>
      <c r="BC55">
        <v>64231</v>
      </c>
      <c r="BD55">
        <v>3121</v>
      </c>
      <c r="BE55">
        <v>5517</v>
      </c>
      <c r="BF55">
        <v>645</v>
      </c>
      <c r="BG55">
        <v>7720</v>
      </c>
      <c r="BH55">
        <v>8206</v>
      </c>
      <c r="BI55">
        <v>8514</v>
      </c>
      <c r="BJ55">
        <v>7517</v>
      </c>
      <c r="BK55">
        <v>18417</v>
      </c>
      <c r="BL55">
        <v>4576</v>
      </c>
      <c r="BM55">
        <v>19867</v>
      </c>
      <c r="BN55">
        <v>494</v>
      </c>
      <c r="BO55">
        <v>1799</v>
      </c>
      <c r="BP55">
        <v>528</v>
      </c>
      <c r="BQ55">
        <v>3625</v>
      </c>
      <c r="BR55">
        <v>961</v>
      </c>
      <c r="BS55">
        <v>3478</v>
      </c>
      <c r="BT55">
        <v>1337</v>
      </c>
      <c r="BU55">
        <v>7653</v>
      </c>
      <c r="BV55">
        <v>2707</v>
      </c>
      <c r="BW55">
        <v>29</v>
      </c>
      <c r="BX55">
        <v>7</v>
      </c>
      <c r="BY55">
        <v>17</v>
      </c>
      <c r="BZ55">
        <v>2453</v>
      </c>
      <c r="CA55">
        <v>202</v>
      </c>
      <c r="CB55">
        <v>141247</v>
      </c>
    </row>
    <row r="56" spans="1:80">
      <c r="A56" t="s">
        <v>177</v>
      </c>
      <c r="B56" t="s">
        <v>196</v>
      </c>
      <c r="C56">
        <v>5773</v>
      </c>
      <c r="D56">
        <v>94</v>
      </c>
      <c r="E56">
        <v>364</v>
      </c>
      <c r="F56">
        <v>394</v>
      </c>
      <c r="G56">
        <v>987</v>
      </c>
      <c r="H56">
        <v>425</v>
      </c>
      <c r="I56">
        <v>1126</v>
      </c>
      <c r="J56">
        <v>182</v>
      </c>
      <c r="K56">
        <v>740</v>
      </c>
      <c r="L56">
        <v>286</v>
      </c>
      <c r="M56">
        <v>1172</v>
      </c>
      <c r="N56">
        <v>1030</v>
      </c>
      <c r="O56">
        <v>850</v>
      </c>
      <c r="P56">
        <v>182</v>
      </c>
      <c r="Q56">
        <v>1952</v>
      </c>
      <c r="R56">
        <v>0</v>
      </c>
      <c r="S56">
        <v>67</v>
      </c>
      <c r="T56">
        <v>152</v>
      </c>
      <c r="U56">
        <v>581</v>
      </c>
      <c r="V56">
        <v>236</v>
      </c>
      <c r="W56">
        <v>143</v>
      </c>
      <c r="X56">
        <v>179</v>
      </c>
      <c r="Y56">
        <v>333</v>
      </c>
      <c r="Z56">
        <v>260</v>
      </c>
      <c r="AA56">
        <v>17218</v>
      </c>
      <c r="AB56">
        <v>23</v>
      </c>
      <c r="AC56">
        <v>17040</v>
      </c>
      <c r="AD56">
        <v>155</v>
      </c>
      <c r="AE56">
        <v>368</v>
      </c>
      <c r="AF56">
        <v>19</v>
      </c>
      <c r="AG56">
        <v>305</v>
      </c>
      <c r="AH56">
        <v>44</v>
      </c>
      <c r="AI56">
        <v>18091</v>
      </c>
      <c r="AJ56">
        <v>2892</v>
      </c>
      <c r="AK56">
        <v>1034</v>
      </c>
      <c r="AL56">
        <v>537</v>
      </c>
      <c r="AM56">
        <v>7149</v>
      </c>
      <c r="AN56">
        <v>1430</v>
      </c>
      <c r="AO56">
        <v>1023</v>
      </c>
      <c r="AP56">
        <v>1334</v>
      </c>
      <c r="AQ56">
        <v>1111</v>
      </c>
      <c r="AR56">
        <v>1585</v>
      </c>
      <c r="AS56">
        <v>18142</v>
      </c>
      <c r="AT56">
        <v>140</v>
      </c>
      <c r="AU56">
        <v>1926</v>
      </c>
      <c r="AV56">
        <v>589</v>
      </c>
      <c r="AW56">
        <v>2564</v>
      </c>
      <c r="AX56">
        <v>2312</v>
      </c>
      <c r="AY56">
        <v>2132</v>
      </c>
      <c r="AZ56">
        <v>3453</v>
      </c>
      <c r="BA56">
        <v>1096</v>
      </c>
      <c r="BB56">
        <v>3927</v>
      </c>
      <c r="BC56">
        <v>68797</v>
      </c>
      <c r="BD56">
        <v>3503</v>
      </c>
      <c r="BE56">
        <v>6243</v>
      </c>
      <c r="BF56">
        <v>870</v>
      </c>
      <c r="BG56">
        <v>8156</v>
      </c>
      <c r="BH56">
        <v>8790</v>
      </c>
      <c r="BI56">
        <v>8528</v>
      </c>
      <c r="BJ56">
        <v>7791</v>
      </c>
      <c r="BK56">
        <v>20400</v>
      </c>
      <c r="BL56">
        <v>4514</v>
      </c>
      <c r="BM56">
        <v>21271</v>
      </c>
      <c r="BN56">
        <v>511</v>
      </c>
      <c r="BO56">
        <v>1962</v>
      </c>
      <c r="BP56">
        <v>562</v>
      </c>
      <c r="BQ56">
        <v>4085</v>
      </c>
      <c r="BR56">
        <v>1051</v>
      </c>
      <c r="BS56">
        <v>3686</v>
      </c>
      <c r="BT56">
        <v>1322</v>
      </c>
      <c r="BU56">
        <v>8091</v>
      </c>
      <c r="BV56">
        <v>2966</v>
      </c>
      <c r="BW56">
        <v>30</v>
      </c>
      <c r="BX56">
        <v>3</v>
      </c>
      <c r="BY56">
        <v>0</v>
      </c>
      <c r="BZ56">
        <v>2797</v>
      </c>
      <c r="CA56">
        <v>136</v>
      </c>
      <c r="CB56">
        <v>155612</v>
      </c>
    </row>
    <row r="57" spans="1:80">
      <c r="A57" t="s">
        <v>178</v>
      </c>
      <c r="B57" t="s">
        <v>196</v>
      </c>
      <c r="C57">
        <v>6390</v>
      </c>
      <c r="D57">
        <v>124</v>
      </c>
      <c r="E57">
        <v>382</v>
      </c>
      <c r="F57">
        <v>440</v>
      </c>
      <c r="G57">
        <v>1132</v>
      </c>
      <c r="H57">
        <v>498</v>
      </c>
      <c r="I57">
        <v>1239</v>
      </c>
      <c r="J57">
        <v>187</v>
      </c>
      <c r="K57">
        <v>796</v>
      </c>
      <c r="L57">
        <v>357</v>
      </c>
      <c r="M57">
        <v>1240</v>
      </c>
      <c r="N57">
        <v>1277</v>
      </c>
      <c r="O57">
        <v>1047</v>
      </c>
      <c r="P57">
        <v>232</v>
      </c>
      <c r="Q57">
        <v>2215</v>
      </c>
      <c r="R57">
        <v>0</v>
      </c>
      <c r="S57">
        <v>63</v>
      </c>
      <c r="T57">
        <v>186</v>
      </c>
      <c r="U57">
        <v>549</v>
      </c>
      <c r="V57">
        <v>245</v>
      </c>
      <c r="W57">
        <v>149</v>
      </c>
      <c r="X57">
        <v>171</v>
      </c>
      <c r="Y57">
        <v>561</v>
      </c>
      <c r="Z57">
        <v>292</v>
      </c>
      <c r="AA57">
        <v>23182</v>
      </c>
      <c r="AB57">
        <v>19</v>
      </c>
      <c r="AC57">
        <v>22358</v>
      </c>
      <c r="AD57">
        <v>805</v>
      </c>
      <c r="AE57">
        <v>479</v>
      </c>
      <c r="AF57">
        <v>19</v>
      </c>
      <c r="AG57">
        <v>409</v>
      </c>
      <c r="AH57">
        <v>51</v>
      </c>
      <c r="AI57">
        <v>18978</v>
      </c>
      <c r="AJ57">
        <v>3200</v>
      </c>
      <c r="AK57">
        <v>1092</v>
      </c>
      <c r="AL57">
        <v>603</v>
      </c>
      <c r="AM57">
        <v>7280</v>
      </c>
      <c r="AN57">
        <v>1551</v>
      </c>
      <c r="AO57">
        <v>778</v>
      </c>
      <c r="AP57">
        <v>1527</v>
      </c>
      <c r="AQ57">
        <v>1218</v>
      </c>
      <c r="AR57">
        <v>1730</v>
      </c>
      <c r="AS57">
        <v>19451</v>
      </c>
      <c r="AT57">
        <v>146</v>
      </c>
      <c r="AU57">
        <v>2321</v>
      </c>
      <c r="AV57">
        <v>630</v>
      </c>
      <c r="AW57">
        <v>2627</v>
      </c>
      <c r="AX57">
        <v>2437</v>
      </c>
      <c r="AY57">
        <v>2266</v>
      </c>
      <c r="AZ57">
        <v>3297</v>
      </c>
      <c r="BA57">
        <v>1481</v>
      </c>
      <c r="BB57">
        <v>4239</v>
      </c>
      <c r="BC57">
        <v>74839</v>
      </c>
      <c r="BD57">
        <v>3661</v>
      </c>
      <c r="BE57">
        <v>6831</v>
      </c>
      <c r="BF57">
        <v>726</v>
      </c>
      <c r="BG57">
        <v>9314</v>
      </c>
      <c r="BH57">
        <v>9699</v>
      </c>
      <c r="BI57">
        <v>9771</v>
      </c>
      <c r="BJ57">
        <v>8427</v>
      </c>
      <c r="BK57">
        <v>21484</v>
      </c>
      <c r="BL57">
        <v>4925</v>
      </c>
      <c r="BM57">
        <v>23218</v>
      </c>
      <c r="BN57">
        <v>591</v>
      </c>
      <c r="BO57">
        <v>2249</v>
      </c>
      <c r="BP57">
        <v>599</v>
      </c>
      <c r="BQ57">
        <v>4352</v>
      </c>
      <c r="BR57">
        <v>1163</v>
      </c>
      <c r="BS57">
        <v>4061</v>
      </c>
      <c r="BT57">
        <v>1317</v>
      </c>
      <c r="BU57">
        <v>8884</v>
      </c>
      <c r="BV57">
        <v>5994</v>
      </c>
      <c r="BW57">
        <v>41</v>
      </c>
      <c r="BX57">
        <v>1</v>
      </c>
      <c r="BY57">
        <v>0</v>
      </c>
      <c r="BZ57">
        <v>5791</v>
      </c>
      <c r="CA57">
        <v>161</v>
      </c>
      <c r="CB57">
        <v>176022</v>
      </c>
    </row>
    <row r="58" spans="1:80">
      <c r="A58" t="s">
        <v>179</v>
      </c>
      <c r="B58" t="s">
        <v>196</v>
      </c>
      <c r="C58">
        <v>7193</v>
      </c>
      <c r="D58">
        <v>108</v>
      </c>
      <c r="E58">
        <v>475</v>
      </c>
      <c r="F58">
        <v>483</v>
      </c>
      <c r="G58">
        <v>1153</v>
      </c>
      <c r="H58">
        <v>568</v>
      </c>
      <c r="I58">
        <v>1405</v>
      </c>
      <c r="J58">
        <v>225</v>
      </c>
      <c r="K58">
        <v>907</v>
      </c>
      <c r="L58">
        <v>508</v>
      </c>
      <c r="M58">
        <v>1361</v>
      </c>
      <c r="N58">
        <v>1427</v>
      </c>
      <c r="O58">
        <v>1210</v>
      </c>
      <c r="P58">
        <v>221</v>
      </c>
      <c r="Q58">
        <v>2472</v>
      </c>
      <c r="R58">
        <v>0</v>
      </c>
      <c r="S58">
        <v>71</v>
      </c>
      <c r="T58">
        <v>167</v>
      </c>
      <c r="U58">
        <v>642</v>
      </c>
      <c r="V58">
        <v>286</v>
      </c>
      <c r="W58">
        <v>141</v>
      </c>
      <c r="X58">
        <v>179</v>
      </c>
      <c r="Y58">
        <v>690</v>
      </c>
      <c r="Z58">
        <v>296</v>
      </c>
      <c r="AA58">
        <v>24442</v>
      </c>
      <c r="AB58">
        <v>19</v>
      </c>
      <c r="AC58">
        <v>23419</v>
      </c>
      <c r="AD58">
        <v>1006</v>
      </c>
      <c r="AE58">
        <v>536</v>
      </c>
      <c r="AF58">
        <v>29</v>
      </c>
      <c r="AG58">
        <v>455</v>
      </c>
      <c r="AH58">
        <v>50</v>
      </c>
      <c r="AI58">
        <v>20432</v>
      </c>
      <c r="AJ58">
        <v>3388</v>
      </c>
      <c r="AK58">
        <v>1072</v>
      </c>
      <c r="AL58">
        <v>599</v>
      </c>
      <c r="AM58">
        <v>7993</v>
      </c>
      <c r="AN58">
        <v>1609</v>
      </c>
      <c r="AO58">
        <v>924</v>
      </c>
      <c r="AP58">
        <v>1743</v>
      </c>
      <c r="AQ58">
        <v>1305</v>
      </c>
      <c r="AR58">
        <v>1799</v>
      </c>
      <c r="AS58">
        <v>21253</v>
      </c>
      <c r="AT58">
        <v>172</v>
      </c>
      <c r="AU58">
        <v>2460</v>
      </c>
      <c r="AV58">
        <v>647</v>
      </c>
      <c r="AW58">
        <v>2750</v>
      </c>
      <c r="AX58">
        <v>2473</v>
      </c>
      <c r="AY58">
        <v>2382</v>
      </c>
      <c r="AZ58">
        <v>3794</v>
      </c>
      <c r="BA58">
        <v>1880</v>
      </c>
      <c r="BB58">
        <v>4694</v>
      </c>
      <c r="BC58">
        <v>78961</v>
      </c>
      <c r="BD58">
        <v>3950</v>
      </c>
      <c r="BE58">
        <v>7087</v>
      </c>
      <c r="BF58">
        <v>809</v>
      </c>
      <c r="BG58">
        <v>9910</v>
      </c>
      <c r="BH58">
        <v>8979</v>
      </c>
      <c r="BI58">
        <v>10917</v>
      </c>
      <c r="BJ58">
        <v>8909</v>
      </c>
      <c r="BK58">
        <v>24309</v>
      </c>
      <c r="BL58">
        <v>4092</v>
      </c>
      <c r="BM58">
        <v>24491</v>
      </c>
      <c r="BN58">
        <v>662</v>
      </c>
      <c r="BO58">
        <v>2435</v>
      </c>
      <c r="BP58">
        <v>658</v>
      </c>
      <c r="BQ58">
        <v>4465</v>
      </c>
      <c r="BR58">
        <v>1170</v>
      </c>
      <c r="BS58">
        <v>4222</v>
      </c>
      <c r="BT58">
        <v>1346</v>
      </c>
      <c r="BU58">
        <v>9527</v>
      </c>
      <c r="BV58">
        <v>6580</v>
      </c>
      <c r="BW58">
        <v>38</v>
      </c>
      <c r="BX58">
        <v>3</v>
      </c>
      <c r="BY58">
        <v>0</v>
      </c>
      <c r="BZ58">
        <v>6128</v>
      </c>
      <c r="CA58">
        <v>408</v>
      </c>
      <c r="CB58">
        <v>187786</v>
      </c>
    </row>
    <row r="59" spans="1:80">
      <c r="A59" t="s">
        <v>180</v>
      </c>
      <c r="B59" t="s">
        <v>196</v>
      </c>
      <c r="C59">
        <v>8286</v>
      </c>
      <c r="D59">
        <v>139</v>
      </c>
      <c r="E59">
        <v>491</v>
      </c>
      <c r="F59">
        <v>679</v>
      </c>
      <c r="G59">
        <v>1215</v>
      </c>
      <c r="H59">
        <v>764</v>
      </c>
      <c r="I59">
        <v>1655</v>
      </c>
      <c r="J59">
        <v>237</v>
      </c>
      <c r="K59">
        <v>1087</v>
      </c>
      <c r="L59">
        <v>566</v>
      </c>
      <c r="M59">
        <v>1449</v>
      </c>
      <c r="N59">
        <v>1658</v>
      </c>
      <c r="O59">
        <v>1470</v>
      </c>
      <c r="P59">
        <v>187</v>
      </c>
      <c r="Q59">
        <v>2876</v>
      </c>
      <c r="R59">
        <v>0</v>
      </c>
      <c r="S59">
        <v>58</v>
      </c>
      <c r="T59">
        <v>228</v>
      </c>
      <c r="U59">
        <v>662</v>
      </c>
      <c r="V59">
        <v>324</v>
      </c>
      <c r="W59">
        <v>140</v>
      </c>
      <c r="X59">
        <v>547</v>
      </c>
      <c r="Y59">
        <v>580</v>
      </c>
      <c r="Z59">
        <v>337</v>
      </c>
      <c r="AA59">
        <v>35493</v>
      </c>
      <c r="AB59">
        <v>27</v>
      </c>
      <c r="AC59">
        <v>33635</v>
      </c>
      <c r="AD59">
        <v>1831</v>
      </c>
      <c r="AE59">
        <v>603</v>
      </c>
      <c r="AF59">
        <v>39</v>
      </c>
      <c r="AG59">
        <v>498</v>
      </c>
      <c r="AH59">
        <v>68</v>
      </c>
      <c r="AI59">
        <v>23851</v>
      </c>
      <c r="AJ59">
        <v>3633</v>
      </c>
      <c r="AK59">
        <v>1827</v>
      </c>
      <c r="AL59">
        <v>700</v>
      </c>
      <c r="AM59">
        <v>8337</v>
      </c>
      <c r="AN59">
        <v>1706</v>
      </c>
      <c r="AO59">
        <v>2252</v>
      </c>
      <c r="AP59">
        <v>1827</v>
      </c>
      <c r="AQ59">
        <v>1413</v>
      </c>
      <c r="AR59">
        <v>2150</v>
      </c>
      <c r="AS59">
        <v>25103</v>
      </c>
      <c r="AT59">
        <v>189</v>
      </c>
      <c r="AU59">
        <v>2712</v>
      </c>
      <c r="AV59">
        <v>711</v>
      </c>
      <c r="AW59">
        <v>2896</v>
      </c>
      <c r="AX59">
        <v>2606</v>
      </c>
      <c r="AY59">
        <v>2752</v>
      </c>
      <c r="AZ59">
        <v>5404</v>
      </c>
      <c r="BA59">
        <v>2274</v>
      </c>
      <c r="BB59">
        <v>5564</v>
      </c>
      <c r="BC59">
        <v>88025</v>
      </c>
      <c r="BD59">
        <v>5094</v>
      </c>
      <c r="BE59">
        <v>8613</v>
      </c>
      <c r="BF59">
        <v>786</v>
      </c>
      <c r="BG59">
        <v>10930</v>
      </c>
      <c r="BH59">
        <v>8946</v>
      </c>
      <c r="BI59">
        <v>11197</v>
      </c>
      <c r="BJ59">
        <v>9836</v>
      </c>
      <c r="BK59">
        <v>26458</v>
      </c>
      <c r="BL59">
        <v>6167</v>
      </c>
      <c r="BM59">
        <v>27859</v>
      </c>
      <c r="BN59">
        <v>785</v>
      </c>
      <c r="BO59">
        <v>2803</v>
      </c>
      <c r="BP59">
        <v>762</v>
      </c>
      <c r="BQ59">
        <v>5049</v>
      </c>
      <c r="BR59">
        <v>1303</v>
      </c>
      <c r="BS59">
        <v>4843</v>
      </c>
      <c r="BT59">
        <v>1426</v>
      </c>
      <c r="BU59">
        <v>10892</v>
      </c>
      <c r="BV59">
        <v>12185</v>
      </c>
      <c r="BW59">
        <v>51</v>
      </c>
      <c r="BX59">
        <v>6</v>
      </c>
      <c r="BY59">
        <v>0</v>
      </c>
      <c r="BZ59">
        <v>9733</v>
      </c>
      <c r="CA59">
        <v>2399</v>
      </c>
      <c r="CB59">
        <v>225944</v>
      </c>
    </row>
    <row r="60" spans="1:80">
      <c r="A60" t="s">
        <v>181</v>
      </c>
      <c r="B60" t="s">
        <v>196</v>
      </c>
      <c r="C60">
        <v>8638</v>
      </c>
      <c r="D60">
        <v>101</v>
      </c>
      <c r="E60">
        <v>574</v>
      </c>
      <c r="F60">
        <v>542</v>
      </c>
      <c r="G60">
        <v>1267</v>
      </c>
      <c r="H60">
        <v>833</v>
      </c>
      <c r="I60">
        <v>1611</v>
      </c>
      <c r="J60">
        <v>285</v>
      </c>
      <c r="K60">
        <v>1209</v>
      </c>
      <c r="L60">
        <v>595</v>
      </c>
      <c r="M60">
        <v>1623</v>
      </c>
      <c r="N60">
        <v>1748</v>
      </c>
      <c r="O60">
        <v>1470</v>
      </c>
      <c r="P60">
        <v>277</v>
      </c>
      <c r="Q60">
        <v>2002</v>
      </c>
      <c r="R60">
        <v>0</v>
      </c>
      <c r="S60">
        <v>50</v>
      </c>
      <c r="T60">
        <v>129</v>
      </c>
      <c r="U60">
        <v>568</v>
      </c>
      <c r="V60">
        <v>181</v>
      </c>
      <c r="W60">
        <v>138</v>
      </c>
      <c r="X60">
        <v>154</v>
      </c>
      <c r="Y60">
        <v>443</v>
      </c>
      <c r="Z60">
        <v>338</v>
      </c>
      <c r="AA60">
        <v>25411</v>
      </c>
      <c r="AB60">
        <v>25</v>
      </c>
      <c r="AC60">
        <v>23124</v>
      </c>
      <c r="AD60">
        <v>2263</v>
      </c>
      <c r="AE60">
        <v>561</v>
      </c>
      <c r="AF60">
        <v>30</v>
      </c>
      <c r="AG60">
        <v>467</v>
      </c>
      <c r="AH60">
        <v>64</v>
      </c>
      <c r="AI60">
        <v>21929</v>
      </c>
      <c r="AJ60">
        <v>3199</v>
      </c>
      <c r="AK60">
        <v>1341</v>
      </c>
      <c r="AL60">
        <v>619</v>
      </c>
      <c r="AM60">
        <v>9371</v>
      </c>
      <c r="AN60">
        <v>1841</v>
      </c>
      <c r="AO60">
        <v>941</v>
      </c>
      <c r="AP60">
        <v>1303</v>
      </c>
      <c r="AQ60">
        <v>1349</v>
      </c>
      <c r="AR60">
        <v>1965</v>
      </c>
      <c r="AS60">
        <v>21693</v>
      </c>
      <c r="AT60">
        <v>142</v>
      </c>
      <c r="AU60">
        <v>2633</v>
      </c>
      <c r="AV60">
        <v>629</v>
      </c>
      <c r="AW60">
        <v>2628</v>
      </c>
      <c r="AX60">
        <v>2431</v>
      </c>
      <c r="AY60">
        <v>2634</v>
      </c>
      <c r="AZ60">
        <v>3621</v>
      </c>
      <c r="BA60">
        <v>1804</v>
      </c>
      <c r="BB60">
        <v>5166</v>
      </c>
      <c r="BC60">
        <v>76445</v>
      </c>
      <c r="BD60">
        <v>4818</v>
      </c>
      <c r="BE60">
        <v>6918</v>
      </c>
      <c r="BF60">
        <v>635</v>
      </c>
      <c r="BG60">
        <v>12115</v>
      </c>
      <c r="BH60">
        <v>8520</v>
      </c>
      <c r="BI60">
        <v>11691</v>
      </c>
      <c r="BJ60">
        <v>9569</v>
      </c>
      <c r="BK60">
        <v>19969</v>
      </c>
      <c r="BL60">
        <v>2205</v>
      </c>
      <c r="BM60">
        <v>27390</v>
      </c>
      <c r="BN60">
        <v>787</v>
      </c>
      <c r="BO60">
        <v>2633</v>
      </c>
      <c r="BP60">
        <v>782</v>
      </c>
      <c r="BQ60">
        <v>5122</v>
      </c>
      <c r="BR60">
        <v>1315</v>
      </c>
      <c r="BS60">
        <v>4772</v>
      </c>
      <c r="BT60">
        <v>1461</v>
      </c>
      <c r="BU60">
        <v>10521</v>
      </c>
      <c r="BV60">
        <v>14745</v>
      </c>
      <c r="BW60">
        <v>51</v>
      </c>
      <c r="BX60">
        <v>4</v>
      </c>
      <c r="BY60">
        <v>0</v>
      </c>
      <c r="BZ60">
        <v>9198</v>
      </c>
      <c r="CA60">
        <v>5487</v>
      </c>
      <c r="CB60">
        <v>200564</v>
      </c>
    </row>
    <row r="61" spans="1:80">
      <c r="A61" t="s">
        <v>182</v>
      </c>
      <c r="B61" t="s">
        <v>196</v>
      </c>
      <c r="C61">
        <v>8646</v>
      </c>
      <c r="D61">
        <v>114</v>
      </c>
      <c r="E61">
        <v>574</v>
      </c>
      <c r="F61">
        <v>670</v>
      </c>
      <c r="G61">
        <v>1271</v>
      </c>
      <c r="H61">
        <v>770</v>
      </c>
      <c r="I61">
        <v>1557</v>
      </c>
      <c r="J61">
        <v>306</v>
      </c>
      <c r="K61">
        <v>1185</v>
      </c>
      <c r="L61">
        <v>561</v>
      </c>
      <c r="M61">
        <v>1638</v>
      </c>
      <c r="N61">
        <v>1707</v>
      </c>
      <c r="O61">
        <v>1454</v>
      </c>
      <c r="P61">
        <v>252</v>
      </c>
      <c r="Q61">
        <v>2330</v>
      </c>
      <c r="R61">
        <v>0</v>
      </c>
      <c r="S61">
        <v>52</v>
      </c>
      <c r="T61">
        <v>128</v>
      </c>
      <c r="U61">
        <v>672</v>
      </c>
      <c r="V61">
        <v>188</v>
      </c>
      <c r="W61">
        <v>108</v>
      </c>
      <c r="X61">
        <v>197</v>
      </c>
      <c r="Y61">
        <v>677</v>
      </c>
      <c r="Z61">
        <v>309</v>
      </c>
      <c r="AA61">
        <v>28843</v>
      </c>
      <c r="AB61">
        <v>43</v>
      </c>
      <c r="AC61">
        <v>26722</v>
      </c>
      <c r="AD61">
        <v>2078</v>
      </c>
      <c r="AE61">
        <v>527</v>
      </c>
      <c r="AF61">
        <v>37</v>
      </c>
      <c r="AG61">
        <v>432</v>
      </c>
      <c r="AH61">
        <v>56</v>
      </c>
      <c r="AI61">
        <v>22836</v>
      </c>
      <c r="AJ61">
        <v>3385</v>
      </c>
      <c r="AK61">
        <v>1101</v>
      </c>
      <c r="AL61">
        <v>628</v>
      </c>
      <c r="AM61">
        <v>9625</v>
      </c>
      <c r="AN61">
        <v>1837</v>
      </c>
      <c r="AO61">
        <v>1325</v>
      </c>
      <c r="AP61">
        <v>1461</v>
      </c>
      <c r="AQ61">
        <v>1407</v>
      </c>
      <c r="AR61">
        <v>2067</v>
      </c>
      <c r="AS61">
        <v>22878</v>
      </c>
      <c r="AT61">
        <v>141</v>
      </c>
      <c r="AU61">
        <v>2957</v>
      </c>
      <c r="AV61">
        <v>717</v>
      </c>
      <c r="AW61">
        <v>2835</v>
      </c>
      <c r="AX61">
        <v>2431</v>
      </c>
      <c r="AY61">
        <v>2546</v>
      </c>
      <c r="AZ61">
        <v>3726</v>
      </c>
      <c r="BA61">
        <v>2482</v>
      </c>
      <c r="BB61">
        <v>5047</v>
      </c>
      <c r="BC61">
        <v>82234</v>
      </c>
      <c r="BD61">
        <v>4256</v>
      </c>
      <c r="BE61">
        <v>6931</v>
      </c>
      <c r="BF61">
        <v>631</v>
      </c>
      <c r="BG61">
        <v>10491</v>
      </c>
      <c r="BH61">
        <v>9547</v>
      </c>
      <c r="BI61">
        <v>11418</v>
      </c>
      <c r="BJ61">
        <v>10716</v>
      </c>
      <c r="BK61">
        <v>26292</v>
      </c>
      <c r="BL61">
        <v>1953</v>
      </c>
      <c r="BM61">
        <v>27280</v>
      </c>
      <c r="BN61">
        <v>867</v>
      </c>
      <c r="BO61">
        <v>2629</v>
      </c>
      <c r="BP61">
        <v>760</v>
      </c>
      <c r="BQ61">
        <v>5379</v>
      </c>
      <c r="BR61">
        <v>1343</v>
      </c>
      <c r="BS61">
        <v>4771</v>
      </c>
      <c r="BT61">
        <v>1365</v>
      </c>
      <c r="BU61">
        <v>10164</v>
      </c>
      <c r="BV61">
        <v>13197</v>
      </c>
      <c r="BW61">
        <v>38</v>
      </c>
      <c r="BX61">
        <v>13</v>
      </c>
      <c r="BY61">
        <v>2</v>
      </c>
      <c r="BZ61">
        <v>7048</v>
      </c>
      <c r="CA61">
        <v>6099</v>
      </c>
      <c r="CB61">
        <v>210478</v>
      </c>
    </row>
    <row r="62" spans="1:80">
      <c r="A62" t="s">
        <v>183</v>
      </c>
      <c r="B62" t="s">
        <v>196</v>
      </c>
      <c r="C62">
        <v>9250</v>
      </c>
      <c r="D62">
        <v>111</v>
      </c>
      <c r="E62">
        <v>552</v>
      </c>
      <c r="F62">
        <v>670</v>
      </c>
      <c r="G62">
        <v>1305</v>
      </c>
      <c r="H62">
        <v>804</v>
      </c>
      <c r="I62">
        <v>1842</v>
      </c>
      <c r="J62">
        <v>378</v>
      </c>
      <c r="K62">
        <v>1355</v>
      </c>
      <c r="L62">
        <v>549</v>
      </c>
      <c r="M62">
        <v>1683</v>
      </c>
      <c r="N62">
        <v>1814</v>
      </c>
      <c r="O62">
        <v>1537</v>
      </c>
      <c r="P62">
        <v>278</v>
      </c>
      <c r="Q62">
        <v>2767</v>
      </c>
      <c r="R62">
        <v>0</v>
      </c>
      <c r="S62">
        <v>46</v>
      </c>
      <c r="T62">
        <v>150</v>
      </c>
      <c r="U62">
        <v>659</v>
      </c>
      <c r="V62">
        <v>183</v>
      </c>
      <c r="W62">
        <v>114</v>
      </c>
      <c r="X62">
        <v>288</v>
      </c>
      <c r="Y62">
        <v>989</v>
      </c>
      <c r="Z62">
        <v>340</v>
      </c>
      <c r="AA62">
        <v>38282</v>
      </c>
      <c r="AB62">
        <v>66</v>
      </c>
      <c r="AC62">
        <v>35795</v>
      </c>
      <c r="AD62">
        <v>2418</v>
      </c>
      <c r="AE62">
        <v>544</v>
      </c>
      <c r="AF62">
        <v>40</v>
      </c>
      <c r="AG62">
        <v>438</v>
      </c>
      <c r="AH62">
        <v>65</v>
      </c>
      <c r="AI62">
        <v>24339</v>
      </c>
      <c r="AJ62">
        <v>3062</v>
      </c>
      <c r="AK62">
        <v>1425</v>
      </c>
      <c r="AL62">
        <v>637</v>
      </c>
      <c r="AM62">
        <v>10569</v>
      </c>
      <c r="AN62">
        <v>1878</v>
      </c>
      <c r="AO62">
        <v>1614</v>
      </c>
      <c r="AP62">
        <v>1556</v>
      </c>
      <c r="AQ62">
        <v>1429</v>
      </c>
      <c r="AR62">
        <v>2176</v>
      </c>
      <c r="AS62">
        <v>24853</v>
      </c>
      <c r="AT62">
        <v>149</v>
      </c>
      <c r="AU62">
        <v>3523</v>
      </c>
      <c r="AV62">
        <v>763</v>
      </c>
      <c r="AW62">
        <v>2579</v>
      </c>
      <c r="AX62">
        <v>2472</v>
      </c>
      <c r="AY62">
        <v>2410</v>
      </c>
      <c r="AZ62">
        <v>3590</v>
      </c>
      <c r="BA62">
        <v>3254</v>
      </c>
      <c r="BB62">
        <v>6122</v>
      </c>
      <c r="BC62">
        <v>83760</v>
      </c>
      <c r="BD62">
        <v>4601</v>
      </c>
      <c r="BE62">
        <v>8450</v>
      </c>
      <c r="BF62">
        <v>682</v>
      </c>
      <c r="BG62">
        <v>10415</v>
      </c>
      <c r="BH62">
        <v>9361</v>
      </c>
      <c r="BI62">
        <v>11505</v>
      </c>
      <c r="BJ62">
        <v>11284</v>
      </c>
      <c r="BK62">
        <v>24708</v>
      </c>
      <c r="BL62">
        <v>2755</v>
      </c>
      <c r="BM62">
        <v>28094</v>
      </c>
      <c r="BN62">
        <v>1125</v>
      </c>
      <c r="BO62">
        <v>2782</v>
      </c>
      <c r="BP62">
        <v>829</v>
      </c>
      <c r="BQ62">
        <v>5681</v>
      </c>
      <c r="BR62">
        <v>1324</v>
      </c>
      <c r="BS62">
        <v>4822</v>
      </c>
      <c r="BT62">
        <v>1388</v>
      </c>
      <c r="BU62">
        <v>10147</v>
      </c>
      <c r="BV62">
        <v>13193</v>
      </c>
      <c r="BW62">
        <v>45</v>
      </c>
      <c r="BX62">
        <v>19</v>
      </c>
      <c r="BY62">
        <v>4</v>
      </c>
      <c r="BZ62">
        <v>6398</v>
      </c>
      <c r="CA62">
        <v>6728</v>
      </c>
      <c r="CB62">
        <v>226898</v>
      </c>
    </row>
    <row r="63" spans="1:80">
      <c r="A63" t="s">
        <v>184</v>
      </c>
      <c r="B63" t="s">
        <v>196</v>
      </c>
      <c r="C63">
        <v>9598</v>
      </c>
      <c r="D63">
        <v>100</v>
      </c>
      <c r="E63">
        <v>619</v>
      </c>
      <c r="F63">
        <v>634</v>
      </c>
      <c r="G63">
        <v>1416</v>
      </c>
      <c r="H63">
        <v>849</v>
      </c>
      <c r="I63">
        <v>1804</v>
      </c>
      <c r="J63">
        <v>356</v>
      </c>
      <c r="K63">
        <v>1351</v>
      </c>
      <c r="L63">
        <v>635</v>
      </c>
      <c r="M63">
        <v>1828</v>
      </c>
      <c r="N63">
        <v>1995</v>
      </c>
      <c r="O63">
        <v>1686</v>
      </c>
      <c r="P63">
        <v>309</v>
      </c>
      <c r="Q63">
        <v>2518</v>
      </c>
      <c r="R63">
        <v>1</v>
      </c>
      <c r="S63">
        <v>58</v>
      </c>
      <c r="T63">
        <v>134</v>
      </c>
      <c r="U63">
        <v>635</v>
      </c>
      <c r="V63">
        <v>145</v>
      </c>
      <c r="W63">
        <v>91</v>
      </c>
      <c r="X63">
        <v>313</v>
      </c>
      <c r="Y63">
        <v>732</v>
      </c>
      <c r="Z63">
        <v>408</v>
      </c>
      <c r="AA63">
        <v>40854</v>
      </c>
      <c r="AB63">
        <v>18</v>
      </c>
      <c r="AC63">
        <v>38217</v>
      </c>
      <c r="AD63">
        <v>2620</v>
      </c>
      <c r="AE63">
        <v>545</v>
      </c>
      <c r="AF63">
        <v>61</v>
      </c>
      <c r="AG63">
        <v>411</v>
      </c>
      <c r="AH63">
        <v>74</v>
      </c>
      <c r="AI63">
        <v>24486</v>
      </c>
      <c r="AJ63">
        <v>2937</v>
      </c>
      <c r="AK63">
        <v>1695</v>
      </c>
      <c r="AL63">
        <v>617</v>
      </c>
      <c r="AM63">
        <v>10411</v>
      </c>
      <c r="AN63">
        <v>1988</v>
      </c>
      <c r="AO63">
        <v>1649</v>
      </c>
      <c r="AP63">
        <v>1517</v>
      </c>
      <c r="AQ63">
        <v>1442</v>
      </c>
      <c r="AR63">
        <v>2232</v>
      </c>
      <c r="AS63">
        <v>25978</v>
      </c>
      <c r="AT63">
        <v>142</v>
      </c>
      <c r="AU63">
        <v>3991</v>
      </c>
      <c r="AV63">
        <v>804</v>
      </c>
      <c r="AW63">
        <v>2658</v>
      </c>
      <c r="AX63">
        <v>2501</v>
      </c>
      <c r="AY63">
        <v>2427</v>
      </c>
      <c r="AZ63">
        <v>4317</v>
      </c>
      <c r="BA63">
        <v>2538</v>
      </c>
      <c r="BB63">
        <v>6598</v>
      </c>
      <c r="BC63">
        <v>95687</v>
      </c>
      <c r="BD63">
        <v>5014</v>
      </c>
      <c r="BE63">
        <v>11748</v>
      </c>
      <c r="BF63">
        <v>702</v>
      </c>
      <c r="BG63">
        <v>12213</v>
      </c>
      <c r="BH63">
        <v>9214</v>
      </c>
      <c r="BI63">
        <v>11469</v>
      </c>
      <c r="BJ63">
        <v>11303</v>
      </c>
      <c r="BK63">
        <v>30452</v>
      </c>
      <c r="BL63">
        <v>3572</v>
      </c>
      <c r="BM63">
        <v>29103</v>
      </c>
      <c r="BN63">
        <v>1341</v>
      </c>
      <c r="BO63">
        <v>2904</v>
      </c>
      <c r="BP63">
        <v>926</v>
      </c>
      <c r="BQ63">
        <v>5893</v>
      </c>
      <c r="BR63">
        <v>1480</v>
      </c>
      <c r="BS63">
        <v>5251</v>
      </c>
      <c r="BT63">
        <v>1413</v>
      </c>
      <c r="BU63">
        <v>9896</v>
      </c>
      <c r="BV63">
        <v>11087</v>
      </c>
      <c r="BW63">
        <v>45</v>
      </c>
      <c r="BX63">
        <v>44</v>
      </c>
      <c r="BY63">
        <v>4</v>
      </c>
      <c r="BZ63">
        <v>5841</v>
      </c>
      <c r="CA63">
        <v>5154</v>
      </c>
      <c r="CB63">
        <v>241855</v>
      </c>
    </row>
    <row r="64" spans="1:80">
      <c r="A64" t="s">
        <v>185</v>
      </c>
      <c r="B64" t="s">
        <v>196</v>
      </c>
      <c r="C64">
        <v>10637</v>
      </c>
      <c r="D64">
        <v>97</v>
      </c>
      <c r="E64">
        <v>627</v>
      </c>
      <c r="F64">
        <v>744</v>
      </c>
      <c r="G64">
        <v>1604</v>
      </c>
      <c r="H64">
        <v>1020</v>
      </c>
      <c r="I64">
        <v>1940</v>
      </c>
      <c r="J64">
        <v>379</v>
      </c>
      <c r="K64">
        <v>1430</v>
      </c>
      <c r="L64">
        <v>737</v>
      </c>
      <c r="M64">
        <v>2059</v>
      </c>
      <c r="N64">
        <v>2424</v>
      </c>
      <c r="O64">
        <v>1922</v>
      </c>
      <c r="P64">
        <v>503</v>
      </c>
      <c r="Q64">
        <v>2349</v>
      </c>
      <c r="R64">
        <v>1</v>
      </c>
      <c r="S64">
        <v>68</v>
      </c>
      <c r="T64">
        <v>105</v>
      </c>
      <c r="U64">
        <v>649</v>
      </c>
      <c r="V64">
        <v>179</v>
      </c>
      <c r="W64">
        <v>97</v>
      </c>
      <c r="X64">
        <v>278</v>
      </c>
      <c r="Y64">
        <v>538</v>
      </c>
      <c r="Z64">
        <v>429</v>
      </c>
      <c r="AA64">
        <v>42161</v>
      </c>
      <c r="AB64">
        <v>37</v>
      </c>
      <c r="AC64">
        <v>39314</v>
      </c>
      <c r="AD64">
        <v>2812</v>
      </c>
      <c r="AE64">
        <v>537</v>
      </c>
      <c r="AF64">
        <v>56</v>
      </c>
      <c r="AG64">
        <v>423</v>
      </c>
      <c r="AH64">
        <v>53</v>
      </c>
      <c r="AI64">
        <v>24001</v>
      </c>
      <c r="AJ64">
        <v>2260</v>
      </c>
      <c r="AK64">
        <v>1369</v>
      </c>
      <c r="AL64">
        <v>643</v>
      </c>
      <c r="AM64">
        <v>10221</v>
      </c>
      <c r="AN64">
        <v>2219</v>
      </c>
      <c r="AO64">
        <v>1526</v>
      </c>
      <c r="AP64">
        <v>1718</v>
      </c>
      <c r="AQ64">
        <v>1582</v>
      </c>
      <c r="AR64">
        <v>2462</v>
      </c>
      <c r="AS64">
        <v>26623</v>
      </c>
      <c r="AT64">
        <v>145</v>
      </c>
      <c r="AU64">
        <v>3616</v>
      </c>
      <c r="AV64">
        <v>864</v>
      </c>
      <c r="AW64">
        <v>2689</v>
      </c>
      <c r="AX64">
        <v>2716</v>
      </c>
      <c r="AY64">
        <v>2674</v>
      </c>
      <c r="AZ64">
        <v>3591</v>
      </c>
      <c r="BA64">
        <v>2628</v>
      </c>
      <c r="BB64">
        <v>7695</v>
      </c>
      <c r="BC64">
        <v>91667</v>
      </c>
      <c r="BD64">
        <v>4669</v>
      </c>
      <c r="BE64">
        <v>7641</v>
      </c>
      <c r="BF64">
        <v>555</v>
      </c>
      <c r="BG64">
        <v>14510</v>
      </c>
      <c r="BH64">
        <v>9358</v>
      </c>
      <c r="BI64">
        <v>11560</v>
      </c>
      <c r="BJ64">
        <v>11343</v>
      </c>
      <c r="BK64">
        <v>29669</v>
      </c>
      <c r="BL64">
        <v>2361</v>
      </c>
      <c r="BM64">
        <v>31223</v>
      </c>
      <c r="BN64">
        <v>1401</v>
      </c>
      <c r="BO64">
        <v>3177</v>
      </c>
      <c r="BP64">
        <v>1062</v>
      </c>
      <c r="BQ64">
        <v>6509</v>
      </c>
      <c r="BR64">
        <v>1611</v>
      </c>
      <c r="BS64">
        <v>5245</v>
      </c>
      <c r="BT64">
        <v>1522</v>
      </c>
      <c r="BU64">
        <v>10695</v>
      </c>
      <c r="BV64">
        <v>9406</v>
      </c>
      <c r="BW64">
        <v>18</v>
      </c>
      <c r="BX64">
        <v>47</v>
      </c>
      <c r="BY64">
        <v>8</v>
      </c>
      <c r="BZ64">
        <v>4796</v>
      </c>
      <c r="CA64">
        <v>4543</v>
      </c>
      <c r="CB64">
        <v>241024</v>
      </c>
    </row>
    <row r="65" spans="1:80">
      <c r="A65" t="s">
        <v>186</v>
      </c>
      <c r="B65" t="s">
        <v>196</v>
      </c>
      <c r="C65">
        <v>12141</v>
      </c>
      <c r="D65">
        <v>108</v>
      </c>
      <c r="E65">
        <v>727</v>
      </c>
      <c r="F65">
        <v>896</v>
      </c>
      <c r="G65">
        <v>1805</v>
      </c>
      <c r="H65">
        <v>1131</v>
      </c>
      <c r="I65">
        <v>2260</v>
      </c>
      <c r="J65">
        <v>449</v>
      </c>
      <c r="K65">
        <v>1690</v>
      </c>
      <c r="L65">
        <v>805</v>
      </c>
      <c r="M65">
        <v>2265</v>
      </c>
      <c r="N65">
        <v>2732</v>
      </c>
      <c r="O65">
        <v>2027</v>
      </c>
      <c r="P65">
        <v>708</v>
      </c>
      <c r="Q65">
        <v>2917</v>
      </c>
      <c r="R65">
        <v>2</v>
      </c>
      <c r="S65">
        <v>94</v>
      </c>
      <c r="T65">
        <v>112</v>
      </c>
      <c r="U65">
        <v>800</v>
      </c>
      <c r="V65">
        <v>215</v>
      </c>
      <c r="W65">
        <v>102</v>
      </c>
      <c r="X65">
        <v>335</v>
      </c>
      <c r="Y65">
        <v>758</v>
      </c>
      <c r="Z65">
        <v>497</v>
      </c>
      <c r="AA65">
        <v>39807</v>
      </c>
      <c r="AB65">
        <v>56</v>
      </c>
      <c r="AC65">
        <v>39423</v>
      </c>
      <c r="AD65">
        <v>326</v>
      </c>
      <c r="AE65">
        <v>606</v>
      </c>
      <c r="AF65">
        <v>59</v>
      </c>
      <c r="AG65">
        <v>503</v>
      </c>
      <c r="AH65">
        <v>47</v>
      </c>
      <c r="AI65">
        <v>25159</v>
      </c>
      <c r="AJ65">
        <v>2372</v>
      </c>
      <c r="AK65">
        <v>1475</v>
      </c>
      <c r="AL65">
        <v>699</v>
      </c>
      <c r="AM65">
        <v>9923</v>
      </c>
      <c r="AN65">
        <v>2434</v>
      </c>
      <c r="AO65">
        <v>1763</v>
      </c>
      <c r="AP65">
        <v>1908</v>
      </c>
      <c r="AQ65">
        <v>1729</v>
      </c>
      <c r="AR65">
        <v>2857</v>
      </c>
      <c r="AS65">
        <v>28807</v>
      </c>
      <c r="AT65">
        <v>176</v>
      </c>
      <c r="AU65">
        <v>3425</v>
      </c>
      <c r="AV65">
        <v>1050</v>
      </c>
      <c r="AW65">
        <v>2892</v>
      </c>
      <c r="AX65">
        <v>3016</v>
      </c>
      <c r="AY65">
        <v>3200</v>
      </c>
      <c r="AZ65">
        <v>4439</v>
      </c>
      <c r="BA65">
        <v>3032</v>
      </c>
      <c r="BB65">
        <v>7580</v>
      </c>
      <c r="BC65">
        <v>94960</v>
      </c>
      <c r="BD65">
        <v>4889</v>
      </c>
      <c r="BE65">
        <v>7087</v>
      </c>
      <c r="BF65">
        <v>546</v>
      </c>
      <c r="BG65">
        <v>16643</v>
      </c>
      <c r="BH65">
        <v>9877</v>
      </c>
      <c r="BI65">
        <v>12366</v>
      </c>
      <c r="BJ65">
        <v>12018</v>
      </c>
      <c r="BK65">
        <v>28533</v>
      </c>
      <c r="BL65">
        <v>3003</v>
      </c>
      <c r="BM65">
        <v>34800</v>
      </c>
      <c r="BN65">
        <v>1425</v>
      </c>
      <c r="BO65">
        <v>3625</v>
      </c>
      <c r="BP65">
        <v>1177</v>
      </c>
      <c r="BQ65">
        <v>7251</v>
      </c>
      <c r="BR65">
        <v>1781</v>
      </c>
      <c r="BS65">
        <v>5968</v>
      </c>
      <c r="BT65">
        <v>1716</v>
      </c>
      <c r="BU65">
        <v>11859</v>
      </c>
      <c r="BV65">
        <v>10846</v>
      </c>
      <c r="BW65">
        <v>8</v>
      </c>
      <c r="BX65">
        <v>44</v>
      </c>
      <c r="BY65">
        <v>1</v>
      </c>
      <c r="BZ65">
        <v>4004</v>
      </c>
      <c r="CA65">
        <v>6784</v>
      </c>
      <c r="CB65">
        <v>252778</v>
      </c>
    </row>
    <row r="66" spans="1:80">
      <c r="A66" t="s">
        <v>187</v>
      </c>
      <c r="B66" t="s">
        <v>196</v>
      </c>
      <c r="C66">
        <v>13523</v>
      </c>
      <c r="D66">
        <v>99</v>
      </c>
      <c r="E66">
        <v>810</v>
      </c>
      <c r="F66">
        <v>955</v>
      </c>
      <c r="G66">
        <v>1772</v>
      </c>
      <c r="H66">
        <v>1271</v>
      </c>
      <c r="I66">
        <v>2535</v>
      </c>
      <c r="J66">
        <v>513</v>
      </c>
      <c r="K66">
        <v>2051</v>
      </c>
      <c r="L66">
        <v>857</v>
      </c>
      <c r="M66">
        <v>2656</v>
      </c>
      <c r="N66">
        <v>3205</v>
      </c>
      <c r="O66">
        <v>2244</v>
      </c>
      <c r="P66">
        <v>964</v>
      </c>
      <c r="Q66">
        <v>3217</v>
      </c>
      <c r="R66">
        <v>5</v>
      </c>
      <c r="S66">
        <v>105</v>
      </c>
      <c r="T66">
        <v>106</v>
      </c>
      <c r="U66">
        <v>881</v>
      </c>
      <c r="V66">
        <v>232</v>
      </c>
      <c r="W66">
        <v>106</v>
      </c>
      <c r="X66">
        <v>361</v>
      </c>
      <c r="Y66">
        <v>837</v>
      </c>
      <c r="Z66">
        <v>582</v>
      </c>
      <c r="AA66">
        <v>28851</v>
      </c>
      <c r="AB66">
        <v>68</v>
      </c>
      <c r="AC66">
        <v>28513</v>
      </c>
      <c r="AD66">
        <v>269</v>
      </c>
      <c r="AE66">
        <v>655</v>
      </c>
      <c r="AF66">
        <v>81</v>
      </c>
      <c r="AG66">
        <v>528</v>
      </c>
      <c r="AH66">
        <v>46</v>
      </c>
      <c r="AI66">
        <v>27192</v>
      </c>
      <c r="AJ66">
        <v>2672</v>
      </c>
      <c r="AK66">
        <v>1662</v>
      </c>
      <c r="AL66">
        <v>895</v>
      </c>
      <c r="AM66">
        <v>10335</v>
      </c>
      <c r="AN66">
        <v>2916</v>
      </c>
      <c r="AO66">
        <v>1865</v>
      </c>
      <c r="AP66">
        <v>1964</v>
      </c>
      <c r="AQ66">
        <v>1977</v>
      </c>
      <c r="AR66">
        <v>2902</v>
      </c>
      <c r="AS66">
        <v>32521</v>
      </c>
      <c r="AT66">
        <v>214</v>
      </c>
      <c r="AU66">
        <v>3483</v>
      </c>
      <c r="AV66">
        <v>1250</v>
      </c>
      <c r="AW66">
        <v>3114</v>
      </c>
      <c r="AX66">
        <v>3602</v>
      </c>
      <c r="AY66">
        <v>3670</v>
      </c>
      <c r="AZ66">
        <v>5041</v>
      </c>
      <c r="BA66">
        <v>3025</v>
      </c>
      <c r="BB66">
        <v>9127</v>
      </c>
      <c r="BC66">
        <v>106113</v>
      </c>
      <c r="BD66">
        <v>4517</v>
      </c>
      <c r="BE66">
        <v>9391</v>
      </c>
      <c r="BF66">
        <v>563</v>
      </c>
      <c r="BG66">
        <v>17025</v>
      </c>
      <c r="BH66">
        <v>11278</v>
      </c>
      <c r="BI66">
        <v>14511</v>
      </c>
      <c r="BJ66">
        <v>13478</v>
      </c>
      <c r="BK66">
        <v>32660</v>
      </c>
      <c r="BL66">
        <v>2688</v>
      </c>
      <c r="BM66">
        <v>40375</v>
      </c>
      <c r="BN66">
        <v>1685</v>
      </c>
      <c r="BO66">
        <v>4337</v>
      </c>
      <c r="BP66">
        <v>1405</v>
      </c>
      <c r="BQ66">
        <v>8808</v>
      </c>
      <c r="BR66">
        <v>2219</v>
      </c>
      <c r="BS66">
        <v>6594</v>
      </c>
      <c r="BT66">
        <v>2081</v>
      </c>
      <c r="BU66">
        <v>13248</v>
      </c>
      <c r="BV66">
        <v>11424</v>
      </c>
      <c r="BW66">
        <v>5</v>
      </c>
      <c r="BX66">
        <v>47</v>
      </c>
      <c r="BY66">
        <v>5</v>
      </c>
      <c r="BZ66">
        <v>4456</v>
      </c>
      <c r="CA66">
        <v>6909</v>
      </c>
      <c r="CB66">
        <v>267074</v>
      </c>
    </row>
    <row r="67" spans="1:80">
      <c r="A67" t="s">
        <v>188</v>
      </c>
      <c r="B67" t="s">
        <v>196</v>
      </c>
      <c r="C67">
        <v>13977</v>
      </c>
      <c r="D67">
        <v>121</v>
      </c>
      <c r="E67">
        <v>780</v>
      </c>
      <c r="F67">
        <v>1075</v>
      </c>
      <c r="G67">
        <v>1852</v>
      </c>
      <c r="H67">
        <v>1265</v>
      </c>
      <c r="I67">
        <v>2601</v>
      </c>
      <c r="J67">
        <v>483</v>
      </c>
      <c r="K67">
        <v>1975</v>
      </c>
      <c r="L67">
        <v>919</v>
      </c>
      <c r="M67">
        <v>2908</v>
      </c>
      <c r="N67">
        <v>3271</v>
      </c>
      <c r="O67">
        <v>2241</v>
      </c>
      <c r="P67">
        <v>1027</v>
      </c>
      <c r="Q67">
        <v>3206</v>
      </c>
      <c r="R67">
        <v>5</v>
      </c>
      <c r="S67">
        <v>88</v>
      </c>
      <c r="T67">
        <v>102</v>
      </c>
      <c r="U67">
        <v>816</v>
      </c>
      <c r="V67">
        <v>212</v>
      </c>
      <c r="W67">
        <v>99</v>
      </c>
      <c r="X67">
        <v>311</v>
      </c>
      <c r="Y67">
        <v>1017</v>
      </c>
      <c r="Z67">
        <v>551</v>
      </c>
      <c r="AA67">
        <v>23604</v>
      </c>
      <c r="AB67">
        <v>51</v>
      </c>
      <c r="AC67">
        <v>23315</v>
      </c>
      <c r="AD67">
        <v>238</v>
      </c>
      <c r="AE67">
        <v>700</v>
      </c>
      <c r="AF67">
        <v>61</v>
      </c>
      <c r="AG67">
        <v>596</v>
      </c>
      <c r="AH67">
        <v>44</v>
      </c>
      <c r="AI67">
        <v>27705</v>
      </c>
      <c r="AJ67">
        <v>2410</v>
      </c>
      <c r="AK67">
        <v>1567</v>
      </c>
      <c r="AL67">
        <v>997</v>
      </c>
      <c r="AM67">
        <v>11226</v>
      </c>
      <c r="AN67">
        <v>2938</v>
      </c>
      <c r="AO67">
        <v>1682</v>
      </c>
      <c r="AP67">
        <v>1958</v>
      </c>
      <c r="AQ67">
        <v>1947</v>
      </c>
      <c r="AR67">
        <v>2978</v>
      </c>
      <c r="AS67">
        <v>28223</v>
      </c>
      <c r="AT67">
        <v>164</v>
      </c>
      <c r="AU67">
        <v>3399</v>
      </c>
      <c r="AV67">
        <v>1305</v>
      </c>
      <c r="AW67">
        <v>2999</v>
      </c>
      <c r="AX67">
        <v>3577</v>
      </c>
      <c r="AY67">
        <v>3847</v>
      </c>
      <c r="AZ67">
        <v>2532</v>
      </c>
      <c r="BA67">
        <v>2691</v>
      </c>
      <c r="BB67">
        <v>7710</v>
      </c>
      <c r="BC67">
        <v>103332</v>
      </c>
      <c r="BD67">
        <v>4429</v>
      </c>
      <c r="BE67">
        <v>7665</v>
      </c>
      <c r="BF67">
        <v>595</v>
      </c>
      <c r="BG67">
        <v>14478</v>
      </c>
      <c r="BH67">
        <v>9773</v>
      </c>
      <c r="BI67">
        <v>14598</v>
      </c>
      <c r="BJ67">
        <v>13089</v>
      </c>
      <c r="BK67">
        <v>34412</v>
      </c>
      <c r="BL67">
        <v>4295</v>
      </c>
      <c r="BM67">
        <v>40365</v>
      </c>
      <c r="BN67">
        <v>1661</v>
      </c>
      <c r="BO67">
        <v>4276</v>
      </c>
      <c r="BP67">
        <v>1462</v>
      </c>
      <c r="BQ67">
        <v>8611</v>
      </c>
      <c r="BR67">
        <v>2202</v>
      </c>
      <c r="BS67">
        <v>6756</v>
      </c>
      <c r="BT67">
        <v>1853</v>
      </c>
      <c r="BU67">
        <v>13547</v>
      </c>
      <c r="BV67">
        <v>9962</v>
      </c>
      <c r="BW67">
        <v>4</v>
      </c>
      <c r="BX67">
        <v>41</v>
      </c>
      <c r="BY67">
        <v>7</v>
      </c>
      <c r="BZ67">
        <v>7468</v>
      </c>
      <c r="CA67">
        <v>2440</v>
      </c>
      <c r="CB67">
        <v>254345</v>
      </c>
    </row>
    <row r="68" spans="1:80">
      <c r="A68" t="s">
        <v>189</v>
      </c>
      <c r="B68" t="s">
        <v>196</v>
      </c>
      <c r="C68">
        <v>14304</v>
      </c>
      <c r="D68">
        <v>155</v>
      </c>
      <c r="E68">
        <v>833</v>
      </c>
      <c r="F68">
        <v>1321</v>
      </c>
      <c r="G68">
        <v>1950</v>
      </c>
      <c r="H68">
        <v>1309</v>
      </c>
      <c r="I68">
        <v>2684</v>
      </c>
      <c r="J68">
        <v>460</v>
      </c>
      <c r="K68">
        <v>2057</v>
      </c>
      <c r="L68">
        <v>939</v>
      </c>
      <c r="M68">
        <v>2593</v>
      </c>
      <c r="N68">
        <v>3285</v>
      </c>
      <c r="O68">
        <v>2280</v>
      </c>
      <c r="P68">
        <v>1006</v>
      </c>
      <c r="Q68">
        <v>3544</v>
      </c>
      <c r="R68">
        <v>3</v>
      </c>
      <c r="S68">
        <v>111</v>
      </c>
      <c r="T68">
        <v>165</v>
      </c>
      <c r="U68">
        <v>836</v>
      </c>
      <c r="V68">
        <v>232</v>
      </c>
      <c r="W68">
        <v>91</v>
      </c>
      <c r="X68">
        <v>286</v>
      </c>
      <c r="Y68">
        <v>1221</v>
      </c>
      <c r="Z68">
        <v>597</v>
      </c>
      <c r="AA68">
        <v>29805</v>
      </c>
      <c r="AB68">
        <v>139</v>
      </c>
      <c r="AC68">
        <v>29365</v>
      </c>
      <c r="AD68">
        <v>303</v>
      </c>
      <c r="AE68">
        <v>702</v>
      </c>
      <c r="AF68">
        <v>56</v>
      </c>
      <c r="AG68">
        <v>591</v>
      </c>
      <c r="AH68">
        <v>53</v>
      </c>
      <c r="AI68">
        <v>28054</v>
      </c>
      <c r="AJ68">
        <v>2363</v>
      </c>
      <c r="AK68">
        <v>1578</v>
      </c>
      <c r="AL68">
        <v>1019</v>
      </c>
      <c r="AM68">
        <v>11138</v>
      </c>
      <c r="AN68">
        <v>3084</v>
      </c>
      <c r="AO68">
        <v>1640</v>
      </c>
      <c r="AP68">
        <v>2109</v>
      </c>
      <c r="AQ68">
        <v>1994</v>
      </c>
      <c r="AR68">
        <v>3131</v>
      </c>
      <c r="AS68">
        <v>28701</v>
      </c>
      <c r="AT68">
        <v>160</v>
      </c>
      <c r="AU68">
        <v>3580</v>
      </c>
      <c r="AV68">
        <v>1408</v>
      </c>
      <c r="AW68">
        <v>2935</v>
      </c>
      <c r="AX68">
        <v>3604</v>
      </c>
      <c r="AY68">
        <v>3794</v>
      </c>
      <c r="AZ68">
        <v>3059</v>
      </c>
      <c r="BA68">
        <v>2479</v>
      </c>
      <c r="BB68">
        <v>7685</v>
      </c>
      <c r="BC68">
        <v>117933</v>
      </c>
      <c r="BD68">
        <v>4763</v>
      </c>
      <c r="BE68">
        <v>8870</v>
      </c>
      <c r="BF68">
        <v>639</v>
      </c>
      <c r="BG68">
        <v>13380</v>
      </c>
      <c r="BH68">
        <v>10489</v>
      </c>
      <c r="BI68">
        <v>15584</v>
      </c>
      <c r="BJ68">
        <v>14637</v>
      </c>
      <c r="BK68">
        <v>37308</v>
      </c>
      <c r="BL68">
        <v>12266</v>
      </c>
      <c r="BM68">
        <v>40571</v>
      </c>
      <c r="BN68">
        <v>1629</v>
      </c>
      <c r="BO68">
        <v>4256</v>
      </c>
      <c r="BP68">
        <v>1537</v>
      </c>
      <c r="BQ68">
        <v>8736</v>
      </c>
      <c r="BR68">
        <v>2177</v>
      </c>
      <c r="BS68">
        <v>6544</v>
      </c>
      <c r="BT68">
        <v>1821</v>
      </c>
      <c r="BU68">
        <v>13867</v>
      </c>
      <c r="BV68">
        <v>21397</v>
      </c>
      <c r="BW68">
        <v>12</v>
      </c>
      <c r="BX68">
        <v>21</v>
      </c>
      <c r="BY68">
        <v>3</v>
      </c>
      <c r="BZ68">
        <v>6220</v>
      </c>
      <c r="CA68">
        <v>15140</v>
      </c>
      <c r="CB68">
        <v>288291</v>
      </c>
    </row>
    <row r="69" spans="1:80">
      <c r="A69" t="s">
        <v>190</v>
      </c>
      <c r="B69" t="s">
        <v>196</v>
      </c>
      <c r="C69">
        <v>15132</v>
      </c>
      <c r="D69">
        <v>168</v>
      </c>
      <c r="E69">
        <v>822</v>
      </c>
      <c r="F69">
        <v>1420</v>
      </c>
      <c r="G69">
        <v>2013</v>
      </c>
      <c r="H69">
        <v>1479</v>
      </c>
      <c r="I69">
        <v>2647</v>
      </c>
      <c r="J69">
        <v>483</v>
      </c>
      <c r="K69">
        <v>2031</v>
      </c>
      <c r="L69">
        <v>1100</v>
      </c>
      <c r="M69">
        <v>2970</v>
      </c>
      <c r="N69">
        <v>3541</v>
      </c>
      <c r="O69">
        <v>2480</v>
      </c>
      <c r="P69">
        <v>1063</v>
      </c>
      <c r="Q69">
        <v>3985</v>
      </c>
      <c r="R69">
        <v>2</v>
      </c>
      <c r="S69">
        <v>115</v>
      </c>
      <c r="T69">
        <v>160</v>
      </c>
      <c r="U69">
        <v>1041</v>
      </c>
      <c r="V69">
        <v>284</v>
      </c>
      <c r="W69">
        <v>99</v>
      </c>
      <c r="X69">
        <v>316</v>
      </c>
      <c r="Y69">
        <v>1306</v>
      </c>
      <c r="Z69">
        <v>662</v>
      </c>
      <c r="AA69">
        <v>40512</v>
      </c>
      <c r="AB69">
        <v>178</v>
      </c>
      <c r="AC69">
        <v>39947</v>
      </c>
      <c r="AD69">
        <v>390</v>
      </c>
      <c r="AE69">
        <v>756</v>
      </c>
      <c r="AF69">
        <v>70</v>
      </c>
      <c r="AG69">
        <v>627</v>
      </c>
      <c r="AH69">
        <v>54</v>
      </c>
      <c r="AI69">
        <v>29837</v>
      </c>
      <c r="AJ69">
        <v>2507</v>
      </c>
      <c r="AK69">
        <v>1107</v>
      </c>
      <c r="AL69">
        <v>1111</v>
      </c>
      <c r="AM69">
        <v>11782</v>
      </c>
      <c r="AN69">
        <v>3595</v>
      </c>
      <c r="AO69">
        <v>1915</v>
      </c>
      <c r="AP69">
        <v>2460</v>
      </c>
      <c r="AQ69">
        <v>2196</v>
      </c>
      <c r="AR69">
        <v>3161</v>
      </c>
      <c r="AS69">
        <v>32443</v>
      </c>
      <c r="AT69">
        <v>154</v>
      </c>
      <c r="AU69">
        <v>3966</v>
      </c>
      <c r="AV69">
        <v>1596</v>
      </c>
      <c r="AW69">
        <v>3163</v>
      </c>
      <c r="AX69">
        <v>3816</v>
      </c>
      <c r="AY69">
        <v>4038</v>
      </c>
      <c r="AZ69">
        <v>3901</v>
      </c>
      <c r="BA69">
        <v>2775</v>
      </c>
      <c r="BB69">
        <v>9039</v>
      </c>
      <c r="BC69">
        <v>121404</v>
      </c>
      <c r="BD69">
        <v>5936</v>
      </c>
      <c r="BE69">
        <v>10484</v>
      </c>
      <c r="BF69">
        <v>751</v>
      </c>
      <c r="BG69">
        <v>14952</v>
      </c>
      <c r="BH69">
        <v>11907</v>
      </c>
      <c r="BI69">
        <v>17166</v>
      </c>
      <c r="BJ69">
        <v>16823</v>
      </c>
      <c r="BK69">
        <v>39091</v>
      </c>
      <c r="BL69">
        <v>4294</v>
      </c>
      <c r="BM69">
        <v>44299</v>
      </c>
      <c r="BN69">
        <v>1789</v>
      </c>
      <c r="BO69">
        <v>4874</v>
      </c>
      <c r="BP69">
        <v>1843</v>
      </c>
      <c r="BQ69">
        <v>9479</v>
      </c>
      <c r="BR69">
        <v>2324</v>
      </c>
      <c r="BS69">
        <v>7364</v>
      </c>
      <c r="BT69">
        <v>1934</v>
      </c>
      <c r="BU69">
        <v>14691</v>
      </c>
      <c r="BV69">
        <v>12140</v>
      </c>
      <c r="BW69">
        <v>5</v>
      </c>
      <c r="BX69">
        <v>30</v>
      </c>
      <c r="BY69">
        <v>7</v>
      </c>
      <c r="BZ69">
        <v>6385</v>
      </c>
      <c r="CA69">
        <v>5711</v>
      </c>
      <c r="CB69">
        <v>304050</v>
      </c>
    </row>
    <row r="70" spans="1:80">
      <c r="A70" t="s">
        <v>191</v>
      </c>
      <c r="B70" t="s">
        <v>196</v>
      </c>
      <c r="C70">
        <v>16938</v>
      </c>
      <c r="D70">
        <v>145</v>
      </c>
      <c r="E70">
        <v>1029</v>
      </c>
      <c r="F70">
        <v>1477</v>
      </c>
      <c r="G70">
        <v>2034</v>
      </c>
      <c r="H70">
        <v>1916</v>
      </c>
      <c r="I70">
        <v>2806</v>
      </c>
      <c r="J70">
        <v>485</v>
      </c>
      <c r="K70">
        <v>2131</v>
      </c>
      <c r="L70">
        <v>1238</v>
      </c>
      <c r="M70">
        <v>3678</v>
      </c>
      <c r="N70">
        <v>3798</v>
      </c>
      <c r="O70">
        <v>2688</v>
      </c>
      <c r="P70">
        <v>1113</v>
      </c>
      <c r="Q70">
        <v>3138</v>
      </c>
      <c r="R70">
        <v>7</v>
      </c>
      <c r="S70">
        <v>127</v>
      </c>
      <c r="T70">
        <v>147</v>
      </c>
      <c r="U70">
        <v>801</v>
      </c>
      <c r="V70">
        <v>260</v>
      </c>
      <c r="W70">
        <v>98</v>
      </c>
      <c r="X70">
        <v>286</v>
      </c>
      <c r="Y70">
        <v>744</v>
      </c>
      <c r="Z70">
        <v>665</v>
      </c>
      <c r="AA70">
        <v>38794</v>
      </c>
      <c r="AB70">
        <v>203</v>
      </c>
      <c r="AC70">
        <v>38357</v>
      </c>
      <c r="AD70">
        <v>236</v>
      </c>
      <c r="AE70">
        <v>725</v>
      </c>
      <c r="AF70">
        <v>83</v>
      </c>
      <c r="AG70">
        <v>579</v>
      </c>
      <c r="AH70">
        <v>64</v>
      </c>
      <c r="AI70">
        <v>31024</v>
      </c>
      <c r="AJ70">
        <v>2260</v>
      </c>
      <c r="AK70">
        <v>1031</v>
      </c>
      <c r="AL70">
        <v>1084</v>
      </c>
      <c r="AM70">
        <v>13112</v>
      </c>
      <c r="AN70">
        <v>3865</v>
      </c>
      <c r="AO70">
        <v>2150</v>
      </c>
      <c r="AP70">
        <v>2211</v>
      </c>
      <c r="AQ70">
        <v>2226</v>
      </c>
      <c r="AR70">
        <v>3090</v>
      </c>
      <c r="AS70">
        <v>32286</v>
      </c>
      <c r="AT70">
        <v>143</v>
      </c>
      <c r="AU70">
        <v>4242</v>
      </c>
      <c r="AV70">
        <v>1517</v>
      </c>
      <c r="AW70">
        <v>3336</v>
      </c>
      <c r="AX70">
        <v>3834</v>
      </c>
      <c r="AY70">
        <v>4110</v>
      </c>
      <c r="AZ70">
        <v>3271</v>
      </c>
      <c r="BA70">
        <v>2874</v>
      </c>
      <c r="BB70">
        <v>8957</v>
      </c>
      <c r="BC70">
        <v>123286</v>
      </c>
      <c r="BD70">
        <v>6310</v>
      </c>
      <c r="BE70">
        <v>10688</v>
      </c>
      <c r="BF70">
        <v>864</v>
      </c>
      <c r="BG70">
        <v>15646</v>
      </c>
      <c r="BH70">
        <v>11737</v>
      </c>
      <c r="BI70">
        <v>17648</v>
      </c>
      <c r="BJ70">
        <v>17451</v>
      </c>
      <c r="BK70">
        <v>37286</v>
      </c>
      <c r="BL70">
        <v>5660</v>
      </c>
      <c r="BM70">
        <v>46308</v>
      </c>
      <c r="BN70">
        <v>1742</v>
      </c>
      <c r="BO70">
        <v>4983</v>
      </c>
      <c r="BP70">
        <v>1886</v>
      </c>
      <c r="BQ70">
        <v>10205</v>
      </c>
      <c r="BR70">
        <v>2564</v>
      </c>
      <c r="BS70">
        <v>7726</v>
      </c>
      <c r="BT70">
        <v>2078</v>
      </c>
      <c r="BU70">
        <v>15133</v>
      </c>
      <c r="BV70">
        <v>11251</v>
      </c>
      <c r="BW70">
        <v>5</v>
      </c>
      <c r="BX70">
        <v>33</v>
      </c>
      <c r="BY70">
        <v>2</v>
      </c>
      <c r="BZ70">
        <v>6772</v>
      </c>
      <c r="CA70">
        <v>4434</v>
      </c>
      <c r="CB70">
        <v>307549</v>
      </c>
    </row>
    <row r="71" spans="1:80">
      <c r="A71" t="s">
        <v>192</v>
      </c>
      <c r="B71" t="s">
        <v>196</v>
      </c>
      <c r="C71">
        <v>17607</v>
      </c>
      <c r="D71">
        <v>157</v>
      </c>
      <c r="E71">
        <v>905</v>
      </c>
      <c r="F71">
        <v>1589</v>
      </c>
      <c r="G71">
        <v>1882</v>
      </c>
      <c r="H71">
        <v>2088</v>
      </c>
      <c r="I71">
        <v>3107</v>
      </c>
      <c r="J71">
        <v>489</v>
      </c>
      <c r="K71">
        <v>2208</v>
      </c>
      <c r="L71">
        <v>1355</v>
      </c>
      <c r="M71">
        <v>3824</v>
      </c>
      <c r="N71">
        <v>3475</v>
      </c>
      <c r="O71">
        <v>2585</v>
      </c>
      <c r="P71">
        <v>891</v>
      </c>
      <c r="Q71">
        <v>3257</v>
      </c>
      <c r="R71">
        <v>7</v>
      </c>
      <c r="S71">
        <v>141</v>
      </c>
      <c r="T71">
        <v>122</v>
      </c>
      <c r="U71">
        <v>801</v>
      </c>
      <c r="V71">
        <v>240</v>
      </c>
      <c r="W71">
        <v>97</v>
      </c>
      <c r="X71">
        <v>298</v>
      </c>
      <c r="Y71">
        <v>870</v>
      </c>
      <c r="Z71">
        <v>686</v>
      </c>
      <c r="AA71">
        <v>23108</v>
      </c>
      <c r="AB71">
        <v>148</v>
      </c>
      <c r="AC71">
        <v>22720</v>
      </c>
      <c r="AD71">
        <v>242</v>
      </c>
      <c r="AE71">
        <v>766</v>
      </c>
      <c r="AF71">
        <v>85</v>
      </c>
      <c r="AG71">
        <v>627</v>
      </c>
      <c r="AH71">
        <v>55</v>
      </c>
      <c r="AI71">
        <v>33291</v>
      </c>
      <c r="AJ71">
        <v>2668</v>
      </c>
      <c r="AK71">
        <v>1043</v>
      </c>
      <c r="AL71">
        <v>1084</v>
      </c>
      <c r="AM71">
        <v>13802</v>
      </c>
      <c r="AN71">
        <v>3970</v>
      </c>
      <c r="AO71">
        <v>2122</v>
      </c>
      <c r="AP71">
        <v>2138</v>
      </c>
      <c r="AQ71">
        <v>2294</v>
      </c>
      <c r="AR71">
        <v>4167</v>
      </c>
      <c r="AS71">
        <v>34399</v>
      </c>
      <c r="AT71">
        <v>135</v>
      </c>
      <c r="AU71">
        <v>4089</v>
      </c>
      <c r="AV71">
        <v>1419</v>
      </c>
      <c r="AW71">
        <v>3274</v>
      </c>
      <c r="AX71">
        <v>5896</v>
      </c>
      <c r="AY71">
        <v>3869</v>
      </c>
      <c r="AZ71">
        <v>3134</v>
      </c>
      <c r="BA71">
        <v>3596</v>
      </c>
      <c r="BB71">
        <v>8988</v>
      </c>
      <c r="BC71">
        <v>119746</v>
      </c>
      <c r="BD71">
        <v>5691</v>
      </c>
      <c r="BE71">
        <v>10600</v>
      </c>
      <c r="BF71">
        <v>751</v>
      </c>
      <c r="BG71">
        <v>15673</v>
      </c>
      <c r="BH71">
        <v>12455</v>
      </c>
      <c r="BI71">
        <v>17588</v>
      </c>
      <c r="BJ71">
        <v>17885</v>
      </c>
      <c r="BK71">
        <v>33502</v>
      </c>
      <c r="BL71">
        <v>5595</v>
      </c>
      <c r="BM71">
        <v>46038</v>
      </c>
      <c r="BN71">
        <v>1726</v>
      </c>
      <c r="BO71">
        <v>5224</v>
      </c>
      <c r="BP71">
        <v>1512</v>
      </c>
      <c r="BQ71">
        <v>10186</v>
      </c>
      <c r="BR71">
        <v>2107</v>
      </c>
      <c r="BS71">
        <v>7758</v>
      </c>
      <c r="BT71">
        <v>1879</v>
      </c>
      <c r="BU71">
        <v>15649</v>
      </c>
      <c r="BV71">
        <v>11914</v>
      </c>
      <c r="BW71">
        <v>2</v>
      </c>
      <c r="BX71">
        <v>60</v>
      </c>
      <c r="BY71">
        <v>12</v>
      </c>
      <c r="BZ71">
        <v>9208</v>
      </c>
      <c r="CA71">
        <v>2632</v>
      </c>
      <c r="CB71">
        <v>293603</v>
      </c>
    </row>
    <row r="72" spans="1:80">
      <c r="A72" t="s">
        <v>193</v>
      </c>
      <c r="B72" t="s">
        <v>196</v>
      </c>
      <c r="C72">
        <v>16410</v>
      </c>
      <c r="D72">
        <v>156</v>
      </c>
      <c r="E72">
        <v>966</v>
      </c>
      <c r="F72">
        <v>1438</v>
      </c>
      <c r="G72">
        <v>1874</v>
      </c>
      <c r="H72">
        <v>1727</v>
      </c>
      <c r="I72">
        <v>2837</v>
      </c>
      <c r="J72">
        <v>491</v>
      </c>
      <c r="K72">
        <v>2164</v>
      </c>
      <c r="L72">
        <v>1220</v>
      </c>
      <c r="M72">
        <v>3535</v>
      </c>
      <c r="N72">
        <v>3449</v>
      </c>
      <c r="O72">
        <v>2744</v>
      </c>
      <c r="P72">
        <v>704</v>
      </c>
      <c r="Q72">
        <v>4247</v>
      </c>
      <c r="R72">
        <v>2</v>
      </c>
      <c r="S72">
        <v>102</v>
      </c>
      <c r="T72">
        <v>134</v>
      </c>
      <c r="U72">
        <v>1051</v>
      </c>
      <c r="V72">
        <v>281</v>
      </c>
      <c r="W72">
        <v>115</v>
      </c>
      <c r="X72">
        <v>426</v>
      </c>
      <c r="Y72">
        <v>1425</v>
      </c>
      <c r="Z72">
        <v>712</v>
      </c>
      <c r="AA72">
        <v>34552</v>
      </c>
      <c r="AB72">
        <v>200</v>
      </c>
      <c r="AC72">
        <v>34044</v>
      </c>
      <c r="AD72">
        <v>310</v>
      </c>
      <c r="AE72">
        <v>831</v>
      </c>
      <c r="AF72">
        <v>90</v>
      </c>
      <c r="AG72">
        <v>680</v>
      </c>
      <c r="AH72">
        <v>61</v>
      </c>
      <c r="AI72">
        <v>37021</v>
      </c>
      <c r="AJ72">
        <v>3051</v>
      </c>
      <c r="AK72">
        <v>1286</v>
      </c>
      <c r="AL72">
        <v>1152</v>
      </c>
      <c r="AM72">
        <v>14770</v>
      </c>
      <c r="AN72">
        <v>3861</v>
      </c>
      <c r="AO72">
        <v>3289</v>
      </c>
      <c r="AP72">
        <v>2677</v>
      </c>
      <c r="AQ72">
        <v>2448</v>
      </c>
      <c r="AR72">
        <v>4490</v>
      </c>
      <c r="AS72">
        <v>36977</v>
      </c>
      <c r="AT72">
        <v>174</v>
      </c>
      <c r="AU72">
        <v>4349</v>
      </c>
      <c r="AV72">
        <v>1678</v>
      </c>
      <c r="AW72">
        <v>3217</v>
      </c>
      <c r="AX72">
        <v>4692</v>
      </c>
      <c r="AY72">
        <v>4281</v>
      </c>
      <c r="AZ72">
        <v>4050</v>
      </c>
      <c r="BA72">
        <v>4056</v>
      </c>
      <c r="BB72">
        <v>10479</v>
      </c>
      <c r="BC72">
        <v>135405</v>
      </c>
      <c r="BD72">
        <v>5352</v>
      </c>
      <c r="BE72">
        <v>12971</v>
      </c>
      <c r="BF72">
        <v>971</v>
      </c>
      <c r="BG72">
        <v>16935</v>
      </c>
      <c r="BH72">
        <v>13204</v>
      </c>
      <c r="BI72">
        <v>17682</v>
      </c>
      <c r="BJ72">
        <v>19654</v>
      </c>
      <c r="BK72">
        <v>42876</v>
      </c>
      <c r="BL72">
        <v>5759</v>
      </c>
      <c r="BM72">
        <v>50131</v>
      </c>
      <c r="BN72">
        <v>1958</v>
      </c>
      <c r="BO72">
        <v>5647</v>
      </c>
      <c r="BP72">
        <v>1632</v>
      </c>
      <c r="BQ72">
        <v>10984</v>
      </c>
      <c r="BR72">
        <v>2411</v>
      </c>
      <c r="BS72">
        <v>8175</v>
      </c>
      <c r="BT72">
        <v>2067</v>
      </c>
      <c r="BU72">
        <v>17260</v>
      </c>
      <c r="BV72">
        <v>11211</v>
      </c>
      <c r="BW72">
        <v>4</v>
      </c>
      <c r="BX72">
        <v>56</v>
      </c>
      <c r="BY72">
        <v>11</v>
      </c>
      <c r="BZ72">
        <v>6525</v>
      </c>
      <c r="CA72">
        <v>4615</v>
      </c>
      <c r="CB72">
        <v>330234</v>
      </c>
    </row>
    <row r="73" spans="1:80">
      <c r="A73" t="s">
        <v>194</v>
      </c>
      <c r="B73" t="s">
        <v>196</v>
      </c>
      <c r="C73">
        <v>19518</v>
      </c>
      <c r="D73">
        <v>167</v>
      </c>
      <c r="E73">
        <v>1070</v>
      </c>
      <c r="F73">
        <v>1809</v>
      </c>
      <c r="G73">
        <v>2449</v>
      </c>
      <c r="H73">
        <v>2011</v>
      </c>
      <c r="I73">
        <v>3163</v>
      </c>
      <c r="J73">
        <v>565</v>
      </c>
      <c r="K73">
        <v>2566</v>
      </c>
      <c r="L73">
        <v>1660</v>
      </c>
      <c r="M73">
        <v>4063</v>
      </c>
      <c r="N73">
        <v>3850</v>
      </c>
      <c r="O73">
        <v>3170</v>
      </c>
      <c r="P73">
        <v>682</v>
      </c>
      <c r="Q73">
        <v>4653</v>
      </c>
      <c r="R73">
        <v>4</v>
      </c>
      <c r="S73">
        <v>135</v>
      </c>
      <c r="T73">
        <v>148</v>
      </c>
      <c r="U73">
        <v>1444</v>
      </c>
      <c r="V73">
        <v>365</v>
      </c>
      <c r="W73">
        <v>125</v>
      </c>
      <c r="X73">
        <v>604</v>
      </c>
      <c r="Y73">
        <v>945</v>
      </c>
      <c r="Z73">
        <v>881</v>
      </c>
      <c r="AA73">
        <v>65806</v>
      </c>
      <c r="AB73">
        <v>375</v>
      </c>
      <c r="AC73">
        <v>65082</v>
      </c>
      <c r="AD73">
        <v>352</v>
      </c>
      <c r="AE73">
        <v>1094</v>
      </c>
      <c r="AF73">
        <v>128</v>
      </c>
      <c r="AG73">
        <v>888</v>
      </c>
      <c r="AH73">
        <v>76</v>
      </c>
      <c r="AI73">
        <v>51393</v>
      </c>
      <c r="AJ73">
        <v>3755</v>
      </c>
      <c r="AK73">
        <v>3401</v>
      </c>
      <c r="AL73">
        <v>1267</v>
      </c>
      <c r="AM73">
        <v>19106</v>
      </c>
      <c r="AN73">
        <v>4657</v>
      </c>
      <c r="AO73">
        <v>5706</v>
      </c>
      <c r="AP73">
        <v>3148</v>
      </c>
      <c r="AQ73">
        <v>2866</v>
      </c>
      <c r="AR73">
        <v>7484</v>
      </c>
      <c r="AS73">
        <v>44021</v>
      </c>
      <c r="AT73">
        <v>202</v>
      </c>
      <c r="AU73">
        <v>5123</v>
      </c>
      <c r="AV73">
        <v>2045</v>
      </c>
      <c r="AW73">
        <v>3802</v>
      </c>
      <c r="AX73">
        <v>5323</v>
      </c>
      <c r="AY73">
        <v>4835</v>
      </c>
      <c r="AZ73">
        <v>5214</v>
      </c>
      <c r="BA73">
        <v>5023</v>
      </c>
      <c r="BB73">
        <v>12450</v>
      </c>
      <c r="BC73">
        <v>156900</v>
      </c>
      <c r="BD73">
        <v>6250</v>
      </c>
      <c r="BE73">
        <v>15810</v>
      </c>
      <c r="BF73">
        <v>1095</v>
      </c>
      <c r="BG73">
        <v>19875</v>
      </c>
      <c r="BH73">
        <v>14727</v>
      </c>
      <c r="BI73">
        <v>20341</v>
      </c>
      <c r="BJ73">
        <v>23299</v>
      </c>
      <c r="BK73">
        <v>50050</v>
      </c>
      <c r="BL73">
        <v>5454</v>
      </c>
      <c r="BM73">
        <v>57476</v>
      </c>
      <c r="BN73">
        <v>2136</v>
      </c>
      <c r="BO73">
        <v>6266</v>
      </c>
      <c r="BP73">
        <v>2203</v>
      </c>
      <c r="BQ73">
        <v>12829</v>
      </c>
      <c r="BR73">
        <v>3104</v>
      </c>
      <c r="BS73">
        <v>9104</v>
      </c>
      <c r="BT73">
        <v>2481</v>
      </c>
      <c r="BU73">
        <v>19352</v>
      </c>
      <c r="BV73">
        <v>12292</v>
      </c>
      <c r="BW73">
        <v>3</v>
      </c>
      <c r="BX73">
        <v>80</v>
      </c>
      <c r="BY73">
        <v>17</v>
      </c>
      <c r="BZ73">
        <v>6959</v>
      </c>
      <c r="CA73">
        <v>5229</v>
      </c>
      <c r="CB73">
        <v>417002</v>
      </c>
    </row>
    <row r="74" spans="1:80">
      <c r="A74" t="s">
        <v>195</v>
      </c>
      <c r="B74" t="s">
        <v>196</v>
      </c>
      <c r="C74">
        <v>19684</v>
      </c>
      <c r="D74">
        <v>212</v>
      </c>
      <c r="E74">
        <v>1035</v>
      </c>
      <c r="F74">
        <v>2034</v>
      </c>
      <c r="G74">
        <v>2230</v>
      </c>
      <c r="H74">
        <v>2136</v>
      </c>
      <c r="I74">
        <v>3366</v>
      </c>
      <c r="J74">
        <v>611</v>
      </c>
      <c r="K74">
        <v>2582</v>
      </c>
      <c r="L74">
        <v>1438</v>
      </c>
      <c r="M74">
        <v>4035</v>
      </c>
      <c r="N74">
        <v>3518</v>
      </c>
      <c r="O74">
        <v>2928</v>
      </c>
      <c r="P74">
        <v>588</v>
      </c>
      <c r="Q74">
        <v>3931</v>
      </c>
      <c r="R74">
        <v>2</v>
      </c>
      <c r="S74">
        <v>120</v>
      </c>
      <c r="T74">
        <v>130</v>
      </c>
      <c r="U74">
        <v>841</v>
      </c>
      <c r="V74">
        <v>280</v>
      </c>
      <c r="W74">
        <v>119</v>
      </c>
      <c r="X74">
        <v>478</v>
      </c>
      <c r="Y74">
        <v>1019</v>
      </c>
      <c r="Z74">
        <v>942</v>
      </c>
      <c r="AA74">
        <v>60651</v>
      </c>
      <c r="AB74">
        <v>306</v>
      </c>
      <c r="AC74">
        <v>60057</v>
      </c>
      <c r="AD74">
        <v>293</v>
      </c>
      <c r="AE74">
        <v>988</v>
      </c>
      <c r="AF74">
        <v>161</v>
      </c>
      <c r="AG74">
        <v>750</v>
      </c>
      <c r="AH74">
        <v>78</v>
      </c>
      <c r="AI74">
        <v>42831</v>
      </c>
      <c r="AJ74">
        <v>2720</v>
      </c>
      <c r="AK74">
        <v>2830</v>
      </c>
      <c r="AL74">
        <v>1148</v>
      </c>
      <c r="AM74">
        <v>17000</v>
      </c>
      <c r="AN74">
        <v>5168</v>
      </c>
      <c r="AO74">
        <v>3561</v>
      </c>
      <c r="AP74">
        <v>2728</v>
      </c>
      <c r="AQ74">
        <v>2703</v>
      </c>
      <c r="AR74">
        <v>4973</v>
      </c>
      <c r="AS74">
        <v>40640</v>
      </c>
      <c r="AT74">
        <v>176</v>
      </c>
      <c r="AU74">
        <v>5189</v>
      </c>
      <c r="AV74">
        <v>1733</v>
      </c>
      <c r="AW74">
        <v>3827</v>
      </c>
      <c r="AX74">
        <v>4277</v>
      </c>
      <c r="AY74">
        <v>4605</v>
      </c>
      <c r="AZ74">
        <v>4746</v>
      </c>
      <c r="BA74">
        <v>4174</v>
      </c>
      <c r="BB74">
        <v>11917</v>
      </c>
      <c r="BC74">
        <v>173355</v>
      </c>
      <c r="BD74">
        <v>7368</v>
      </c>
      <c r="BE74">
        <v>18321</v>
      </c>
      <c r="BF74">
        <v>1171</v>
      </c>
      <c r="BG74">
        <v>20852</v>
      </c>
      <c r="BH74">
        <v>12531</v>
      </c>
      <c r="BI74">
        <v>20204</v>
      </c>
      <c r="BJ74">
        <v>23989</v>
      </c>
      <c r="BK74">
        <v>62922</v>
      </c>
      <c r="BL74">
        <v>5995</v>
      </c>
      <c r="BM74">
        <v>55698</v>
      </c>
      <c r="BN74">
        <v>1960</v>
      </c>
      <c r="BO74">
        <v>5336</v>
      </c>
      <c r="BP74">
        <v>2249</v>
      </c>
      <c r="BQ74">
        <v>12165</v>
      </c>
      <c r="BR74">
        <v>2886</v>
      </c>
      <c r="BS74">
        <v>10010</v>
      </c>
      <c r="BT74">
        <v>2601</v>
      </c>
      <c r="BU74">
        <v>18494</v>
      </c>
      <c r="BV74">
        <v>12575</v>
      </c>
      <c r="BW74">
        <v>6</v>
      </c>
      <c r="BX74">
        <v>66</v>
      </c>
      <c r="BY74">
        <v>19</v>
      </c>
      <c r="BZ74">
        <v>8565</v>
      </c>
      <c r="CA74">
        <v>3917</v>
      </c>
      <c r="CB74">
        <v>413869</v>
      </c>
    </row>
    <row r="75" spans="1:80">
      <c r="A75" t="s">
        <v>275</v>
      </c>
      <c r="B75" t="s">
        <v>196</v>
      </c>
      <c r="C75">
        <v>22309</v>
      </c>
      <c r="D75">
        <v>201</v>
      </c>
      <c r="E75">
        <v>1252</v>
      </c>
      <c r="F75">
        <v>1935</v>
      </c>
      <c r="G75">
        <v>2416</v>
      </c>
      <c r="H75">
        <v>2527</v>
      </c>
      <c r="I75">
        <v>3913</v>
      </c>
      <c r="J75">
        <v>688</v>
      </c>
      <c r="K75">
        <v>3250</v>
      </c>
      <c r="L75">
        <v>1647</v>
      </c>
      <c r="M75">
        <v>4481</v>
      </c>
      <c r="N75">
        <v>3349</v>
      </c>
      <c r="O75">
        <v>2906</v>
      </c>
      <c r="P75">
        <v>441</v>
      </c>
      <c r="Q75">
        <v>4119</v>
      </c>
      <c r="R75">
        <v>6</v>
      </c>
      <c r="S75">
        <v>151</v>
      </c>
      <c r="T75">
        <v>141</v>
      </c>
      <c r="U75">
        <v>917</v>
      </c>
      <c r="V75">
        <v>276</v>
      </c>
      <c r="W75">
        <v>121</v>
      </c>
      <c r="X75">
        <v>362</v>
      </c>
      <c r="Y75">
        <v>1141</v>
      </c>
      <c r="Z75">
        <v>1007</v>
      </c>
      <c r="AA75">
        <v>56763</v>
      </c>
      <c r="AB75">
        <v>260</v>
      </c>
      <c r="AC75">
        <v>56197</v>
      </c>
      <c r="AD75">
        <v>306</v>
      </c>
      <c r="AE75">
        <v>1257</v>
      </c>
      <c r="AF75">
        <v>204</v>
      </c>
      <c r="AG75">
        <v>973</v>
      </c>
      <c r="AH75">
        <v>78</v>
      </c>
      <c r="AI75">
        <v>45025</v>
      </c>
      <c r="AJ75">
        <v>2722</v>
      </c>
      <c r="AK75">
        <v>2683</v>
      </c>
      <c r="AL75">
        <v>1265</v>
      </c>
      <c r="AM75">
        <v>17013</v>
      </c>
      <c r="AN75">
        <v>5566</v>
      </c>
      <c r="AO75">
        <v>4645</v>
      </c>
      <c r="AP75">
        <v>2957</v>
      </c>
      <c r="AQ75">
        <v>2840</v>
      </c>
      <c r="AR75">
        <v>5338</v>
      </c>
      <c r="AS75">
        <v>43618</v>
      </c>
      <c r="AT75">
        <v>150</v>
      </c>
      <c r="AU75">
        <v>5553</v>
      </c>
      <c r="AV75">
        <v>1776</v>
      </c>
      <c r="AW75">
        <v>4210</v>
      </c>
      <c r="AX75">
        <v>4547</v>
      </c>
      <c r="AY75">
        <v>4466</v>
      </c>
      <c r="AZ75">
        <v>5953</v>
      </c>
      <c r="BA75">
        <v>4284</v>
      </c>
      <c r="BB75">
        <v>12678</v>
      </c>
      <c r="BC75">
        <v>180723</v>
      </c>
      <c r="BD75">
        <v>7931</v>
      </c>
      <c r="BE75">
        <v>15322</v>
      </c>
      <c r="BF75">
        <v>1101</v>
      </c>
      <c r="BG75">
        <v>23741</v>
      </c>
      <c r="BH75">
        <v>14905</v>
      </c>
      <c r="BI75">
        <v>20140</v>
      </c>
      <c r="BJ75">
        <v>28339</v>
      </c>
      <c r="BK75">
        <v>62033</v>
      </c>
      <c r="BL75">
        <v>7213</v>
      </c>
      <c r="BM75">
        <v>59314</v>
      </c>
      <c r="BN75">
        <v>1973</v>
      </c>
      <c r="BO75">
        <v>5994</v>
      </c>
      <c r="BP75">
        <v>2215</v>
      </c>
      <c r="BQ75">
        <v>12814</v>
      </c>
      <c r="BR75">
        <v>2948</v>
      </c>
      <c r="BS75">
        <v>10291</v>
      </c>
      <c r="BT75">
        <v>2712</v>
      </c>
      <c r="BU75">
        <v>20362</v>
      </c>
      <c r="BV75">
        <v>13508</v>
      </c>
      <c r="BW75">
        <v>1</v>
      </c>
      <c r="BX75">
        <v>57</v>
      </c>
      <c r="BY75">
        <v>18</v>
      </c>
      <c r="BZ75">
        <v>9876</v>
      </c>
      <c r="CA75">
        <v>3553</v>
      </c>
      <c r="CB75">
        <v>429980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8" ma:contentTypeDescription="Create a new document." ma:contentTypeScope="" ma:versionID="1d4ffbf743adba2a3699f39996e27a93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9414e1fb3275c5992357a40c18a29d79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9906EB-8038-456D-8149-12C5297B8FFF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83f28f4c-1e3d-431a-898d-1dab18d2f25b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5cf8a5a8-0301-4954-884c-1f222cf0976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04F7EAE-A7E3-4094-A390-CC1C9621C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0A5DE9-3089-4E5B-B8C8-D8A8136FBF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Import-dataset</vt:lpstr>
      <vt:lpstr>Export-dataset</vt:lpstr>
      <vt:lpstr>Export-Statistical</vt:lpstr>
      <vt:lpstr>Import-Statistical</vt:lpstr>
      <vt:lpstr>Export Analytical</vt:lpstr>
      <vt:lpstr>Import Analytical</vt:lpstr>
      <vt:lpstr>Statistical combined</vt:lpstr>
      <vt:lpstr>cat0 subcat</vt:lpstr>
      <vt:lpstr>Analytical Combined</vt:lpstr>
      <vt:lpstr>Dollar 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 Zhang</dc:creator>
  <cp:lastModifiedBy>Hasan Halidh</cp:lastModifiedBy>
  <dcterms:created xsi:type="dcterms:W3CDTF">2015-06-05T18:17:20Z</dcterms:created>
  <dcterms:modified xsi:type="dcterms:W3CDTF">2025-05-28T14:11:37Z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2024-02-07T04:42:17Z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676d51c1-3a19-4bfc-8f69-7d082db673a3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